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/>
  <workbookPr/>
  <mc:AlternateContent xmlns:mc="http://schemas.openxmlformats.org/markup-compatibility/2006">
    <mc:Choice Requires="x15">
      <x15ac:absPath xmlns:x15ac="http://schemas.microsoft.com/office/spreadsheetml/2010/11/ac" url="C:\HisReport 2023_ago - copia\Plantillasxls\"/>
    </mc:Choice>
  </mc:AlternateContent>
  <xr:revisionPtr revIDLastSave="0" documentId="13_ncr:1_{A8BF7D98-1FB5-4B91-80A5-21963965807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VIH_2023" sheetId="1" r:id="rId1"/>
  </sheets>
  <definedNames>
    <definedName name="_xlnm.Print_Titles" localSheetId="0">VIH_2023!$1:$5</definedName>
  </definedNames>
  <calcPr calcId="191029"/>
</workbook>
</file>

<file path=xl/calcChain.xml><?xml version="1.0" encoding="utf-8"?>
<calcChain xmlns="http://schemas.openxmlformats.org/spreadsheetml/2006/main">
  <c r="AL13" i="1" l="1"/>
  <c r="AL14" i="1"/>
  <c r="AL15" i="1"/>
  <c r="AL16" i="1"/>
  <c r="AL17" i="1"/>
  <c r="AL18" i="1"/>
  <c r="AL19" i="1"/>
  <c r="AL20" i="1"/>
  <c r="AL21" i="1"/>
  <c r="AL22" i="1"/>
  <c r="AL23" i="1"/>
  <c r="AL24" i="1"/>
  <c r="AL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12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M200" i="1"/>
  <c r="N200" i="1"/>
  <c r="M201" i="1"/>
  <c r="N201" i="1"/>
  <c r="M202" i="1"/>
  <c r="N202" i="1"/>
  <c r="M203" i="1"/>
  <c r="N203" i="1"/>
  <c r="N199" i="1"/>
  <c r="M199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N188" i="1"/>
  <c r="M188" i="1"/>
  <c r="F108" i="1"/>
  <c r="R150" i="1"/>
  <c r="S150" i="1"/>
  <c r="T150" i="1"/>
  <c r="U150" i="1"/>
  <c r="V150" i="1"/>
  <c r="R151" i="1"/>
  <c r="S151" i="1"/>
  <c r="T151" i="1"/>
  <c r="U151" i="1"/>
  <c r="V151" i="1"/>
  <c r="R152" i="1"/>
  <c r="S152" i="1"/>
  <c r="T152" i="1"/>
  <c r="U152" i="1"/>
  <c r="V152" i="1"/>
  <c r="R153" i="1"/>
  <c r="S153" i="1"/>
  <c r="T153" i="1"/>
  <c r="U153" i="1"/>
  <c r="V153" i="1"/>
  <c r="R154" i="1"/>
  <c r="S154" i="1"/>
  <c r="T154" i="1"/>
  <c r="U154" i="1"/>
  <c r="V154" i="1"/>
  <c r="R155" i="1"/>
  <c r="S155" i="1"/>
  <c r="T155" i="1"/>
  <c r="U155" i="1"/>
  <c r="V155" i="1"/>
  <c r="R156" i="1"/>
  <c r="S156" i="1"/>
  <c r="T156" i="1"/>
  <c r="U156" i="1"/>
  <c r="V156" i="1"/>
  <c r="R157" i="1"/>
  <c r="S157" i="1"/>
  <c r="T157" i="1"/>
  <c r="U157" i="1"/>
  <c r="V157" i="1"/>
  <c r="R158" i="1"/>
  <c r="S158" i="1"/>
  <c r="T158" i="1"/>
  <c r="U158" i="1"/>
  <c r="V158" i="1"/>
  <c r="R159" i="1"/>
  <c r="S159" i="1"/>
  <c r="T159" i="1"/>
  <c r="U159" i="1"/>
  <c r="V159" i="1"/>
  <c r="V149" i="1"/>
  <c r="U149" i="1"/>
  <c r="T149" i="1"/>
  <c r="S149" i="1"/>
  <c r="R149" i="1"/>
  <c r="V135" i="1"/>
  <c r="V136" i="1"/>
  <c r="V137" i="1"/>
  <c r="V138" i="1"/>
  <c r="V139" i="1"/>
  <c r="V140" i="1"/>
  <c r="V141" i="1"/>
  <c r="V142" i="1"/>
  <c r="V143" i="1"/>
  <c r="V144" i="1"/>
  <c r="V145" i="1"/>
  <c r="V134" i="1"/>
  <c r="U135" i="1"/>
  <c r="U136" i="1"/>
  <c r="U137" i="1"/>
  <c r="U138" i="1"/>
  <c r="U139" i="1"/>
  <c r="U140" i="1"/>
  <c r="U141" i="1"/>
  <c r="U142" i="1"/>
  <c r="U143" i="1"/>
  <c r="U144" i="1"/>
  <c r="U145" i="1"/>
  <c r="U134" i="1"/>
  <c r="T135" i="1"/>
  <c r="T136" i="1"/>
  <c r="T137" i="1"/>
  <c r="T138" i="1"/>
  <c r="T139" i="1"/>
  <c r="T140" i="1"/>
  <c r="T141" i="1"/>
  <c r="T142" i="1"/>
  <c r="T143" i="1"/>
  <c r="T144" i="1"/>
  <c r="T145" i="1"/>
  <c r="T134" i="1"/>
  <c r="S135" i="1"/>
  <c r="S136" i="1"/>
  <c r="S137" i="1"/>
  <c r="S138" i="1"/>
  <c r="S139" i="1"/>
  <c r="S140" i="1"/>
  <c r="S141" i="1"/>
  <c r="S142" i="1"/>
  <c r="S143" i="1"/>
  <c r="S144" i="1"/>
  <c r="S145" i="1"/>
  <c r="S134" i="1"/>
  <c r="R135" i="1"/>
  <c r="R136" i="1"/>
  <c r="R137" i="1"/>
  <c r="R138" i="1"/>
  <c r="R139" i="1"/>
  <c r="R140" i="1"/>
  <c r="R141" i="1"/>
  <c r="R142" i="1"/>
  <c r="R143" i="1"/>
  <c r="R144" i="1"/>
  <c r="R145" i="1"/>
  <c r="R134" i="1"/>
  <c r="F109" i="1"/>
  <c r="F110" i="1"/>
  <c r="F111" i="1"/>
  <c r="F112" i="1"/>
  <c r="F113" i="1"/>
  <c r="F114" i="1"/>
  <c r="F115" i="1"/>
  <c r="F116" i="1"/>
  <c r="F117" i="1"/>
  <c r="F118" i="1"/>
  <c r="G95" i="1"/>
  <c r="G96" i="1"/>
  <c r="G97" i="1"/>
  <c r="G98" i="1"/>
  <c r="G99" i="1"/>
  <c r="G100" i="1"/>
  <c r="G101" i="1"/>
  <c r="G102" i="1"/>
  <c r="G103" i="1"/>
  <c r="G104" i="1"/>
  <c r="G105" i="1"/>
  <c r="G94" i="1"/>
  <c r="M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O87" i="1" s="1"/>
  <c r="N87" i="1"/>
  <c r="M88" i="1"/>
  <c r="N88" i="1"/>
  <c r="M89" i="1"/>
  <c r="N89" i="1"/>
  <c r="M90" i="1"/>
  <c r="O90" i="1" s="1"/>
  <c r="N90" i="1"/>
  <c r="M91" i="1"/>
  <c r="N91" i="1"/>
  <c r="N80" i="1"/>
  <c r="M73" i="1"/>
  <c r="N73" i="1"/>
  <c r="M74" i="1"/>
  <c r="N74" i="1"/>
  <c r="M75" i="1"/>
  <c r="N75" i="1"/>
  <c r="M76" i="1"/>
  <c r="N76" i="1"/>
  <c r="N72" i="1"/>
  <c r="M72" i="1"/>
  <c r="M61" i="1"/>
  <c r="N61" i="1"/>
  <c r="M62" i="1"/>
  <c r="N62" i="1"/>
  <c r="M63" i="1"/>
  <c r="N63" i="1"/>
  <c r="M64" i="1"/>
  <c r="N64" i="1"/>
  <c r="M65" i="1"/>
  <c r="O65" i="1" s="1"/>
  <c r="N65" i="1"/>
  <c r="M66" i="1"/>
  <c r="N66" i="1"/>
  <c r="M67" i="1"/>
  <c r="N67" i="1"/>
  <c r="M68" i="1"/>
  <c r="N68" i="1"/>
  <c r="O68" i="1"/>
  <c r="N60" i="1"/>
  <c r="M60" i="1"/>
  <c r="O60" i="1" s="1"/>
  <c r="M49" i="1"/>
  <c r="N49" i="1"/>
  <c r="M50" i="1"/>
  <c r="N50" i="1"/>
  <c r="M51" i="1"/>
  <c r="N51" i="1"/>
  <c r="M52" i="1"/>
  <c r="N52" i="1"/>
  <c r="O52" i="1" s="1"/>
  <c r="M53" i="1"/>
  <c r="N53" i="1"/>
  <c r="M54" i="1"/>
  <c r="N54" i="1"/>
  <c r="M55" i="1"/>
  <c r="N55" i="1"/>
  <c r="M56" i="1"/>
  <c r="N56" i="1"/>
  <c r="N48" i="1"/>
  <c r="M48" i="1"/>
  <c r="M40" i="1"/>
  <c r="N40" i="1"/>
  <c r="O40" i="1"/>
  <c r="M41" i="1"/>
  <c r="O41" i="1" s="1"/>
  <c r="N41" i="1"/>
  <c r="M42" i="1"/>
  <c r="N42" i="1"/>
  <c r="M43" i="1"/>
  <c r="N43" i="1"/>
  <c r="M44" i="1"/>
  <c r="N44" i="1"/>
  <c r="N39" i="1"/>
  <c r="M39" i="1"/>
  <c r="M28" i="1"/>
  <c r="N28" i="1"/>
  <c r="M29" i="1"/>
  <c r="N29" i="1"/>
  <c r="M30" i="1"/>
  <c r="N30" i="1"/>
  <c r="O30" i="1" s="1"/>
  <c r="M31" i="1"/>
  <c r="N31" i="1"/>
  <c r="N32" i="1"/>
  <c r="N33" i="1"/>
  <c r="N34" i="1"/>
  <c r="O34" i="1" s="1"/>
  <c r="N35" i="1"/>
  <c r="M32" i="1"/>
  <c r="O32" i="1" s="1"/>
  <c r="M33" i="1"/>
  <c r="M34" i="1"/>
  <c r="M35" i="1"/>
  <c r="O35" i="1" s="1"/>
  <c r="O44" i="1" l="1"/>
  <c r="O82" i="1"/>
  <c r="O54" i="1"/>
  <c r="O73" i="1"/>
  <c r="O89" i="1"/>
  <c r="O29" i="1"/>
  <c r="O43" i="1"/>
  <c r="O67" i="1"/>
  <c r="O63" i="1"/>
  <c r="O33" i="1"/>
  <c r="O80" i="1"/>
  <c r="O56" i="1"/>
  <c r="O62" i="1"/>
  <c r="O83" i="1"/>
  <c r="O84" i="1"/>
  <c r="O85" i="1"/>
  <c r="O88" i="1"/>
  <c r="O91" i="1"/>
  <c r="O86" i="1"/>
  <c r="O81" i="1"/>
  <c r="O74" i="1"/>
  <c r="O75" i="1"/>
  <c r="O76" i="1"/>
  <c r="O72" i="1"/>
  <c r="O64" i="1"/>
  <c r="O66" i="1"/>
  <c r="O61" i="1"/>
  <c r="O49" i="1"/>
  <c r="O53" i="1"/>
  <c r="O51" i="1"/>
  <c r="O55" i="1"/>
  <c r="O50" i="1"/>
  <c r="O48" i="1"/>
  <c r="O42" i="1"/>
  <c r="O39" i="1"/>
  <c r="O31" i="1"/>
  <c r="O28" i="1"/>
</calcChain>
</file>

<file path=xl/sharedStrings.xml><?xml version="1.0" encoding="utf-8"?>
<sst xmlns="http://schemas.openxmlformats.org/spreadsheetml/2006/main" count="1252" uniqueCount="176">
  <si>
    <t>1.-  POBLACION GENERAL: ITS</t>
  </si>
  <si>
    <t>F</t>
  </si>
  <si>
    <t/>
  </si>
  <si>
    <t>M</t>
  </si>
  <si>
    <t>Total</t>
  </si>
  <si>
    <t>01d-11a</t>
  </si>
  <si>
    <t>12a-17a</t>
  </si>
  <si>
    <t>18a-29a</t>
  </si>
  <si>
    <t>30a-59a</t>
  </si>
  <si>
    <t>60a+</t>
  </si>
  <si>
    <t>DIAGNOSTICO</t>
  </si>
  <si>
    <t>TRATADO</t>
  </si>
  <si>
    <t>CONTACTO</t>
  </si>
  <si>
    <t>PERSONAS CON MANEJO SINDROMICO</t>
  </si>
  <si>
    <t>CASOS DE DESCARGA URETRAL</t>
  </si>
  <si>
    <t>CASOS DE FLUJO VAGINAL COMPATIBLE CON ITS</t>
  </si>
  <si>
    <t>CASOS DE ULCERA GENITAL</t>
  </si>
  <si>
    <t>CASOS DE BUBON INGUINAL</t>
  </si>
  <si>
    <t>CASOS CON SINDROME DE DOLOR ABDOMINAL BAJO</t>
  </si>
  <si>
    <t>CASOS DE CONDILOMA</t>
  </si>
  <si>
    <t>PERSONAS CON MANEJO ETIOLOGICO</t>
  </si>
  <si>
    <t>CASOS DE GONORREA</t>
  </si>
  <si>
    <t>CASOS DE SIFILIS</t>
  </si>
  <si>
    <t>PERSONAS TAMIZADAS PARA SIFILIS</t>
  </si>
  <si>
    <t>PERSONAS TAMIZADAS  REACTIVAS PARA SIFILIS</t>
  </si>
  <si>
    <t>PERSONAS QUE RECIBEN CONSEJERIA EN ITS</t>
  </si>
  <si>
    <t>2.-  HEPATITIS B</t>
  </si>
  <si>
    <t>PERSONAS TAMIZADAS PARA HEPATITIS B</t>
  </si>
  <si>
    <t>PERSONAS TAMIZADAS REACTIVAS A HEPATITIS B</t>
  </si>
  <si>
    <t>PERSONAS CON DIAGNOSTICO DE HEPATITIS B CRONICA</t>
  </si>
  <si>
    <t>PERSONAS DE POBLACION INDIGENA TAMIZADAS PARA HEPATITIS B</t>
  </si>
  <si>
    <t>PERSONAS DE POBLACION INDIGENA TAMIZADAS REACTIVAS A HEPATITIS B</t>
  </si>
  <si>
    <t>PERSONAS DE POBLACION INDIGENA CON DIAGNOSTICO DE HEPATITIS B CRONICA</t>
  </si>
  <si>
    <t>TOTAL DE PERSONAS CON DIAGNOSTICO DE HEPATITIS B - INICIAN TRATAMIENTO (Incluye todas las poblaciones)</t>
  </si>
  <si>
    <t>TOTAL DE PERSONAS CON DIAGNOSTICO DE HEPATITIS B - CON TRATAMIENTO ANUAL COMPLETO (Incluye todas las poblaciones)</t>
  </si>
  <si>
    <t>2A. - HEPATITIS C</t>
  </si>
  <si>
    <t>PERSONAS TAMIZADAS PARA HEPATITIS C</t>
  </si>
  <si>
    <t>PERSONAS TAMIZADAS REACTIVAS A HEPATITIS C</t>
  </si>
  <si>
    <t>PERSONAS CON DIAGNOSTICO DE HEPATITIS C CRÓNICA</t>
  </si>
  <si>
    <t>TOTAL DE PERSONAS CON DIAGNOSTICO DE HEPATITIS C - INICIAN TRATAMIENTO</t>
  </si>
  <si>
    <t>TOTAL DE PERSONAS CON DIAGNOSTICO DE HEPATITIS C - CON TRATAMIENTO COMPLETO</t>
  </si>
  <si>
    <t>TOTAL DE PERSONAS CON DIAGNOSTICO DE HEPATITIS C CURADAS</t>
  </si>
  <si>
    <t>3.- POBLACION GENERAL: TAMIZAJE VIH</t>
  </si>
  <si>
    <t>PERSONAS TAMIZADAS PARA VIH (EXCEPTO GESTANTES,POBLACION CLAVE, TBC E INDIGENA)</t>
  </si>
  <si>
    <t>PERSONAS TAMIZADAS PARA VIH CON RESULTADO REACTIVO (EXCEPTO GESTANTES,POBLACION CLAVE, TBC E INDIGENA)</t>
  </si>
  <si>
    <t>PERSONAS CON TB TAMIZADAS PARA VIH</t>
  </si>
  <si>
    <t>PERSONAS CON TB TAMIZADAS REACTIVAS PARA VIH</t>
  </si>
  <si>
    <t>PERSONAS DE POBLACION INDIGENA TAMIZADAS PARA VIH</t>
  </si>
  <si>
    <t>PERSONAS DE POBLACION INDIGENA TAMIZADAS PARA VIH CON RESULTADO REACTIVO</t>
  </si>
  <si>
    <t>PERSONAS PRIVADAS DE LIBERTAD TAMIZADAS PARA VIH</t>
  </si>
  <si>
    <t>PERSONAS PRIVADAS DE LIBERTAD TAMIZADAS REACTIVAS PARA VIH</t>
  </si>
  <si>
    <t>PERSONAS CON DIAGNOSTICO DE VIH (Incluye todas las poblaciones)</t>
  </si>
  <si>
    <t>4.- EXPOSICION A VIH / HEPATITIS B</t>
  </si>
  <si>
    <t>PERSONAS CON EXPOSICION OCUPACIONAL AL VIH</t>
  </si>
  <si>
    <t>PERSONAS CON EXPOSICION OCUPACIONAL AL VIH QUE RECIBEN PROFILAXIS ARV</t>
  </si>
  <si>
    <t>PERSONAS EXPUESTAS A VIH POR EXPOSICION NO OCUPACIONAL</t>
  </si>
  <si>
    <t>PERSONAS EXPUESTAS A VIH POR EXPOSICION NO OCUPACIONAL Y RECIBEN PROFILAXIS ARV</t>
  </si>
  <si>
    <t>PERSONAS CON DIAGNOSTICO DE VIH POR EXPOSICIÓN OCUPACIONAL</t>
  </si>
  <si>
    <t>PERSONAS CON DIAGNOSTICO DE ITS POR EXPOSICIÓN NO OCUPACIONAL</t>
  </si>
  <si>
    <t>PERSONAS CON DIAGNOSTICO DE VIH POR  EXPOSICIÓN NO OCUPACIONAL</t>
  </si>
  <si>
    <t>PERSONAS CON EXPOSICION OCUPACIONAL A HEPATITIS B</t>
  </si>
  <si>
    <t>PERSONAS CON  EXPOSICION OCUPACIONAL A HEPATITIS B  SIN VACUNA PREVIA</t>
  </si>
  <si>
    <t>5.- EXPOSICION A VIH / HEPATITIS B (VIOLENCIA SEXUAL)</t>
  </si>
  <si>
    <t>PERSONAS CON EXPOSICION AL VIH POR VIOLENCIA SEXUAL QUE RECIBEN PROFILAXIS ARV</t>
  </si>
  <si>
    <t>PERSONAS CON EXPOSICION A ITS Y HEPATITIS B POR VIOLENCIA SEXUAL QUE RECIBEN PROFILAXIS</t>
  </si>
  <si>
    <t>PERSONAS CON EXPOSICIÓN AL VIH POR VIOLENCIA SEXUAL CON DIAGNOSTICO DE ITS (Incluye Hepatitis B)</t>
  </si>
  <si>
    <t>PERSONAS CON EXPOSICIÓN  AL VIH POR VIOLENCIA SEXUAL CON DIAGNOSTICO DE  VIH</t>
  </si>
  <si>
    <t>PERSONAS CON EXPOSICIÓN A VIH POR VIOLENCIA SEXUAL CON SEGUIMIENTO COMPLETO</t>
  </si>
  <si>
    <t>6.-   PVV:  ATENCIÓN INTEGRAL</t>
  </si>
  <si>
    <t>PVV QUE INICIAN TERAPIA PREVENTIVA CON COTRIMOXAZOL (TPC)</t>
  </si>
  <si>
    <t>PVV QUE INICIAN TERAPIA PREVENTIVA PARA TUBERCULOSIS (TPTB)</t>
  </si>
  <si>
    <t>PVV QUE COMPLETAN TERAPIA PREVENTIVA TUBERCULOSIS (TPTB)</t>
  </si>
  <si>
    <t>N° DE PVV CON DIAGNOSTICO DE TB</t>
  </si>
  <si>
    <t>N° DE PVV CON TAMIZAJE PARA HEPATITIS B</t>
  </si>
  <si>
    <t>N° DE PVV CON HEPATITIS B CRONICA</t>
  </si>
  <si>
    <t>N° DE PVV QUE COMPLETAN VACUNACION DE HEPATITIS B</t>
  </si>
  <si>
    <t>N° DE PVV QUE COMPLETAN VACUNACION DE NEUMOCOCO</t>
  </si>
  <si>
    <t>N° DE PVV CON TAMIZAJE PARA HEPATITIS C</t>
  </si>
  <si>
    <t>N° DE PVV CON HEPATITIS C</t>
  </si>
  <si>
    <t>N° DE PVV CON HEPATITIS C QUE INICIAN TRATAMIENTO</t>
  </si>
  <si>
    <t>N° DE PVV CON HEPATITIS C QUE COMPLETAN TRATAMIENTO</t>
  </si>
  <si>
    <t xml:space="preserve">7.- GESTANTES Y RECIÉN NACIDOS:  Transmisión Materno Infantil (Sífilis, VIH, Hepatitis B) </t>
  </si>
  <si>
    <t>GESTANTES TAMIZADAS PARA SIFILIS (1ER TAMIZAJE)</t>
  </si>
  <si>
    <t>GESTANTES TAMIZADAS REACTIVAS PARA SIFILIS</t>
  </si>
  <si>
    <t>GESTANTES CON SIFILIS QUE RECIBEN TRATAMIENTO COMPLETO</t>
  </si>
  <si>
    <t>GESTANTES TAMIZADAS PARA VIH (1ER TAMIZAJE)</t>
  </si>
  <si>
    <t>GESTANTES TAMIZADAS REACTIVAS PARA VIH</t>
  </si>
  <si>
    <t>GESTANTES CON VIH QUE RECIBEN TAR</t>
  </si>
  <si>
    <t>GESTANTES TAMIZADAS PARA HEPATITIS B</t>
  </si>
  <si>
    <t>GESTANTES TAMIZADAS REACTIVAS PARA HEPATITIS B</t>
  </si>
  <si>
    <t>GESTANTES CON HEPATITIS B QUE RECIBEN TRATAMIENTO</t>
  </si>
  <si>
    <t>GESTANTE SERODISCORDANTES PARA VIH</t>
  </si>
  <si>
    <t>GESTANTE SERODISCORDANTES PARA VIH CON PROFILAXIS PRE-EXPOSICIÓN</t>
  </si>
  <si>
    <t>1ER TRIM.</t>
  </si>
  <si>
    <t>2DO TRIM</t>
  </si>
  <si>
    <t>3ER TRIM</t>
  </si>
  <si>
    <t xml:space="preserve">7A.- RECIÉN NACIDOS (Sífilis, VIH, Hepatitis B) </t>
  </si>
  <si>
    <t>RN CON SIFILIS CONGENITA QUE RECIBEN TRATAMIENTO COMPLETO</t>
  </si>
  <si>
    <t>RN EXPUESTOS A VIH QUE RECIBEN ARV</t>
  </si>
  <si>
    <t>RN EXPUESTOS A VIH QUE INICIAN SUCEDANEOS DE LECHE MATERNA</t>
  </si>
  <si>
    <t>RN EXPUESTOS A VIH QUE RECIBEN SUCEDANEOS DE LECHE MATERNA</t>
  </si>
  <si>
    <t>RN EXPUESTOS A VIH QUE COMPLETAN SUCEDANEOS DE LECHE MATERNA</t>
  </si>
  <si>
    <t>RN EXPUESTOS A HEPATITIS B</t>
  </si>
  <si>
    <t>RN EXPUESTOS CON VACUNA DE HEPATITIS B EN ATENCION DE PARTO ANTES DE LAS 24HRS</t>
  </si>
  <si>
    <t>RN EXPUESTOS CON VACUNA DE HEPATITIS B EN ATENCION DE PARTO DESPUÉS DE LAS 24HRS</t>
  </si>
  <si>
    <t>RN EXPUESTOS QUE RECIBEN INMUNOGLOBULINA (HBIG) ANTES DE LAS 24 HRS</t>
  </si>
  <si>
    <t>RN EXPUESTOS QUE RECIBEN INMUNOGLOBULINA (HBIG) DESPUÉS DE LAS 24 HRS</t>
  </si>
  <si>
    <t>8.- POBLACION CLAVE: Hombres que tienen Sexo con otros Hombres / Trans / TS</t>
  </si>
  <si>
    <t>HSH</t>
  </si>
  <si>
    <t>TRANS</t>
  </si>
  <si>
    <t>TS-FEMENINO</t>
  </si>
  <si>
    <t>TS-TRANS</t>
  </si>
  <si>
    <t>TS-H</t>
  </si>
  <si>
    <t>ATENDIDOS/AS HSH/TRANS</t>
  </si>
  <si>
    <t>ATENCIONES A HSH/TRANS</t>
  </si>
  <si>
    <t>HSH/TRANS TAMIZADOS/AS PARA SÍFILIS (1° TAMIZAJE)</t>
  </si>
  <si>
    <t>HSH/TRANS TAMIZADOS/AS PARA SÍFILIS CON RESULTADO REACTIVO</t>
  </si>
  <si>
    <t>TS/HSH/TRANS  TAMIZADOS/AS PARA VIH (1º TAMIZAJE)</t>
  </si>
  <si>
    <t>TS/HSH/TRANS CON TAMIZAJE PARA VIH CON RESULTADO REACTIVO</t>
  </si>
  <si>
    <t>TS/HSH/TRANS CON DIAGNOSTICO DE VIH</t>
  </si>
  <si>
    <t>TS/HSH/TRANS QUE INICIAN TERAPIA ANTIRRETROVIRAL</t>
  </si>
  <si>
    <t>TS/HSH/TRANS TAMIZADOS/AS PARA HEPATITIS B</t>
  </si>
  <si>
    <t>TS/HSH/TRANS CON TAMIZAJE PARA HEPATITIS B CON RESULTADO REACTIVO</t>
  </si>
  <si>
    <t>TS/HSH/TRANS QUE COMPLETAN VACUNACION DE HEPATITIS B</t>
  </si>
  <si>
    <t>TS/HSH/TRANS TAMIZADOS/AS PARA HEPATITIS C</t>
  </si>
  <si>
    <t>9.- POBLACION CLAVE:  Hombres que tienen sexo con otros hombres / Trans / TS  : ITS</t>
  </si>
  <si>
    <t>TRATADOS</t>
  </si>
  <si>
    <t>CASOS DE SINDROME DE DOLOR ABDOMINAL BAJO</t>
  </si>
  <si>
    <t>CASOS DE PROCTITIS</t>
  </si>
  <si>
    <t>CONTACTOS</t>
  </si>
  <si>
    <t>CONTACTOS TRATADOS</t>
  </si>
  <si>
    <t>10- POBLACION CLAVE:BRIGADAS MÓVILES/MCC</t>
  </si>
  <si>
    <t>OFERTA COMUNITARIA</t>
  </si>
  <si>
    <t>OFERTA MOVIL</t>
  </si>
  <si>
    <t>Nº HSH/TRANS ATENDIDOS/AS</t>
  </si>
  <si>
    <t>Nº DE ATENCIONES A HSH/TRANS</t>
  </si>
  <si>
    <t>Nº DE HSH/TRANS  TAMIZADOS/AS PARA VIH (1º TAMIZAJE)</t>
  </si>
  <si>
    <t>Nº  HSH/TRANS CON TAMIZAJE PARA VIH CON RESULTADO REACTIVO</t>
  </si>
  <si>
    <t>Nº DE HSH/TRANS  TAMIZADOS/AS PARA SÍFILIS  (1º TAMIZAJE)</t>
  </si>
  <si>
    <t>Nº  HSH/TRANS CON TAMIZAJE PARA SÍFILIS CON RESULTADO REACTIVO</t>
  </si>
  <si>
    <t>Nº DE HSH/TRANS  TAMIZADOS/AS PARA HEPATITIS  (1º TAMIZAJE)</t>
  </si>
  <si>
    <t>Nº  HSH/TRANS CON TAMIZAJE PARA HEPATITIS CON RESULTADO REACTIVO</t>
  </si>
  <si>
    <t>11- BRIGADAS MÓVILES AMAZONICAS- BMA</t>
  </si>
  <si>
    <t>Nº  ATENDIDOS/AS</t>
  </si>
  <si>
    <t>Nº DE ATENCIONES</t>
  </si>
  <si>
    <t>Nº DE PERSONAS TAMIZADAS PARA VIH (1º TAMIZAJE)</t>
  </si>
  <si>
    <t>Nº  DE PERSONAS TAMIZADAS PARA  PARA VIH CON RESULTADO REACTIVO</t>
  </si>
  <si>
    <t>Nº DE PERSONAS TAMIZADAS PARA SÍFILIS  (1º TAMIZAJE)</t>
  </si>
  <si>
    <t>Nº DE PERSONAS TAMIZADAS PARA SÍFILIS CON RESULTADO REACTIVO</t>
  </si>
  <si>
    <t>Nº DE PERSONAS TAMIZADAS  PARA HEPATITIS  (1º TAMIZAJE)</t>
  </si>
  <si>
    <t>Nº  DE PERSONAS TAMIZADAS PARA PARA HEPATITIS CON RESULTADO REACTIVO</t>
  </si>
  <si>
    <t>12.TELEMEDICINA</t>
  </si>
  <si>
    <t>NÚMERO DE TELEORIENTACIONES REALIZADOS EN LOS SERVICIOS DE VIH,ITS Y HEPATITIS</t>
  </si>
  <si>
    <t>NÚMERO DE TELEMONITOREOS REALIZADOS EN LOS SERVICIOS DE VIH, ITS Y HEPATITIS</t>
  </si>
  <si>
    <t>NÚMERO DE TELECONSULTAS REALIZADOS EN LOS SERVICIOS DE VIH, ITS Y HEPATITIS</t>
  </si>
  <si>
    <t>NÚMERO DE TELEMONITOREOS REALIZADOS A LOS PACIENTES CON VIH</t>
  </si>
  <si>
    <t>NÚMERO DE TELEMONITOREOS REALIZADO A LOS PACIENTES CON HEPATITIS B CRÓNICA</t>
  </si>
  <si>
    <t>DIRESA HUANCAVELICA - DIRECCION DE ESTADISTICA E INFORMATICA</t>
  </si>
  <si>
    <t>NIVEL:</t>
  </si>
  <si>
    <t>DESDE:</t>
  </si>
  <si>
    <t>FECHA DE IMPRESION:</t>
  </si>
  <si>
    <t>HOJA DE MONITORIZACION MENSUAL DE LA ESN PREVENCION Y CONTROL DE ITS, VIH/SIDA Y HEPATITIS</t>
  </si>
  <si>
    <t>A</t>
  </si>
  <si>
    <t>B</t>
  </si>
  <si>
    <t>C</t>
  </si>
  <si>
    <t>D</t>
  </si>
  <si>
    <t>E</t>
  </si>
  <si>
    <t>G</t>
  </si>
  <si>
    <t>H</t>
  </si>
  <si>
    <t>H1</t>
  </si>
  <si>
    <t>H2</t>
  </si>
  <si>
    <t>I</t>
  </si>
  <si>
    <t>J</t>
  </si>
  <si>
    <t>J1</t>
  </si>
  <si>
    <t>K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</si>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</sst>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name val="Calibri"/>
      <charset val="134"/>
      <scheme val="minor"/>
    </font>
    <font>
      <b/>
      <sz val="11"/>
      <color rgb="FF000000"/>
      <name val="Segoe UI Emoji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Tahoma"/>
      <family val="2"/>
    </font>
    <font>
      <b/>
      <sz val="11"/>
      <name val="Tahoma"/>
      <family val="2"/>
    </font>
    <font>
      <b/>
      <sz val="14"/>
      <name val="Calibri"/>
      <family val="2"/>
      <scheme val="minor"/>
    </font>
    <font>
      <b/>
      <sz val="10"/>
      <color indexed="11"/>
      <name val="Arial"/>
      <charset val="134"/>
    </font>
    <font>
      <sz val="10"/>
      <color indexed="8"/>
      <name val="Arial"/>
      <charset val="134"/>
    </font>
    <font>
      <b/>
      <sz val="10"/>
      <color indexed="11"/>
      <name val="Arial"/>
      <family val="2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6A66DF"/>
        <bgColor rgb="FF6A66DF"/>
      </patternFill>
    </fill>
    <fill>
      <patternFill patternType="solid">
        <fgColor rgb="FFFFFF00"/>
        <bgColor indexed="64"/>
      </patternFill>
    </fill>
    <fill>
      <patternFill patternType="solid">
        <fgColor rgb="FF6A66DF"/>
        <bgColor indexed="64"/>
      </patternFill>
    </fill>
    <fill>
      <patternFill patternType="solid">
        <fgColor theme="0" tint="-0.34998626667073579"/>
        <bgColor indexed="64"/>
      </patternFill>
    </fill>
  </fills>
  <borders count="8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/>
      <bottom/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/>
      <bottom style="thin">
        <color rgb="FFD3D3D3"/>
      </bottom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/>
      <diagonal/>
    </border>
  </borders>
  <cellStyleXfs count="2">
    <xf numFmtId="0" fontId="0" fillId="0" borderId="0"/>
    <xf numFmtId="0" fontId="4" fillId="0" borderId="0"/>
  </cellStyleXfs>
  <cellXfs count="43">
    <xf numFmtId="0" fontId="0" fillId="0" borderId="0" xfId="0"/>
    <xf numFmtId="0" fontId="1" fillId="0" borderId="0" xfId="0" applyFont="1" applyAlignment="1">
      <alignment vertical="top" wrapText="1" readingOrder="1"/>
    </xf>
    <xf numFmtId="0" fontId="2" fillId="2" borderId="1" xfId="0" applyFont="1" applyFill="1" applyBorder="1" applyAlignment="1">
      <alignment horizontal="center" vertical="center" wrapText="1" readingOrder="1"/>
    </xf>
    <xf numFmtId="0" fontId="3" fillId="0" borderId="1" xfId="0" applyFont="1" applyBorder="1" applyAlignment="1">
      <alignment vertical="center" wrapText="1" readingOrder="1"/>
    </xf>
    <xf numFmtId="0" fontId="3" fillId="0" borderId="1" xfId="0" applyFont="1" applyBorder="1" applyAlignment="1">
      <alignment horizontal="center" vertical="center" wrapText="1" readingOrder="1"/>
    </xf>
    <xf numFmtId="0" fontId="2" fillId="2" borderId="1" xfId="0" applyFont="1" applyFill="1" applyBorder="1" applyAlignment="1">
      <alignment vertical="center" wrapText="1" readingOrder="1"/>
    </xf>
    <xf numFmtId="0" fontId="3" fillId="0" borderId="1" xfId="0" applyFont="1" applyBorder="1" applyAlignment="1">
      <alignment vertical="top" wrapText="1" readingOrder="1"/>
    </xf>
    <xf numFmtId="0" fontId="2" fillId="2" borderId="1" xfId="0" applyFont="1" applyFill="1" applyBorder="1" applyAlignment="1">
      <alignment vertical="top" wrapText="1" readingOrder="1"/>
    </xf>
    <xf numFmtId="0" fontId="2" fillId="2" borderId="1" xfId="0" applyFont="1" applyFill="1" applyBorder="1" applyAlignment="1">
      <alignment horizontal="center" vertical="top" wrapText="1" readingOrder="1"/>
    </xf>
    <xf numFmtId="0" fontId="5" fillId="0" borderId="0" xfId="1" applyFont="1" applyAlignment="1">
      <alignment vertical="center"/>
    </xf>
    <xf numFmtId="0" fontId="7" fillId="3" borderId="0" xfId="0" applyFont="1" applyFill="1" applyAlignment="1">
      <alignment horizontal="center"/>
    </xf>
    <xf numFmtId="0" fontId="8" fillId="4" borderId="1" xfId="0" applyFont="1" applyFill="1" applyBorder="1" applyAlignment="1">
      <alignment horizontal="center" vertical="center" wrapText="1" readingOrder="1"/>
    </xf>
    <xf numFmtId="0" fontId="9" fillId="0" borderId="1" xfId="0" applyFont="1" applyBorder="1" applyAlignment="1">
      <alignment vertical="center" wrapText="1" readingOrder="1"/>
    </xf>
    <xf numFmtId="0" fontId="10" fillId="4" borderId="1" xfId="0" applyFont="1" applyFill="1" applyBorder="1" applyAlignment="1">
      <alignment horizontal="center" vertical="center" wrapText="1" readingOrder="1"/>
    </xf>
    <xf numFmtId="0" fontId="9" fillId="0" borderId="1" xfId="0" applyFont="1" applyBorder="1" applyAlignment="1" applyProtection="1">
      <alignment horizontal="center" vertical="center" wrapText="1" readingOrder="1"/>
      <protection hidden="1"/>
    </xf>
    <xf numFmtId="0" fontId="11" fillId="0" borderId="1" xfId="0" applyFont="1" applyBorder="1" applyAlignment="1" applyProtection="1">
      <alignment horizontal="center" vertical="center" wrapText="1" readingOrder="1"/>
      <protection locked="0"/>
    </xf>
    <xf numFmtId="0" fontId="9" fillId="0" borderId="1" xfId="0" applyFont="1" applyBorder="1" applyAlignment="1" applyProtection="1">
      <alignment horizontal="center" vertical="center" wrapText="1" readingOrder="1"/>
      <protection locked="0"/>
    </xf>
    <xf numFmtId="0" fontId="3" fillId="0" borderId="1" xfId="0" applyFont="1" applyBorder="1" applyAlignment="1" applyProtection="1">
      <alignment horizontal="center" vertical="center" wrapText="1" readingOrder="1"/>
      <protection locked="0"/>
    </xf>
    <xf numFmtId="0" fontId="3" fillId="0" borderId="1" xfId="0" applyFont="1" applyBorder="1" applyAlignment="1" applyProtection="1">
      <alignment vertical="top" wrapText="1" readingOrder="1"/>
      <protection locked="0"/>
    </xf>
    <xf numFmtId="0" fontId="3" fillId="0" borderId="1" xfId="0" applyFont="1" applyBorder="1" applyAlignment="1" applyProtection="1">
      <alignment vertical="center" wrapText="1" readingOrder="1"/>
      <protection locked="0"/>
    </xf>
    <xf numFmtId="0" fontId="3" fillId="0" borderId="1" xfId="0" applyFont="1" applyBorder="1" applyAlignment="1" applyProtection="1">
      <alignment horizontal="center" vertical="top" wrapText="1" readingOrder="1"/>
      <protection locked="0"/>
    </xf>
    <xf numFmtId="0" fontId="3" fillId="0" borderId="1" xfId="0" applyFont="1" applyBorder="1" applyAlignment="1" applyProtection="1">
      <alignment horizontal="center" vertical="center" wrapText="1" readingOrder="1"/>
      <protection hidden="1"/>
    </xf>
    <xf numFmtId="0" fontId="8" fillId="4" borderId="6" xfId="0" applyFont="1" applyFill="1" applyBorder="1" applyAlignment="1">
      <alignment horizontal="center" vertical="center" wrapText="1" readingOrder="1"/>
    </xf>
    <xf numFmtId="0" fontId="8" fillId="4" borderId="2" xfId="0" applyFont="1" applyFill="1" applyBorder="1" applyAlignment="1">
      <alignment horizontal="center" vertical="center" wrapText="1" readingOrder="1"/>
    </xf>
    <xf numFmtId="0" fontId="8" fillId="4" borderId="4" xfId="0" applyFont="1" applyFill="1" applyBorder="1" applyAlignment="1">
      <alignment horizontal="center" vertical="center" wrapText="1" readingOrder="1"/>
    </xf>
    <xf numFmtId="0" fontId="2" fillId="2" borderId="1" xfId="0" applyFont="1" applyFill="1" applyBorder="1" applyAlignment="1">
      <alignment vertical="center" wrapText="1" readingOrder="1"/>
    </xf>
    <xf numFmtId="0" fontId="0" fillId="2" borderId="5" xfId="0" applyFill="1" applyBorder="1" applyAlignment="1">
      <alignment vertical="top" wrapText="1"/>
    </xf>
    <xf numFmtId="0" fontId="6" fillId="0" borderId="0" xfId="1" applyFont="1" applyAlignment="1">
      <alignment horizontal="center" vertical="center"/>
    </xf>
    <xf numFmtId="0" fontId="0" fillId="2" borderId="3" xfId="0" applyFill="1" applyBorder="1" applyAlignment="1">
      <alignment vertical="top" wrapText="1"/>
    </xf>
    <xf numFmtId="0" fontId="2" fillId="2" borderId="1" xfId="0" applyFont="1" applyFill="1" applyBorder="1" applyAlignment="1">
      <alignment horizontal="center" vertical="center" wrapText="1" readingOrder="1"/>
    </xf>
    <xf numFmtId="0" fontId="0" fillId="0" borderId="2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8" fillId="4" borderId="7" xfId="0" applyFont="1" applyFill="1" applyBorder="1" applyAlignment="1">
      <alignment horizontal="left" vertical="center" wrapText="1" readingOrder="1"/>
    </xf>
    <xf numFmtId="0" fontId="8" fillId="4" borderId="3" xfId="0" applyFont="1" applyFill="1" applyBorder="1" applyAlignment="1">
      <alignment horizontal="left" vertical="center" wrapText="1" readingOrder="1"/>
    </xf>
    <xf numFmtId="0" fontId="8" fillId="4" borderId="5" xfId="0" applyFont="1" applyFill="1" applyBorder="1" applyAlignment="1">
      <alignment horizontal="left" vertical="center" wrapText="1" readingOrder="1"/>
    </xf>
    <xf numFmtId="0" fontId="9" fillId="0" borderId="6" xfId="0" applyFont="1" applyBorder="1" applyAlignment="1" applyProtection="1">
      <alignment horizontal="center" vertical="center" wrapText="1" readingOrder="1"/>
      <protection locked="0"/>
    </xf>
    <xf numFmtId="0" fontId="9" fillId="0" borderId="2" xfId="0" applyFont="1" applyBorder="1" applyAlignment="1" applyProtection="1">
      <alignment horizontal="center" vertical="center" wrapText="1" readingOrder="1"/>
      <protection locked="0"/>
    </xf>
    <xf numFmtId="0" fontId="9" fillId="0" borderId="4" xfId="0" applyFont="1" applyBorder="1" applyAlignment="1" applyProtection="1">
      <alignment horizontal="center" vertical="center" wrapText="1" readingOrder="1"/>
      <protection locked="0"/>
    </xf>
    <xf numFmtId="0" fontId="9" fillId="5" borderId="6" xfId="0" applyFont="1" applyFill="1" applyBorder="1" applyAlignment="1" applyProtection="1">
      <alignment horizontal="center" vertical="center" wrapText="1" readingOrder="1"/>
      <protection locked="0"/>
    </xf>
    <xf numFmtId="0" fontId="9" fillId="5" borderId="2" xfId="0" applyFont="1" applyFill="1" applyBorder="1" applyAlignment="1" applyProtection="1">
      <alignment horizontal="center" vertical="center" wrapText="1" readingOrder="1"/>
      <protection locked="0"/>
    </xf>
    <xf numFmtId="0" fontId="9" fillId="5" borderId="4" xfId="0" applyFont="1" applyFill="1" applyBorder="1" applyAlignment="1" applyProtection="1">
      <alignment horizontal="center" vertical="center" wrapText="1" readingOrder="1"/>
      <protection locked="0"/>
    </xf>
    <xf numFmtId="0" fontId="9" fillId="5" borderId="1" xfId="0" applyFont="1" applyFill="1" applyBorder="1" applyAlignment="1" applyProtection="1">
      <alignment horizontal="center" vertical="center" wrapText="1" readingOrder="1"/>
      <protection hidden="1"/>
    </xf>
    <xf numFmtId="0" fontId="9" fillId="5" borderId="1" xfId="0" applyFont="1" applyFill="1" applyBorder="1" applyAlignment="1" applyProtection="1">
      <alignment horizontal="center" vertical="center" wrapText="1" readingOrder="1"/>
      <protection locked="0"/>
    </xf>
  </cellXfs>
  <cellStyles count="2">
    <cellStyle name="Normal" xfId="0" builtinId="0"/>
    <cellStyle name="Normal 2" xfId="1" xr:uid="{277238D9-35C3-470F-8658-535063628B5B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6A66DF"/>
      <rgbColor rgb="00D3D3D3"/>
      <rgbColor rgb="00FFFFFF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P203"/>
  <sheetViews>
    <sheetView showGridLines="0" tabSelected="1" topLeftCell="A4" zoomScale="85" zoomScaleNormal="85" workbookViewId="0">
      <selection activeCell="A17" sqref="A17"/>
    </sheetView>
  </sheetViews>
  <sheetFormatPr baseColWidth="10" defaultColWidth="10" defaultRowHeight="14.4"/>
  <cols>
    <col min="2" max="2" width="54.88671875" customWidth="1"/>
    <col min="3" max="42" width="13.6640625" customWidth="1"/>
    <col min="43" max="43" width="0" hidden="1" customWidth="1"/>
  </cols>
  <sheetData>
    <row r="1" spans="1:38" ht="13.8" customHeight="1">
      <c r="B1" s="9" t="s">
        <v>157</v>
      </c>
    </row>
    <row r="2" spans="1:38" ht="13.8" customHeight="1">
      <c r="B2" s="9" t="s">
        <v>158</v>
      </c>
    </row>
    <row r="3" spans="1:38" ht="13.8" customHeight="1">
      <c r="B3" s="9" t="s">
        <v>159</v>
      </c>
    </row>
    <row r="4" spans="1:38" ht="13.8" customHeight="1">
      <c r="B4" s="9" t="s">
        <v>160</v>
      </c>
    </row>
    <row r="5" spans="1:38" ht="15.6" customHeight="1"/>
    <row r="6" spans="1:38">
      <c r="B6" s="27" t="s">
        <v>161</v>
      </c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</row>
    <row r="7" spans="1:38" ht="18" customHeight="1">
      <c r="B7" s="1"/>
    </row>
    <row r="8" spans="1:38" ht="22.2" customHeight="1"/>
    <row r="9" spans="1:38" ht="18" customHeight="1">
      <c r="A9" s="10" t="s">
        <v>162</v>
      </c>
      <c r="B9" s="32" t="s">
        <v>0</v>
      </c>
      <c r="C9" s="22" t="s">
        <v>1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4"/>
      <c r="R9" s="22" t="s">
        <v>3</v>
      </c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  <c r="AG9" s="22" t="s">
        <v>4</v>
      </c>
      <c r="AH9" s="23"/>
      <c r="AI9" s="23"/>
      <c r="AJ9" s="23"/>
      <c r="AK9" s="23"/>
      <c r="AL9" s="24"/>
    </row>
    <row r="10" spans="1:38" ht="18" customHeight="1">
      <c r="B10" s="33"/>
      <c r="C10" s="22" t="s">
        <v>5</v>
      </c>
      <c r="D10" s="23"/>
      <c r="E10" s="24"/>
      <c r="F10" s="22" t="s">
        <v>6</v>
      </c>
      <c r="G10" s="23"/>
      <c r="H10" s="24"/>
      <c r="I10" s="22" t="s">
        <v>7</v>
      </c>
      <c r="J10" s="23"/>
      <c r="K10" s="24"/>
      <c r="L10" s="22" t="s">
        <v>8</v>
      </c>
      <c r="M10" s="23"/>
      <c r="N10" s="24"/>
      <c r="O10" s="22" t="s">
        <v>9</v>
      </c>
      <c r="P10" s="23"/>
      <c r="Q10" s="24"/>
      <c r="R10" s="22" t="s">
        <v>5</v>
      </c>
      <c r="S10" s="23"/>
      <c r="T10" s="24"/>
      <c r="U10" s="22" t="s">
        <v>6</v>
      </c>
      <c r="V10" s="23"/>
      <c r="W10" s="24"/>
      <c r="X10" s="22" t="s">
        <v>7</v>
      </c>
      <c r="Y10" s="23"/>
      <c r="Z10" s="24"/>
      <c r="AA10" s="22" t="s">
        <v>8</v>
      </c>
      <c r="AB10" s="23"/>
      <c r="AC10" s="24"/>
      <c r="AD10" s="22" t="s">
        <v>9</v>
      </c>
      <c r="AE10" s="23"/>
      <c r="AF10" s="24"/>
      <c r="AG10" s="22" t="s">
        <v>10</v>
      </c>
      <c r="AH10" s="24"/>
      <c r="AI10" s="22" t="s">
        <v>11</v>
      </c>
      <c r="AJ10" s="24"/>
      <c r="AK10" s="22" t="s">
        <v>12</v>
      </c>
      <c r="AL10" s="24"/>
    </row>
    <row r="11" spans="1:38" ht="18" customHeight="1">
      <c r="B11" s="34"/>
      <c r="C11" s="13" t="s">
        <v>10</v>
      </c>
      <c r="D11" s="13" t="s">
        <v>11</v>
      </c>
      <c r="E11" s="13" t="s">
        <v>12</v>
      </c>
      <c r="F11" s="13" t="s">
        <v>10</v>
      </c>
      <c r="G11" s="13" t="s">
        <v>11</v>
      </c>
      <c r="H11" s="13" t="s">
        <v>12</v>
      </c>
      <c r="I11" s="13" t="s">
        <v>10</v>
      </c>
      <c r="J11" s="13" t="s">
        <v>11</v>
      </c>
      <c r="K11" s="13" t="s">
        <v>12</v>
      </c>
      <c r="L11" s="13" t="s">
        <v>10</v>
      </c>
      <c r="M11" s="13" t="s">
        <v>11</v>
      </c>
      <c r="N11" s="13" t="s">
        <v>12</v>
      </c>
      <c r="O11" s="13" t="s">
        <v>10</v>
      </c>
      <c r="P11" s="13" t="s">
        <v>11</v>
      </c>
      <c r="Q11" s="13" t="s">
        <v>12</v>
      </c>
      <c r="R11" s="13" t="s">
        <v>10</v>
      </c>
      <c r="S11" s="13" t="s">
        <v>11</v>
      </c>
      <c r="T11" s="13" t="s">
        <v>12</v>
      </c>
      <c r="U11" s="13" t="s">
        <v>10</v>
      </c>
      <c r="V11" s="13" t="s">
        <v>11</v>
      </c>
      <c r="W11" s="13" t="s">
        <v>12</v>
      </c>
      <c r="X11" s="13" t="s">
        <v>10</v>
      </c>
      <c r="Y11" s="13" t="s">
        <v>11</v>
      </c>
      <c r="Z11" s="13" t="s">
        <v>12</v>
      </c>
      <c r="AA11" s="13" t="s">
        <v>10</v>
      </c>
      <c r="AB11" s="13" t="s">
        <v>11</v>
      </c>
      <c r="AC11" s="13" t="s">
        <v>12</v>
      </c>
      <c r="AD11" s="13" t="s">
        <v>10</v>
      </c>
      <c r="AE11" s="13" t="s">
        <v>11</v>
      </c>
      <c r="AF11" s="13" t="s">
        <v>12</v>
      </c>
      <c r="AG11" s="11" t="s">
        <v>1</v>
      </c>
      <c r="AH11" s="11" t="s">
        <v>3</v>
      </c>
      <c r="AI11" s="11" t="s">
        <v>1</v>
      </c>
      <c r="AJ11" s="11" t="s">
        <v>3</v>
      </c>
      <c r="AK11" s="11" t="s">
        <v>1</v>
      </c>
      <c r="AL11" s="11" t="s">
        <v>3</v>
      </c>
    </row>
    <row r="12" spans="1:38" ht="18" customHeight="1">
      <c r="B12" s="12" t="s">
        <v>13</v>
      </c>
      <c r="C12" s="15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4" t="str">
        <f t="shared" ref="AG12:AG24" si="0">IF(AND(C12="",F12="",I12="",L12="",O12=""),"",SUM(C12,F12,I12,L12,O12))</f>
        <v/>
      </c>
      <c r="AH12" s="14" t="str">
        <f>IF(AND(R12="",U12="",X12="",AA12="",AD12=""),"",SUM(R12,U12,X12,AA12,AD12))</f>
        <v/>
      </c>
      <c r="AI12" s="14" t="str">
        <f>IF(AND(D12="",G12="",J12="",M12="",P12=""),"",SUM(D12,G12,J12,M12,P12))</f>
        <v/>
      </c>
      <c r="AJ12" s="14" t="str">
        <f>IF(AND(S12="",V12="",Y12="",AB12="",AE12=""),"",SUM(S12,V12,Y12,AB12,AE12))</f>
        <v/>
      </c>
      <c r="AK12" s="14" t="str">
        <f>IF(AND(E12="",H12="",K12="",N12="",Q12=""),"",SUM(E12,H12,K12,N12,Q12))</f>
        <v/>
      </c>
      <c r="AL12" s="14" t="str">
        <f>IF(AND(T12="",W12="",Z12="",AC12="",AF12=""),"",SUM(T12,W12,Z12,AC12,AF12))</f>
        <v/>
      </c>
    </row>
    <row r="13" spans="1:38" ht="18" customHeight="1">
      <c r="B13" s="12" t="s">
        <v>14</v>
      </c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4" t="str">
        <f t="shared" si="0"/>
        <v/>
      </c>
      <c r="AH13" s="14" t="str">
        <f t="shared" ref="AH13:AH24" si="1">IF(AND(R13="",U13="",X13="",AA13="",AD13=""),"",SUM(R13,U13,X13,AA13,AD13))</f>
        <v/>
      </c>
      <c r="AI13" s="14" t="str">
        <f t="shared" ref="AI13:AI24" si="2">IF(AND(D13="",G13="",J13="",M13="",P13=""),"",SUM(D13,G13,J13,M13,P13))</f>
        <v/>
      </c>
      <c r="AJ13" s="14" t="str">
        <f t="shared" ref="AJ13:AJ24" si="3">IF(AND(S13="",V13="",Y13="",AB13="",AE13=""),"",SUM(S13,V13,Y13,AB13,AE13))</f>
        <v/>
      </c>
      <c r="AK13" s="14" t="str">
        <f t="shared" ref="AK13:AK24" si="4">IF(AND(E13="",H13="",K13="",N13="",Q13=""),"",SUM(E13,H13,K13,N13,Q13))</f>
        <v/>
      </c>
      <c r="AL13" s="14" t="str">
        <f t="shared" ref="AL13:AL24" si="5">IF(AND(T13="",W13="",Z13="",AC13="",AF13=""),"",SUM(T13,W13,Z13,AC13,AF13))</f>
        <v/>
      </c>
    </row>
    <row r="14" spans="1:38" ht="18" customHeight="1">
      <c r="B14" s="12" t="s">
        <v>15</v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14" t="str">
        <f t="shared" si="0"/>
        <v/>
      </c>
      <c r="AH14" s="14" t="str">
        <f t="shared" si="1"/>
        <v/>
      </c>
      <c r="AI14" s="14" t="str">
        <f t="shared" si="2"/>
        <v/>
      </c>
      <c r="AJ14" s="14" t="str">
        <f t="shared" si="3"/>
        <v/>
      </c>
      <c r="AK14" s="14" t="str">
        <f t="shared" si="4"/>
        <v/>
      </c>
      <c r="AL14" s="14" t="str">
        <f t="shared" si="5"/>
        <v/>
      </c>
    </row>
    <row r="15" spans="1:38" ht="18" customHeight="1">
      <c r="B15" s="12" t="s">
        <v>16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4" t="str">
        <f t="shared" si="0"/>
        <v/>
      </c>
      <c r="AH15" s="14" t="str">
        <f t="shared" si="1"/>
        <v/>
      </c>
      <c r="AI15" s="14" t="str">
        <f t="shared" si="2"/>
        <v/>
      </c>
      <c r="AJ15" s="14" t="str">
        <f t="shared" si="3"/>
        <v/>
      </c>
      <c r="AK15" s="14" t="str">
        <f t="shared" si="4"/>
        <v/>
      </c>
      <c r="AL15" s="14" t="str">
        <f t="shared" si="5"/>
        <v/>
      </c>
    </row>
    <row r="16" spans="1:38" ht="18" customHeight="1">
      <c r="B16" s="12" t="s">
        <v>17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4" t="str">
        <f t="shared" si="0"/>
        <v/>
      </c>
      <c r="AH16" s="14" t="str">
        <f t="shared" si="1"/>
        <v/>
      </c>
      <c r="AI16" s="14" t="str">
        <f t="shared" si="2"/>
        <v/>
      </c>
      <c r="AJ16" s="14" t="str">
        <f t="shared" si="3"/>
        <v/>
      </c>
      <c r="AK16" s="14" t="str">
        <f t="shared" si="4"/>
        <v/>
      </c>
      <c r="AL16" s="14" t="str">
        <f t="shared" si="5"/>
        <v/>
      </c>
    </row>
    <row r="17" spans="1:38" ht="18" customHeight="1">
      <c r="B17" s="12" t="s">
        <v>18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14" t="str">
        <f t="shared" si="0"/>
        <v/>
      </c>
      <c r="AH17" s="14" t="str">
        <f t="shared" si="1"/>
        <v/>
      </c>
      <c r="AI17" s="14" t="str">
        <f t="shared" si="2"/>
        <v/>
      </c>
      <c r="AJ17" s="14" t="str">
        <f t="shared" si="3"/>
        <v/>
      </c>
      <c r="AK17" s="14" t="str">
        <f t="shared" si="4"/>
        <v/>
      </c>
      <c r="AL17" s="14" t="str">
        <f t="shared" si="5"/>
        <v/>
      </c>
    </row>
    <row r="18" spans="1:38" ht="18" customHeight="1">
      <c r="B18" s="12" t="s">
        <v>19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4" t="str">
        <f t="shared" si="0"/>
        <v/>
      </c>
      <c r="AH18" s="14" t="str">
        <f t="shared" si="1"/>
        <v/>
      </c>
      <c r="AI18" s="14" t="str">
        <f t="shared" si="2"/>
        <v/>
      </c>
      <c r="AJ18" s="14" t="str">
        <f t="shared" si="3"/>
        <v/>
      </c>
      <c r="AK18" s="14" t="str">
        <f t="shared" si="4"/>
        <v/>
      </c>
      <c r="AL18" s="14" t="str">
        <f t="shared" si="5"/>
        <v/>
      </c>
    </row>
    <row r="19" spans="1:38" ht="18" customHeight="1">
      <c r="B19" s="12" t="s">
        <v>20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4" t="str">
        <f t="shared" si="0"/>
        <v/>
      </c>
      <c r="AH19" s="14" t="str">
        <f t="shared" si="1"/>
        <v/>
      </c>
      <c r="AI19" s="14" t="str">
        <f t="shared" si="2"/>
        <v/>
      </c>
      <c r="AJ19" s="14" t="str">
        <f t="shared" si="3"/>
        <v/>
      </c>
      <c r="AK19" s="14" t="str">
        <f t="shared" si="4"/>
        <v/>
      </c>
      <c r="AL19" s="14" t="str">
        <f t="shared" si="5"/>
        <v/>
      </c>
    </row>
    <row r="20" spans="1:38" ht="18" customHeight="1">
      <c r="B20" s="12" t="s">
        <v>21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4" t="str">
        <f t="shared" si="0"/>
        <v/>
      </c>
      <c r="AH20" s="14" t="str">
        <f t="shared" si="1"/>
        <v/>
      </c>
      <c r="AI20" s="14" t="str">
        <f t="shared" si="2"/>
        <v/>
      </c>
      <c r="AJ20" s="14" t="str">
        <f t="shared" si="3"/>
        <v/>
      </c>
      <c r="AK20" s="14" t="str">
        <f t="shared" si="4"/>
        <v/>
      </c>
      <c r="AL20" s="14" t="str">
        <f t="shared" si="5"/>
        <v/>
      </c>
    </row>
    <row r="21" spans="1:38" ht="18" customHeight="1">
      <c r="B21" s="12" t="s">
        <v>22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4" t="str">
        <f t="shared" si="0"/>
        <v/>
      </c>
      <c r="AH21" s="14" t="str">
        <f t="shared" si="1"/>
        <v/>
      </c>
      <c r="AI21" s="14" t="str">
        <f t="shared" si="2"/>
        <v/>
      </c>
      <c r="AJ21" s="14" t="str">
        <f t="shared" si="3"/>
        <v/>
      </c>
      <c r="AK21" s="14" t="str">
        <f t="shared" si="4"/>
        <v/>
      </c>
      <c r="AL21" s="14" t="str">
        <f t="shared" si="5"/>
        <v/>
      </c>
    </row>
    <row r="22" spans="1:38" ht="18" customHeight="1">
      <c r="B22" s="12" t="s">
        <v>23</v>
      </c>
      <c r="C22" s="35"/>
      <c r="D22" s="36"/>
      <c r="E22" s="37"/>
      <c r="F22" s="35"/>
      <c r="G22" s="36"/>
      <c r="H22" s="37"/>
      <c r="I22" s="35"/>
      <c r="J22" s="36"/>
      <c r="K22" s="37"/>
      <c r="L22" s="35"/>
      <c r="M22" s="36"/>
      <c r="N22" s="37"/>
      <c r="O22" s="35"/>
      <c r="P22" s="36"/>
      <c r="Q22" s="37"/>
      <c r="R22" s="35"/>
      <c r="S22" s="36"/>
      <c r="T22" s="37"/>
      <c r="U22" s="35"/>
      <c r="V22" s="36"/>
      <c r="W22" s="37"/>
      <c r="X22" s="35"/>
      <c r="Y22" s="36"/>
      <c r="Z22" s="37"/>
      <c r="AA22" s="35"/>
      <c r="AB22" s="36"/>
      <c r="AC22" s="37"/>
      <c r="AD22" s="35"/>
      <c r="AE22" s="36"/>
      <c r="AF22" s="37"/>
      <c r="AG22" s="41" t="str">
        <f t="shared" si="0"/>
        <v/>
      </c>
      <c r="AH22" s="41" t="str">
        <f t="shared" si="1"/>
        <v/>
      </c>
      <c r="AI22" s="41" t="str">
        <f t="shared" si="2"/>
        <v/>
      </c>
      <c r="AJ22" s="41" t="str">
        <f t="shared" si="3"/>
        <v/>
      </c>
      <c r="AK22" s="41" t="str">
        <f t="shared" si="4"/>
        <v/>
      </c>
      <c r="AL22" s="41" t="str">
        <f t="shared" si="5"/>
        <v/>
      </c>
    </row>
    <row r="23" spans="1:38" ht="18" customHeight="1">
      <c r="B23" s="12" t="s">
        <v>24</v>
      </c>
      <c r="C23" s="35"/>
      <c r="D23" s="36"/>
      <c r="E23" s="37"/>
      <c r="F23" s="35"/>
      <c r="G23" s="36"/>
      <c r="H23" s="37"/>
      <c r="I23" s="35"/>
      <c r="J23" s="36"/>
      <c r="K23" s="37"/>
      <c r="L23" s="35"/>
      <c r="M23" s="36"/>
      <c r="N23" s="37"/>
      <c r="O23" s="35"/>
      <c r="P23" s="36"/>
      <c r="Q23" s="37"/>
      <c r="R23" s="35"/>
      <c r="S23" s="36"/>
      <c r="T23" s="37"/>
      <c r="U23" s="35"/>
      <c r="V23" s="36"/>
      <c r="W23" s="37"/>
      <c r="X23" s="35"/>
      <c r="Y23" s="36"/>
      <c r="Z23" s="37"/>
      <c r="AA23" s="35"/>
      <c r="AB23" s="36"/>
      <c r="AC23" s="37"/>
      <c r="AD23" s="35"/>
      <c r="AE23" s="36"/>
      <c r="AF23" s="37"/>
      <c r="AG23" s="41" t="str">
        <f t="shared" si="0"/>
        <v/>
      </c>
      <c r="AH23" s="41" t="str">
        <f t="shared" si="1"/>
        <v/>
      </c>
      <c r="AI23" s="41" t="str">
        <f t="shared" si="2"/>
        <v/>
      </c>
      <c r="AJ23" s="41" t="str">
        <f t="shared" si="3"/>
        <v/>
      </c>
      <c r="AK23" s="41" t="str">
        <f t="shared" si="4"/>
        <v/>
      </c>
      <c r="AL23" s="41" t="str">
        <f t="shared" si="5"/>
        <v/>
      </c>
    </row>
    <row r="24" spans="1:38" ht="18" customHeight="1">
      <c r="B24" s="12" t="s">
        <v>25</v>
      </c>
      <c r="C24" s="38"/>
      <c r="D24" s="39"/>
      <c r="E24" s="40"/>
      <c r="F24" s="35"/>
      <c r="G24" s="36"/>
      <c r="H24" s="37"/>
      <c r="I24" s="35"/>
      <c r="J24" s="36"/>
      <c r="K24" s="37"/>
      <c r="L24" s="35"/>
      <c r="M24" s="36"/>
      <c r="N24" s="37"/>
      <c r="O24" s="35"/>
      <c r="P24" s="36"/>
      <c r="Q24" s="37"/>
      <c r="R24" s="38"/>
      <c r="S24" s="39"/>
      <c r="T24" s="40"/>
      <c r="U24" s="35"/>
      <c r="V24" s="36"/>
      <c r="W24" s="37"/>
      <c r="X24" s="35"/>
      <c r="Y24" s="36"/>
      <c r="Z24" s="37"/>
      <c r="AA24" s="35"/>
      <c r="AB24" s="36"/>
      <c r="AC24" s="37"/>
      <c r="AD24" s="35"/>
      <c r="AE24" s="36"/>
      <c r="AF24" s="37"/>
      <c r="AG24" s="41" t="str">
        <f t="shared" si="0"/>
        <v/>
      </c>
      <c r="AH24" s="41" t="str">
        <f t="shared" si="1"/>
        <v/>
      </c>
      <c r="AI24" s="41" t="str">
        <f t="shared" si="2"/>
        <v/>
      </c>
      <c r="AJ24" s="41" t="str">
        <f t="shared" si="3"/>
        <v/>
      </c>
      <c r="AK24" s="41" t="str">
        <f t="shared" si="4"/>
        <v/>
      </c>
      <c r="AL24" s="41" t="str">
        <f t="shared" si="5"/>
        <v/>
      </c>
    </row>
    <row r="25" spans="1:38" ht="16.5" customHeight="1"/>
    <row r="26" spans="1:38" ht="18" customHeight="1">
      <c r="A26" s="10" t="s">
        <v>163</v>
      </c>
      <c r="B26" s="25" t="s">
        <v>26</v>
      </c>
      <c r="C26" s="29" t="s">
        <v>1</v>
      </c>
      <c r="D26" s="30" t="s">
        <v>2</v>
      </c>
      <c r="E26" s="30" t="s">
        <v>2</v>
      </c>
      <c r="F26" s="30" t="s">
        <v>2</v>
      </c>
      <c r="G26" s="31" t="s">
        <v>2</v>
      </c>
      <c r="H26" s="29" t="s">
        <v>3</v>
      </c>
      <c r="I26" s="30" t="s">
        <v>2</v>
      </c>
      <c r="J26" s="30" t="s">
        <v>2</v>
      </c>
      <c r="K26" s="30" t="s">
        <v>2</v>
      </c>
      <c r="L26" s="31" t="s">
        <v>2</v>
      </c>
      <c r="M26" s="29" t="s">
        <v>4</v>
      </c>
      <c r="N26" s="30" t="s">
        <v>2</v>
      </c>
      <c r="O26" s="31" t="s">
        <v>2</v>
      </c>
    </row>
    <row r="27" spans="1:38">
      <c r="B27" s="26" t="s">
        <v>2</v>
      </c>
      <c r="C27" s="2" t="s">
        <v>5</v>
      </c>
      <c r="D27" s="2" t="s">
        <v>6</v>
      </c>
      <c r="E27" s="2" t="s">
        <v>7</v>
      </c>
      <c r="F27" s="2" t="s">
        <v>8</v>
      </c>
      <c r="G27" s="2" t="s">
        <v>9</v>
      </c>
      <c r="H27" s="2" t="s">
        <v>5</v>
      </c>
      <c r="I27" s="2" t="s">
        <v>6</v>
      </c>
      <c r="J27" s="2" t="s">
        <v>7</v>
      </c>
      <c r="K27" s="2" t="s">
        <v>8</v>
      </c>
      <c r="L27" s="2" t="s">
        <v>9</v>
      </c>
      <c r="M27" s="2" t="s">
        <v>1</v>
      </c>
      <c r="N27" s="2" t="s">
        <v>3</v>
      </c>
      <c r="O27" s="2" t="s">
        <v>4</v>
      </c>
    </row>
    <row r="28" spans="1:38">
      <c r="B28" s="3" t="s">
        <v>27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21" t="str">
        <f>IF(AND(C28="",D28="",E28="",F28="",G28=""),"",SUM(C28:G28))</f>
        <v/>
      </c>
      <c r="N28" s="21" t="str">
        <f>IF(AND(H28="",I28="",J28="",K28="",L28=""),"",SUM(H28:L28))</f>
        <v/>
      </c>
      <c r="O28" s="21" t="str">
        <f>IF(AND(M28="",N28=""),"",SUM(M28:N28))</f>
        <v/>
      </c>
    </row>
    <row r="29" spans="1:38">
      <c r="B29" s="3" t="s">
        <v>28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21" t="str">
        <f t="shared" ref="M29:M35" si="6">IF(AND(C29="",D29="",E29="",F29="",G29=""),"",SUM(C29:G29))</f>
        <v/>
      </c>
      <c r="N29" s="21" t="str">
        <f t="shared" ref="N29:N35" si="7">IF(AND(H29="",I29="",J29="",K29="",L29=""),"",SUM(H29:L29))</f>
        <v/>
      </c>
      <c r="O29" s="21" t="str">
        <f t="shared" ref="O29:O35" si="8">IF(AND(M29="",N29=""),"",SUM(M29:N29))</f>
        <v/>
      </c>
    </row>
    <row r="30" spans="1:38">
      <c r="B30" s="3" t="s">
        <v>29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21" t="str">
        <f t="shared" si="6"/>
        <v/>
      </c>
      <c r="N30" s="21" t="str">
        <f t="shared" si="7"/>
        <v/>
      </c>
      <c r="O30" s="21" t="str">
        <f t="shared" si="8"/>
        <v/>
      </c>
    </row>
    <row r="31" spans="1:38" ht="26.4">
      <c r="B31" s="3" t="s">
        <v>30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21" t="str">
        <f t="shared" si="6"/>
        <v/>
      </c>
      <c r="N31" s="21" t="str">
        <f t="shared" si="7"/>
        <v/>
      </c>
      <c r="O31" s="21" t="str">
        <f t="shared" si="8"/>
        <v/>
      </c>
    </row>
    <row r="32" spans="1:38" ht="26.4">
      <c r="B32" s="3" t="s">
        <v>31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21" t="str">
        <f t="shared" si="6"/>
        <v/>
      </c>
      <c r="N32" s="21" t="str">
        <f t="shared" si="7"/>
        <v/>
      </c>
      <c r="O32" s="21" t="str">
        <f t="shared" si="8"/>
        <v/>
      </c>
    </row>
    <row r="33" spans="1:15" ht="26.4">
      <c r="B33" s="3" t="s">
        <v>32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21" t="str">
        <f t="shared" si="6"/>
        <v/>
      </c>
      <c r="N33" s="21" t="str">
        <f t="shared" si="7"/>
        <v/>
      </c>
      <c r="O33" s="21" t="str">
        <f t="shared" si="8"/>
        <v/>
      </c>
    </row>
    <row r="34" spans="1:15" ht="26.4">
      <c r="B34" s="3" t="s">
        <v>33</v>
      </c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21" t="str">
        <f t="shared" si="6"/>
        <v/>
      </c>
      <c r="N34" s="21" t="str">
        <f t="shared" si="7"/>
        <v/>
      </c>
      <c r="O34" s="21" t="str">
        <f t="shared" si="8"/>
        <v/>
      </c>
    </row>
    <row r="35" spans="1:15" ht="39.6">
      <c r="B35" s="3" t="s">
        <v>34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21" t="str">
        <f t="shared" si="6"/>
        <v/>
      </c>
      <c r="N35" s="21" t="str">
        <f t="shared" si="7"/>
        <v/>
      </c>
      <c r="O35" s="21" t="str">
        <f t="shared" si="8"/>
        <v/>
      </c>
    </row>
    <row r="36" spans="1:15" ht="13.5" customHeight="1"/>
    <row r="37" spans="1:15" ht="18" customHeight="1">
      <c r="A37" s="10" t="s">
        <v>164</v>
      </c>
      <c r="B37" s="25" t="s">
        <v>35</v>
      </c>
      <c r="C37" s="29" t="s">
        <v>1</v>
      </c>
      <c r="D37" s="30" t="s">
        <v>2</v>
      </c>
      <c r="E37" s="30" t="s">
        <v>2</v>
      </c>
      <c r="F37" s="30" t="s">
        <v>2</v>
      </c>
      <c r="G37" s="31" t="s">
        <v>2</v>
      </c>
      <c r="H37" s="29" t="s">
        <v>3</v>
      </c>
      <c r="I37" s="30" t="s">
        <v>2</v>
      </c>
      <c r="J37" s="30" t="s">
        <v>2</v>
      </c>
      <c r="K37" s="30" t="s">
        <v>2</v>
      </c>
      <c r="L37" s="31" t="s">
        <v>2</v>
      </c>
      <c r="M37" s="29" t="s">
        <v>4</v>
      </c>
      <c r="N37" s="30" t="s">
        <v>2</v>
      </c>
      <c r="O37" s="31" t="s">
        <v>2</v>
      </c>
    </row>
    <row r="38" spans="1:15" ht="18" customHeight="1">
      <c r="B38" s="26" t="s">
        <v>2</v>
      </c>
      <c r="C38" s="2" t="s">
        <v>5</v>
      </c>
      <c r="D38" s="2" t="s">
        <v>6</v>
      </c>
      <c r="E38" s="2" t="s">
        <v>7</v>
      </c>
      <c r="F38" s="2" t="s">
        <v>8</v>
      </c>
      <c r="G38" s="2" t="s">
        <v>9</v>
      </c>
      <c r="H38" s="2" t="s">
        <v>5</v>
      </c>
      <c r="I38" s="2" t="s">
        <v>6</v>
      </c>
      <c r="J38" s="2" t="s">
        <v>7</v>
      </c>
      <c r="K38" s="2" t="s">
        <v>8</v>
      </c>
      <c r="L38" s="2" t="s">
        <v>9</v>
      </c>
      <c r="M38" s="2" t="s">
        <v>1</v>
      </c>
      <c r="N38" s="2" t="s">
        <v>3</v>
      </c>
      <c r="O38" s="2" t="s">
        <v>4</v>
      </c>
    </row>
    <row r="39" spans="1:15" ht="18" customHeight="1">
      <c r="B39" s="6" t="s">
        <v>36</v>
      </c>
      <c r="C39" s="18"/>
      <c r="D39" s="18"/>
      <c r="E39" s="18"/>
      <c r="F39" s="18"/>
      <c r="G39" s="18"/>
      <c r="H39" s="18"/>
      <c r="I39" s="18"/>
      <c r="J39" s="18"/>
      <c r="K39" s="18"/>
      <c r="L39" s="18" t="s">
        <v>2</v>
      </c>
      <c r="M39" s="21" t="str">
        <f>IF(AND(C39="",D39="",E39="",F39="",G39=""),"",SUM(C39:G39))</f>
        <v/>
      </c>
      <c r="N39" s="21" t="str">
        <f>IF(AND(H39="",I39="",J39="",K39="",L39=""),"",SUM(H39:L39))</f>
        <v/>
      </c>
      <c r="O39" s="21" t="str">
        <f>IF(AND(M39="",N39=""),"",SUM(M39:N39))</f>
        <v/>
      </c>
    </row>
    <row r="40" spans="1:15" ht="18" customHeight="1">
      <c r="B40" s="6" t="s">
        <v>37</v>
      </c>
      <c r="C40" s="18"/>
      <c r="D40" s="18"/>
      <c r="E40" s="18"/>
      <c r="F40" s="18"/>
      <c r="G40" s="18"/>
      <c r="H40" s="18"/>
      <c r="I40" s="18"/>
      <c r="J40" s="18"/>
      <c r="K40" s="18"/>
      <c r="L40" s="18" t="s">
        <v>2</v>
      </c>
      <c r="M40" s="21" t="str">
        <f t="shared" ref="M40:M44" si="9">IF(AND(C40="",D40="",E40="",F40="",G40=""),"",SUM(C40:G40))</f>
        <v/>
      </c>
      <c r="N40" s="21" t="str">
        <f t="shared" ref="N40:N44" si="10">IF(AND(H40="",I40="",J40="",K40="",L40=""),"",SUM(H40:L40))</f>
        <v/>
      </c>
      <c r="O40" s="21" t="str">
        <f t="shared" ref="O40:O44" si="11">IF(AND(M40="",N40=""),"",SUM(M40:N40))</f>
        <v/>
      </c>
    </row>
    <row r="41" spans="1:15" ht="18" customHeight="1">
      <c r="B41" s="6" t="s">
        <v>38</v>
      </c>
      <c r="C41" s="18"/>
      <c r="D41" s="18"/>
      <c r="E41" s="18"/>
      <c r="F41" s="18"/>
      <c r="G41" s="18"/>
      <c r="H41" s="18"/>
      <c r="I41" s="18"/>
      <c r="J41" s="18"/>
      <c r="K41" s="18"/>
      <c r="L41" s="18" t="s">
        <v>2</v>
      </c>
      <c r="M41" s="21" t="str">
        <f t="shared" si="9"/>
        <v/>
      </c>
      <c r="N41" s="21" t="str">
        <f t="shared" si="10"/>
        <v/>
      </c>
      <c r="O41" s="21" t="str">
        <f t="shared" si="11"/>
        <v/>
      </c>
    </row>
    <row r="42" spans="1:15" ht="27" customHeight="1">
      <c r="B42" s="6" t="s">
        <v>39</v>
      </c>
      <c r="C42" s="18"/>
      <c r="D42" s="18"/>
      <c r="E42" s="18"/>
      <c r="F42" s="18"/>
      <c r="G42" s="18"/>
      <c r="H42" s="18"/>
      <c r="I42" s="18"/>
      <c r="J42" s="18"/>
      <c r="K42" s="18"/>
      <c r="L42" s="18" t="s">
        <v>2</v>
      </c>
      <c r="M42" s="21" t="str">
        <f t="shared" si="9"/>
        <v/>
      </c>
      <c r="N42" s="21" t="str">
        <f t="shared" si="10"/>
        <v/>
      </c>
      <c r="O42" s="21" t="str">
        <f t="shared" si="11"/>
        <v/>
      </c>
    </row>
    <row r="43" spans="1:15" ht="26.4">
      <c r="B43" s="6" t="s">
        <v>40</v>
      </c>
      <c r="C43" s="18" t="s">
        <v>2</v>
      </c>
      <c r="D43" s="18" t="s">
        <v>2</v>
      </c>
      <c r="E43" s="18" t="s">
        <v>2</v>
      </c>
      <c r="F43" s="18" t="s">
        <v>2</v>
      </c>
      <c r="G43" s="18" t="s">
        <v>2</v>
      </c>
      <c r="H43" s="18" t="s">
        <v>2</v>
      </c>
      <c r="I43" s="18" t="s">
        <v>2</v>
      </c>
      <c r="J43" s="18" t="s">
        <v>2</v>
      </c>
      <c r="K43" s="18" t="s">
        <v>2</v>
      </c>
      <c r="L43" s="18" t="s">
        <v>2</v>
      </c>
      <c r="M43" s="21" t="str">
        <f t="shared" si="9"/>
        <v/>
      </c>
      <c r="N43" s="21" t="str">
        <f t="shared" si="10"/>
        <v/>
      </c>
      <c r="O43" s="21" t="str">
        <f t="shared" si="11"/>
        <v/>
      </c>
    </row>
    <row r="44" spans="1:15" ht="26.4">
      <c r="B44" s="6" t="s">
        <v>41</v>
      </c>
      <c r="C44" s="18" t="s">
        <v>2</v>
      </c>
      <c r="D44" s="18" t="s">
        <v>2</v>
      </c>
      <c r="E44" s="18" t="s">
        <v>2</v>
      </c>
      <c r="F44" s="18" t="s">
        <v>2</v>
      </c>
      <c r="G44" s="18" t="s">
        <v>2</v>
      </c>
      <c r="H44" s="18" t="s">
        <v>2</v>
      </c>
      <c r="I44" s="18" t="s">
        <v>2</v>
      </c>
      <c r="J44" s="18" t="s">
        <v>2</v>
      </c>
      <c r="K44" s="18" t="s">
        <v>2</v>
      </c>
      <c r="L44" s="18" t="s">
        <v>2</v>
      </c>
      <c r="M44" s="21" t="str">
        <f t="shared" si="9"/>
        <v/>
      </c>
      <c r="N44" s="21" t="str">
        <f t="shared" si="10"/>
        <v/>
      </c>
      <c r="O44" s="21" t="str">
        <f t="shared" si="11"/>
        <v/>
      </c>
    </row>
    <row r="45" spans="1:15" ht="18.75" customHeight="1"/>
    <row r="46" spans="1:15" ht="18" customHeight="1">
      <c r="A46" s="10" t="s">
        <v>165</v>
      </c>
      <c r="B46" s="25" t="s">
        <v>42</v>
      </c>
      <c r="C46" s="29" t="s">
        <v>1</v>
      </c>
      <c r="D46" s="30" t="s">
        <v>2</v>
      </c>
      <c r="E46" s="30" t="s">
        <v>2</v>
      </c>
      <c r="F46" s="30" t="s">
        <v>2</v>
      </c>
      <c r="G46" s="31" t="s">
        <v>2</v>
      </c>
      <c r="H46" s="29" t="s">
        <v>3</v>
      </c>
      <c r="I46" s="30" t="s">
        <v>2</v>
      </c>
      <c r="J46" s="30" t="s">
        <v>2</v>
      </c>
      <c r="K46" s="30" t="s">
        <v>2</v>
      </c>
      <c r="L46" s="31" t="s">
        <v>2</v>
      </c>
      <c r="M46" s="29" t="s">
        <v>4</v>
      </c>
      <c r="N46" s="30" t="s">
        <v>2</v>
      </c>
      <c r="O46" s="31" t="s">
        <v>2</v>
      </c>
    </row>
    <row r="47" spans="1:15" ht="18" customHeight="1">
      <c r="B47" s="26" t="s">
        <v>2</v>
      </c>
      <c r="C47" s="2" t="s">
        <v>5</v>
      </c>
      <c r="D47" s="2" t="s">
        <v>6</v>
      </c>
      <c r="E47" s="2" t="s">
        <v>7</v>
      </c>
      <c r="F47" s="2" t="s">
        <v>8</v>
      </c>
      <c r="G47" s="2" t="s">
        <v>9</v>
      </c>
      <c r="H47" s="2" t="s">
        <v>5</v>
      </c>
      <c r="I47" s="2" t="s">
        <v>6</v>
      </c>
      <c r="J47" s="2" t="s">
        <v>7</v>
      </c>
      <c r="K47" s="2" t="s">
        <v>8</v>
      </c>
      <c r="L47" s="2" t="s">
        <v>9</v>
      </c>
      <c r="M47" s="2" t="s">
        <v>1</v>
      </c>
      <c r="N47" s="2" t="s">
        <v>3</v>
      </c>
      <c r="O47" s="2" t="s">
        <v>4</v>
      </c>
    </row>
    <row r="48" spans="1:15" ht="26.4">
      <c r="B48" s="3" t="s">
        <v>43</v>
      </c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21" t="str">
        <f>IF(AND(C48="",D48="",E48="",F48="",G48=""),"",SUM(C48:G48))</f>
        <v/>
      </c>
      <c r="N48" s="21" t="str">
        <f>IF(AND(H48="",I48="",J48="",K48="",L48=""),"",SUM(H48:L48))</f>
        <v/>
      </c>
      <c r="O48" s="21" t="str">
        <f>IF(AND(M48="",N48=""),"",SUM(M48:N48))</f>
        <v/>
      </c>
    </row>
    <row r="49" spans="1:15" ht="39.6">
      <c r="B49" s="3" t="s">
        <v>44</v>
      </c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21" t="str">
        <f t="shared" ref="M49:M56" si="12">IF(AND(C49="",D49="",E49="",F49="",G49=""),"",SUM(C49:G49))</f>
        <v/>
      </c>
      <c r="N49" s="21" t="str">
        <f t="shared" ref="N49:N56" si="13">IF(AND(H49="",I49="",J49="",K49="",L49=""),"",SUM(H49:L49))</f>
        <v/>
      </c>
      <c r="O49" s="21" t="str">
        <f t="shared" ref="O49:O56" si="14">IF(AND(M49="",N49=""),"",SUM(M49:N49))</f>
        <v/>
      </c>
    </row>
    <row r="50" spans="1:15" ht="18" customHeight="1">
      <c r="B50" s="3" t="s">
        <v>45</v>
      </c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21" t="str">
        <f t="shared" si="12"/>
        <v/>
      </c>
      <c r="N50" s="21" t="str">
        <f t="shared" si="13"/>
        <v/>
      </c>
      <c r="O50" s="21" t="str">
        <f t="shared" si="14"/>
        <v/>
      </c>
    </row>
    <row r="51" spans="1:15" ht="18" customHeight="1">
      <c r="B51" s="3" t="s">
        <v>46</v>
      </c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21" t="str">
        <f t="shared" si="12"/>
        <v/>
      </c>
      <c r="N51" s="21" t="str">
        <f t="shared" si="13"/>
        <v/>
      </c>
      <c r="O51" s="21" t="str">
        <f t="shared" si="14"/>
        <v/>
      </c>
    </row>
    <row r="52" spans="1:15" ht="18" customHeight="1">
      <c r="B52" s="3" t="s">
        <v>47</v>
      </c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21" t="str">
        <f t="shared" si="12"/>
        <v/>
      </c>
      <c r="N52" s="21" t="str">
        <f t="shared" si="13"/>
        <v/>
      </c>
      <c r="O52" s="21" t="str">
        <f t="shared" si="14"/>
        <v/>
      </c>
    </row>
    <row r="53" spans="1:15" ht="26.4">
      <c r="B53" s="3" t="s">
        <v>48</v>
      </c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21" t="str">
        <f t="shared" si="12"/>
        <v/>
      </c>
      <c r="N53" s="21" t="str">
        <f t="shared" si="13"/>
        <v/>
      </c>
      <c r="O53" s="21" t="str">
        <f t="shared" si="14"/>
        <v/>
      </c>
    </row>
    <row r="54" spans="1:15" ht="18" customHeight="1">
      <c r="B54" s="3" t="s">
        <v>49</v>
      </c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21" t="str">
        <f t="shared" si="12"/>
        <v/>
      </c>
      <c r="N54" s="21" t="str">
        <f t="shared" si="13"/>
        <v/>
      </c>
      <c r="O54" s="21" t="str">
        <f t="shared" si="14"/>
        <v/>
      </c>
    </row>
    <row r="55" spans="1:15" ht="26.4">
      <c r="B55" s="3" t="s">
        <v>50</v>
      </c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21" t="str">
        <f t="shared" si="12"/>
        <v/>
      </c>
      <c r="N55" s="21" t="str">
        <f t="shared" si="13"/>
        <v/>
      </c>
      <c r="O55" s="21" t="str">
        <f t="shared" si="14"/>
        <v/>
      </c>
    </row>
    <row r="56" spans="1:15" ht="26.4">
      <c r="B56" s="3" t="s">
        <v>51</v>
      </c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21" t="str">
        <f t="shared" si="12"/>
        <v/>
      </c>
      <c r="N56" s="21" t="str">
        <f t="shared" si="13"/>
        <v/>
      </c>
      <c r="O56" s="21" t="str">
        <f t="shared" si="14"/>
        <v/>
      </c>
    </row>
    <row r="57" spans="1:15" ht="14.25" customHeight="1"/>
    <row r="58" spans="1:15" ht="18" customHeight="1">
      <c r="A58" s="10" t="s">
        <v>166</v>
      </c>
      <c r="B58" s="25" t="s">
        <v>52</v>
      </c>
      <c r="C58" s="29" t="s">
        <v>1</v>
      </c>
      <c r="D58" s="30" t="s">
        <v>2</v>
      </c>
      <c r="E58" s="30" t="s">
        <v>2</v>
      </c>
      <c r="F58" s="30" t="s">
        <v>2</v>
      </c>
      <c r="G58" s="31" t="s">
        <v>2</v>
      </c>
      <c r="H58" s="29" t="s">
        <v>3</v>
      </c>
      <c r="I58" s="30" t="s">
        <v>2</v>
      </c>
      <c r="J58" s="30" t="s">
        <v>2</v>
      </c>
      <c r="K58" s="30" t="s">
        <v>2</v>
      </c>
      <c r="L58" s="31" t="s">
        <v>2</v>
      </c>
      <c r="M58" s="29" t="s">
        <v>4</v>
      </c>
      <c r="N58" s="30" t="s">
        <v>2</v>
      </c>
      <c r="O58" s="31" t="s">
        <v>2</v>
      </c>
    </row>
    <row r="59" spans="1:15" ht="18" customHeight="1">
      <c r="B59" s="26" t="s">
        <v>2</v>
      </c>
      <c r="C59" s="2" t="s">
        <v>5</v>
      </c>
      <c r="D59" s="2" t="s">
        <v>6</v>
      </c>
      <c r="E59" s="2" t="s">
        <v>7</v>
      </c>
      <c r="F59" s="2" t="s">
        <v>8</v>
      </c>
      <c r="G59" s="2" t="s">
        <v>9</v>
      </c>
      <c r="H59" s="2" t="s">
        <v>5</v>
      </c>
      <c r="I59" s="2" t="s">
        <v>6</v>
      </c>
      <c r="J59" s="2" t="s">
        <v>7</v>
      </c>
      <c r="K59" s="2" t="s">
        <v>8</v>
      </c>
      <c r="L59" s="2" t="s">
        <v>9</v>
      </c>
      <c r="M59" s="2" t="s">
        <v>1</v>
      </c>
      <c r="N59" s="2" t="s">
        <v>3</v>
      </c>
      <c r="O59" s="2" t="s">
        <v>4</v>
      </c>
    </row>
    <row r="60" spans="1:15" ht="17.399999999999999" customHeight="1">
      <c r="B60" s="3" t="s">
        <v>53</v>
      </c>
      <c r="C60" s="17" t="s">
        <v>2</v>
      </c>
      <c r="D60" s="17" t="s">
        <v>2</v>
      </c>
      <c r="E60" s="17" t="s">
        <v>2</v>
      </c>
      <c r="F60" s="17" t="s">
        <v>2</v>
      </c>
      <c r="G60" s="17" t="s">
        <v>2</v>
      </c>
      <c r="H60" s="17" t="s">
        <v>2</v>
      </c>
      <c r="I60" s="17" t="s">
        <v>2</v>
      </c>
      <c r="J60" s="17" t="s">
        <v>2</v>
      </c>
      <c r="K60" s="17" t="s">
        <v>2</v>
      </c>
      <c r="L60" s="17" t="s">
        <v>2</v>
      </c>
      <c r="M60" s="21" t="str">
        <f>IF(AND(C60="",D60="",E60="",F60="",G60=""),"",SUM(C60:G60))</f>
        <v/>
      </c>
      <c r="N60" s="21" t="str">
        <f>IF(AND(H60="",I60="",J60="",K60="",L60=""),"",SUM(H60:L60))</f>
        <v/>
      </c>
      <c r="O60" s="21" t="str">
        <f>IF(AND(M60="",N60=""),"",SUM(M60:N60))</f>
        <v/>
      </c>
    </row>
    <row r="61" spans="1:15" ht="26.4">
      <c r="B61" s="3" t="s">
        <v>54</v>
      </c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21" t="str">
        <f t="shared" ref="M61:M68" si="15">IF(AND(C61="",D61="",E61="",F61="",G61=""),"",SUM(C61:G61))</f>
        <v/>
      </c>
      <c r="N61" s="21" t="str">
        <f t="shared" ref="N61:N68" si="16">IF(AND(H61="",I61="",J61="",K61="",L61=""),"",SUM(H61:L61))</f>
        <v/>
      </c>
      <c r="O61" s="21" t="str">
        <f t="shared" ref="O61:O68" si="17">IF(AND(M61="",N61=""),"",SUM(M61:N61))</f>
        <v/>
      </c>
    </row>
    <row r="62" spans="1:15" ht="26.4">
      <c r="B62" s="3" t="s">
        <v>55</v>
      </c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21" t="str">
        <f t="shared" si="15"/>
        <v/>
      </c>
      <c r="N62" s="21" t="str">
        <f t="shared" si="16"/>
        <v/>
      </c>
      <c r="O62" s="21" t="str">
        <f t="shared" si="17"/>
        <v/>
      </c>
    </row>
    <row r="63" spans="1:15" ht="26.4">
      <c r="B63" s="3" t="s">
        <v>56</v>
      </c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21" t="str">
        <f t="shared" si="15"/>
        <v/>
      </c>
      <c r="N63" s="21" t="str">
        <f t="shared" si="16"/>
        <v/>
      </c>
      <c r="O63" s="21" t="str">
        <f t="shared" si="17"/>
        <v/>
      </c>
    </row>
    <row r="64" spans="1:15" ht="26.4">
      <c r="B64" s="3" t="s">
        <v>57</v>
      </c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21" t="str">
        <f t="shared" si="15"/>
        <v/>
      </c>
      <c r="N64" s="21" t="str">
        <f t="shared" si="16"/>
        <v/>
      </c>
      <c r="O64" s="21" t="str">
        <f t="shared" si="17"/>
        <v/>
      </c>
    </row>
    <row r="65" spans="1:15" ht="26.4">
      <c r="B65" s="3" t="s">
        <v>58</v>
      </c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21" t="str">
        <f t="shared" si="15"/>
        <v/>
      </c>
      <c r="N65" s="21" t="str">
        <f t="shared" si="16"/>
        <v/>
      </c>
      <c r="O65" s="21" t="str">
        <f t="shared" si="17"/>
        <v/>
      </c>
    </row>
    <row r="66" spans="1:15" ht="26.4">
      <c r="B66" s="3" t="s">
        <v>59</v>
      </c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21" t="str">
        <f t="shared" si="15"/>
        <v/>
      </c>
      <c r="N66" s="21" t="str">
        <f t="shared" si="16"/>
        <v/>
      </c>
      <c r="O66" s="21" t="str">
        <f t="shared" si="17"/>
        <v/>
      </c>
    </row>
    <row r="67" spans="1:15" ht="18" customHeight="1">
      <c r="B67" s="3" t="s">
        <v>60</v>
      </c>
      <c r="C67" s="17" t="s">
        <v>2</v>
      </c>
      <c r="D67" s="17" t="s">
        <v>2</v>
      </c>
      <c r="E67" s="17" t="s">
        <v>2</v>
      </c>
      <c r="F67" s="17" t="s">
        <v>2</v>
      </c>
      <c r="G67" s="17" t="s">
        <v>2</v>
      </c>
      <c r="H67" s="17" t="s">
        <v>2</v>
      </c>
      <c r="I67" s="17" t="s">
        <v>2</v>
      </c>
      <c r="J67" s="17" t="s">
        <v>2</v>
      </c>
      <c r="K67" s="17" t="s">
        <v>2</v>
      </c>
      <c r="L67" s="17" t="s">
        <v>2</v>
      </c>
      <c r="M67" s="21" t="str">
        <f t="shared" si="15"/>
        <v/>
      </c>
      <c r="N67" s="21" t="str">
        <f t="shared" si="16"/>
        <v/>
      </c>
      <c r="O67" s="21" t="str">
        <f t="shared" si="17"/>
        <v/>
      </c>
    </row>
    <row r="68" spans="1:15" ht="26.4">
      <c r="B68" s="3" t="s">
        <v>61</v>
      </c>
      <c r="C68" s="17" t="s">
        <v>2</v>
      </c>
      <c r="D68" s="17" t="s">
        <v>2</v>
      </c>
      <c r="E68" s="17" t="s">
        <v>2</v>
      </c>
      <c r="F68" s="17" t="s">
        <v>2</v>
      </c>
      <c r="G68" s="17" t="s">
        <v>2</v>
      </c>
      <c r="H68" s="17" t="s">
        <v>2</v>
      </c>
      <c r="I68" s="17" t="s">
        <v>2</v>
      </c>
      <c r="J68" s="17" t="s">
        <v>2</v>
      </c>
      <c r="K68" s="17" t="s">
        <v>2</v>
      </c>
      <c r="L68" s="17" t="s">
        <v>2</v>
      </c>
      <c r="M68" s="21" t="str">
        <f t="shared" si="15"/>
        <v/>
      </c>
      <c r="N68" s="21" t="str">
        <f t="shared" si="16"/>
        <v/>
      </c>
      <c r="O68" s="21" t="str">
        <f t="shared" si="17"/>
        <v/>
      </c>
    </row>
    <row r="69" spans="1:15" ht="18" customHeight="1"/>
    <row r="70" spans="1:15" ht="18" customHeight="1">
      <c r="A70" s="10" t="s">
        <v>1</v>
      </c>
      <c r="B70" s="25" t="s">
        <v>62</v>
      </c>
      <c r="C70" s="29" t="s">
        <v>1</v>
      </c>
      <c r="D70" s="30" t="s">
        <v>2</v>
      </c>
      <c r="E70" s="30" t="s">
        <v>2</v>
      </c>
      <c r="F70" s="30" t="s">
        <v>2</v>
      </c>
      <c r="G70" s="31" t="s">
        <v>2</v>
      </c>
      <c r="H70" s="29" t="s">
        <v>3</v>
      </c>
      <c r="I70" s="30" t="s">
        <v>2</v>
      </c>
      <c r="J70" s="30" t="s">
        <v>2</v>
      </c>
      <c r="K70" s="30" t="s">
        <v>2</v>
      </c>
      <c r="L70" s="31" t="s">
        <v>2</v>
      </c>
      <c r="M70" s="29" t="s">
        <v>4</v>
      </c>
      <c r="N70" s="30" t="s">
        <v>2</v>
      </c>
      <c r="O70" s="31" t="s">
        <v>2</v>
      </c>
    </row>
    <row r="71" spans="1:15" ht="18" customHeight="1">
      <c r="B71" s="26" t="s">
        <v>2</v>
      </c>
      <c r="C71" s="2" t="s">
        <v>5</v>
      </c>
      <c r="D71" s="2" t="s">
        <v>6</v>
      </c>
      <c r="E71" s="2" t="s">
        <v>7</v>
      </c>
      <c r="F71" s="2" t="s">
        <v>8</v>
      </c>
      <c r="G71" s="2" t="s">
        <v>9</v>
      </c>
      <c r="H71" s="2" t="s">
        <v>5</v>
      </c>
      <c r="I71" s="2" t="s">
        <v>6</v>
      </c>
      <c r="J71" s="2" t="s">
        <v>7</v>
      </c>
      <c r="K71" s="2" t="s">
        <v>8</v>
      </c>
      <c r="L71" s="2" t="s">
        <v>9</v>
      </c>
      <c r="M71" s="2" t="s">
        <v>1</v>
      </c>
      <c r="N71" s="2" t="s">
        <v>3</v>
      </c>
      <c r="O71" s="2" t="s">
        <v>4</v>
      </c>
    </row>
    <row r="72" spans="1:15" ht="26.4">
      <c r="B72" s="3" t="s">
        <v>63</v>
      </c>
      <c r="C72" s="17" t="s">
        <v>2</v>
      </c>
      <c r="D72" s="17"/>
      <c r="E72" s="17"/>
      <c r="F72" s="17"/>
      <c r="G72" s="17"/>
      <c r="H72" s="17"/>
      <c r="I72" s="17"/>
      <c r="J72" s="17"/>
      <c r="K72" s="17"/>
      <c r="L72" s="17" t="s">
        <v>2</v>
      </c>
      <c r="M72" s="21" t="str">
        <f>IF(AND(C72="",D72="",E72="",F72="",G72=""),"",SUM(C72:G72))</f>
        <v/>
      </c>
      <c r="N72" s="21" t="str">
        <f>IF(AND(H72="",I72="",J72="",K72="",L72=""),"",SUM(H72:L72))</f>
        <v/>
      </c>
      <c r="O72" s="21" t="str">
        <f>IF(AND(M72="",N72=""),"",SUM(M72:N72))</f>
        <v/>
      </c>
    </row>
    <row r="73" spans="1:15" ht="26.4">
      <c r="B73" s="3" t="s">
        <v>64</v>
      </c>
      <c r="C73" s="17" t="s">
        <v>2</v>
      </c>
      <c r="D73" s="17"/>
      <c r="E73" s="17"/>
      <c r="F73" s="17"/>
      <c r="G73" s="17"/>
      <c r="H73" s="17"/>
      <c r="I73" s="17"/>
      <c r="J73" s="17"/>
      <c r="K73" s="17"/>
      <c r="L73" s="17" t="s">
        <v>2</v>
      </c>
      <c r="M73" s="21" t="str">
        <f t="shared" ref="M73:M76" si="18">IF(AND(C73="",D73="",E73="",F73="",G73=""),"",SUM(C73:G73))</f>
        <v/>
      </c>
      <c r="N73" s="21" t="str">
        <f t="shared" ref="N73:N76" si="19">IF(AND(H73="",I73="",J73="",K73="",L73=""),"",SUM(H73:L73))</f>
        <v/>
      </c>
      <c r="O73" s="21" t="str">
        <f t="shared" ref="O73:O76" si="20">IF(AND(M73="",N73=""),"",SUM(M73:N73))</f>
        <v/>
      </c>
    </row>
    <row r="74" spans="1:15" ht="26.4">
      <c r="B74" s="3" t="s">
        <v>65</v>
      </c>
      <c r="C74" s="17" t="s">
        <v>2</v>
      </c>
      <c r="D74" s="17"/>
      <c r="E74" s="17"/>
      <c r="F74" s="17"/>
      <c r="G74" s="17"/>
      <c r="H74" s="17"/>
      <c r="I74" s="17"/>
      <c r="J74" s="17"/>
      <c r="K74" s="17"/>
      <c r="L74" s="17" t="s">
        <v>2</v>
      </c>
      <c r="M74" s="21" t="str">
        <f t="shared" si="18"/>
        <v/>
      </c>
      <c r="N74" s="21" t="str">
        <f t="shared" si="19"/>
        <v/>
      </c>
      <c r="O74" s="21" t="str">
        <f t="shared" si="20"/>
        <v/>
      </c>
    </row>
    <row r="75" spans="1:15" ht="26.4">
      <c r="B75" s="3" t="s">
        <v>66</v>
      </c>
      <c r="C75" s="17" t="s">
        <v>2</v>
      </c>
      <c r="D75" s="17"/>
      <c r="E75" s="17"/>
      <c r="F75" s="17"/>
      <c r="G75" s="17"/>
      <c r="H75" s="17"/>
      <c r="I75" s="17"/>
      <c r="J75" s="17"/>
      <c r="K75" s="17"/>
      <c r="L75" s="17" t="s">
        <v>2</v>
      </c>
      <c r="M75" s="21" t="str">
        <f t="shared" si="18"/>
        <v/>
      </c>
      <c r="N75" s="21" t="str">
        <f t="shared" si="19"/>
        <v/>
      </c>
      <c r="O75" s="21" t="str">
        <f t="shared" si="20"/>
        <v/>
      </c>
    </row>
    <row r="76" spans="1:15" ht="26.4">
      <c r="B76" s="3" t="s">
        <v>67</v>
      </c>
      <c r="C76" s="17" t="s">
        <v>2</v>
      </c>
      <c r="D76" s="17"/>
      <c r="E76" s="17"/>
      <c r="F76" s="17"/>
      <c r="G76" s="17"/>
      <c r="H76" s="17"/>
      <c r="I76" s="17"/>
      <c r="J76" s="17"/>
      <c r="K76" s="17"/>
      <c r="L76" s="17" t="s">
        <v>2</v>
      </c>
      <c r="M76" s="21" t="str">
        <f t="shared" si="18"/>
        <v/>
      </c>
      <c r="N76" s="21" t="str">
        <f t="shared" si="19"/>
        <v/>
      </c>
      <c r="O76" s="21" t="str">
        <f t="shared" si="20"/>
        <v/>
      </c>
    </row>
    <row r="77" spans="1:15" ht="15" customHeight="1"/>
    <row r="78" spans="1:15" ht="18" customHeight="1">
      <c r="A78" s="10" t="s">
        <v>167</v>
      </c>
      <c r="B78" s="25" t="s">
        <v>68</v>
      </c>
      <c r="C78" s="29" t="s">
        <v>1</v>
      </c>
      <c r="D78" s="30" t="s">
        <v>2</v>
      </c>
      <c r="E78" s="30" t="s">
        <v>2</v>
      </c>
      <c r="F78" s="30" t="s">
        <v>2</v>
      </c>
      <c r="G78" s="31" t="s">
        <v>2</v>
      </c>
      <c r="H78" s="29" t="s">
        <v>3</v>
      </c>
      <c r="I78" s="30" t="s">
        <v>2</v>
      </c>
      <c r="J78" s="30" t="s">
        <v>2</v>
      </c>
      <c r="K78" s="30" t="s">
        <v>2</v>
      </c>
      <c r="L78" s="31" t="s">
        <v>2</v>
      </c>
      <c r="M78" s="29" t="s">
        <v>4</v>
      </c>
      <c r="N78" s="30" t="s">
        <v>2</v>
      </c>
      <c r="O78" s="31" t="s">
        <v>2</v>
      </c>
    </row>
    <row r="79" spans="1:15" ht="18" customHeight="1">
      <c r="B79" s="26" t="s">
        <v>2</v>
      </c>
      <c r="C79" s="2" t="s">
        <v>5</v>
      </c>
      <c r="D79" s="2" t="s">
        <v>6</v>
      </c>
      <c r="E79" s="2" t="s">
        <v>7</v>
      </c>
      <c r="F79" s="2" t="s">
        <v>8</v>
      </c>
      <c r="G79" s="2" t="s">
        <v>9</v>
      </c>
      <c r="H79" s="2" t="s">
        <v>5</v>
      </c>
      <c r="I79" s="2" t="s">
        <v>6</v>
      </c>
      <c r="J79" s="2" t="s">
        <v>7</v>
      </c>
      <c r="K79" s="2" t="s">
        <v>8</v>
      </c>
      <c r="L79" s="2" t="s">
        <v>9</v>
      </c>
      <c r="M79" s="2" t="s">
        <v>1</v>
      </c>
      <c r="N79" s="2" t="s">
        <v>3</v>
      </c>
      <c r="O79" s="2" t="s">
        <v>4</v>
      </c>
    </row>
    <row r="80" spans="1:15" ht="26.4">
      <c r="B80" s="3" t="s">
        <v>69</v>
      </c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 t="str">
        <f>IF(AND(C80="",D80="",E80="",F80="",G80=""),"",SUM(C80:G80))</f>
        <v/>
      </c>
      <c r="N80" s="17" t="str">
        <f>IF(AND(H80="",I80="",J80="",K80="",L80=""),"",SUM(H80:L80))</f>
        <v/>
      </c>
      <c r="O80" s="17" t="str">
        <f>IF(AND(M80="",N80=""),"",SUM(M80:N80))</f>
        <v/>
      </c>
    </row>
    <row r="81" spans="1:15" ht="26.4">
      <c r="B81" s="3" t="s">
        <v>70</v>
      </c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 t="str">
        <f t="shared" ref="M81:M91" si="21">IF(AND(C81="",D81="",E81="",F81="",G81=""),"",SUM(C81:G81))</f>
        <v/>
      </c>
      <c r="N81" s="17" t="str">
        <f t="shared" ref="N81:N91" si="22">IF(AND(H81="",I81="",J81="",K81="",L81=""),"",SUM(H81:L81))</f>
        <v/>
      </c>
      <c r="O81" s="17" t="str">
        <f t="shared" ref="O81:O91" si="23">IF(AND(M81="",N81=""),"",SUM(M81:N81))</f>
        <v/>
      </c>
    </row>
    <row r="82" spans="1:15" ht="26.4">
      <c r="B82" s="3" t="s">
        <v>71</v>
      </c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 t="str">
        <f t="shared" si="21"/>
        <v/>
      </c>
      <c r="N82" s="17" t="str">
        <f t="shared" si="22"/>
        <v/>
      </c>
      <c r="O82" s="17" t="str">
        <f t="shared" si="23"/>
        <v/>
      </c>
    </row>
    <row r="83" spans="1:15" ht="18" customHeight="1">
      <c r="B83" s="3" t="s">
        <v>72</v>
      </c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 t="str">
        <f t="shared" si="21"/>
        <v/>
      </c>
      <c r="N83" s="17" t="str">
        <f t="shared" si="22"/>
        <v/>
      </c>
      <c r="O83" s="17" t="str">
        <f t="shared" si="23"/>
        <v/>
      </c>
    </row>
    <row r="84" spans="1:15" ht="18" customHeight="1">
      <c r="B84" s="3" t="s">
        <v>73</v>
      </c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 t="str">
        <f t="shared" si="21"/>
        <v/>
      </c>
      <c r="N84" s="17" t="str">
        <f t="shared" si="22"/>
        <v/>
      </c>
      <c r="O84" s="17" t="str">
        <f t="shared" si="23"/>
        <v/>
      </c>
    </row>
    <row r="85" spans="1:15" ht="18" customHeight="1">
      <c r="B85" s="3" t="s">
        <v>74</v>
      </c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 t="str">
        <f t="shared" si="21"/>
        <v/>
      </c>
      <c r="N85" s="17" t="str">
        <f t="shared" si="22"/>
        <v/>
      </c>
      <c r="O85" s="17" t="str">
        <f t="shared" si="23"/>
        <v/>
      </c>
    </row>
    <row r="86" spans="1:15" ht="18" customHeight="1">
      <c r="B86" s="3" t="s">
        <v>75</v>
      </c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 t="str">
        <f t="shared" si="21"/>
        <v/>
      </c>
      <c r="N86" s="17" t="str">
        <f t="shared" si="22"/>
        <v/>
      </c>
      <c r="O86" s="17" t="str">
        <f t="shared" si="23"/>
        <v/>
      </c>
    </row>
    <row r="87" spans="1:15" ht="18" customHeight="1">
      <c r="B87" s="3" t="s">
        <v>76</v>
      </c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 t="str">
        <f t="shared" si="21"/>
        <v/>
      </c>
      <c r="N87" s="17" t="str">
        <f t="shared" si="22"/>
        <v/>
      </c>
      <c r="O87" s="17" t="str">
        <f t="shared" si="23"/>
        <v/>
      </c>
    </row>
    <row r="88" spans="1:15" ht="18" customHeight="1">
      <c r="B88" s="3" t="s">
        <v>77</v>
      </c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 t="str">
        <f t="shared" si="21"/>
        <v/>
      </c>
      <c r="N88" s="17" t="str">
        <f t="shared" si="22"/>
        <v/>
      </c>
      <c r="O88" s="17" t="str">
        <f t="shared" si="23"/>
        <v/>
      </c>
    </row>
    <row r="89" spans="1:15" ht="18" customHeight="1">
      <c r="B89" s="3" t="s">
        <v>78</v>
      </c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 t="str">
        <f t="shared" si="21"/>
        <v/>
      </c>
      <c r="N89" s="17" t="str">
        <f t="shared" si="22"/>
        <v/>
      </c>
      <c r="O89" s="17" t="str">
        <f t="shared" si="23"/>
        <v/>
      </c>
    </row>
    <row r="90" spans="1:15" ht="18" customHeight="1">
      <c r="B90" s="3" t="s">
        <v>79</v>
      </c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 t="str">
        <f t="shared" si="21"/>
        <v/>
      </c>
      <c r="N90" s="17" t="str">
        <f t="shared" si="22"/>
        <v/>
      </c>
      <c r="O90" s="17" t="str">
        <f t="shared" si="23"/>
        <v/>
      </c>
    </row>
    <row r="91" spans="1:15" ht="26.4">
      <c r="B91" s="3" t="s">
        <v>80</v>
      </c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 t="str">
        <f t="shared" si="21"/>
        <v/>
      </c>
      <c r="N91" s="17" t="str">
        <f t="shared" si="22"/>
        <v/>
      </c>
      <c r="O91" s="17" t="str">
        <f t="shared" si="23"/>
        <v/>
      </c>
    </row>
    <row r="92" spans="1:15" ht="16.5" customHeight="1"/>
    <row r="93" spans="1:15" ht="26.4">
      <c r="A93" s="10" t="s">
        <v>168</v>
      </c>
      <c r="B93" s="5" t="s">
        <v>81</v>
      </c>
      <c r="C93" s="2" t="s">
        <v>6</v>
      </c>
      <c r="D93" s="2" t="s">
        <v>7</v>
      </c>
      <c r="E93" s="2" t="s">
        <v>8</v>
      </c>
      <c r="F93" s="2" t="s">
        <v>9</v>
      </c>
      <c r="G93" s="2" t="s">
        <v>4</v>
      </c>
    </row>
    <row r="94" spans="1:15">
      <c r="B94" s="3" t="s">
        <v>82</v>
      </c>
      <c r="C94" s="17"/>
      <c r="D94" s="17"/>
      <c r="E94" s="17"/>
      <c r="F94" s="17"/>
      <c r="G94" s="21" t="str">
        <f>IF(AND(C94="",D94="",E94="",F94=""),"",SUM(C94:F94))</f>
        <v/>
      </c>
    </row>
    <row r="95" spans="1:15">
      <c r="B95" s="3" t="s">
        <v>83</v>
      </c>
      <c r="C95" s="17"/>
      <c r="D95" s="17"/>
      <c r="E95" s="17"/>
      <c r="F95" s="17"/>
      <c r="G95" s="21" t="str">
        <f t="shared" ref="G95:G105" si="24">IF(AND(C95="",D95="",E95="",F95=""),"",SUM(C95:F95))</f>
        <v/>
      </c>
    </row>
    <row r="96" spans="1:15" ht="26.4">
      <c r="B96" s="3" t="s">
        <v>84</v>
      </c>
      <c r="C96" s="17"/>
      <c r="D96" s="17"/>
      <c r="E96" s="17"/>
      <c r="F96" s="17"/>
      <c r="G96" s="21" t="str">
        <f t="shared" si="24"/>
        <v/>
      </c>
    </row>
    <row r="97" spans="1:7">
      <c r="B97" s="3" t="s">
        <v>85</v>
      </c>
      <c r="C97" s="17"/>
      <c r="D97" s="17"/>
      <c r="E97" s="17"/>
      <c r="F97" s="17"/>
      <c r="G97" s="21" t="str">
        <f t="shared" si="24"/>
        <v/>
      </c>
    </row>
    <row r="98" spans="1:7">
      <c r="B98" s="3" t="s">
        <v>86</v>
      </c>
      <c r="C98" s="17"/>
      <c r="D98" s="17"/>
      <c r="E98" s="17"/>
      <c r="F98" s="17"/>
      <c r="G98" s="21" t="str">
        <f t="shared" si="24"/>
        <v/>
      </c>
    </row>
    <row r="99" spans="1:7">
      <c r="B99" s="3" t="s">
        <v>87</v>
      </c>
      <c r="C99" s="17"/>
      <c r="D99" s="17"/>
      <c r="E99" s="17"/>
      <c r="F99" s="17"/>
      <c r="G99" s="21" t="str">
        <f t="shared" si="24"/>
        <v/>
      </c>
    </row>
    <row r="100" spans="1:7">
      <c r="B100" s="3" t="s">
        <v>88</v>
      </c>
      <c r="C100" s="17"/>
      <c r="D100" s="17"/>
      <c r="E100" s="17"/>
      <c r="F100" s="17"/>
      <c r="G100" s="21" t="str">
        <f t="shared" si="24"/>
        <v/>
      </c>
    </row>
    <row r="101" spans="1:7">
      <c r="B101" s="3" t="s">
        <v>89</v>
      </c>
      <c r="C101" s="17"/>
      <c r="D101" s="17"/>
      <c r="E101" s="17"/>
      <c r="F101" s="17"/>
      <c r="G101" s="21" t="str">
        <f t="shared" si="24"/>
        <v/>
      </c>
    </row>
    <row r="102" spans="1:7">
      <c r="B102" s="3" t="s">
        <v>90</v>
      </c>
      <c r="C102" s="17"/>
      <c r="D102" s="17"/>
      <c r="E102" s="17"/>
      <c r="F102" s="17"/>
      <c r="G102" s="21" t="str">
        <f t="shared" si="24"/>
        <v/>
      </c>
    </row>
    <row r="103" spans="1:7">
      <c r="B103" s="3" t="s">
        <v>91</v>
      </c>
      <c r="C103" s="17"/>
      <c r="D103" s="17"/>
      <c r="E103" s="17"/>
      <c r="F103" s="17"/>
      <c r="G103" s="21" t="str">
        <f t="shared" si="24"/>
        <v/>
      </c>
    </row>
    <row r="104" spans="1:7" ht="26.4">
      <c r="B104" s="3" t="s">
        <v>92</v>
      </c>
      <c r="C104" s="17"/>
      <c r="D104" s="17"/>
      <c r="E104" s="17"/>
      <c r="F104" s="17"/>
      <c r="G104" s="21" t="str">
        <f t="shared" si="24"/>
        <v/>
      </c>
    </row>
    <row r="105" spans="1:7" ht="0" hidden="1" customHeight="1">
      <c r="G105" s="4" t="str">
        <f t="shared" si="24"/>
        <v/>
      </c>
    </row>
    <row r="106" spans="1:7" ht="18" customHeight="1"/>
    <row r="107" spans="1:7" ht="26.4">
      <c r="A107" s="10" t="s">
        <v>169</v>
      </c>
      <c r="B107" s="5" t="s">
        <v>81</v>
      </c>
      <c r="C107" s="2" t="s">
        <v>93</v>
      </c>
      <c r="D107" s="2" t="s">
        <v>94</v>
      </c>
      <c r="E107" s="2" t="s">
        <v>95</v>
      </c>
      <c r="F107" s="2" t="s">
        <v>4</v>
      </c>
    </row>
    <row r="108" spans="1:7">
      <c r="B108" s="3" t="s">
        <v>82</v>
      </c>
      <c r="C108" s="19"/>
      <c r="D108" s="19"/>
      <c r="E108" s="19"/>
      <c r="F108" s="21" t="str">
        <f>IF(AND(C108="",D108="",E108=""),"",SUM(C108:E108))</f>
        <v/>
      </c>
    </row>
    <row r="109" spans="1:7">
      <c r="B109" s="3" t="s">
        <v>83</v>
      </c>
      <c r="C109" s="19"/>
      <c r="D109" s="19"/>
      <c r="E109" s="19"/>
      <c r="F109" s="21" t="str">
        <f t="shared" ref="F109:F118" si="25">IF(AND(C109="",D109="",E109=""),"",SUM(C109:E109))</f>
        <v/>
      </c>
    </row>
    <row r="110" spans="1:7" ht="26.4">
      <c r="B110" s="3" t="s">
        <v>84</v>
      </c>
      <c r="C110" s="19"/>
      <c r="D110" s="19"/>
      <c r="E110" s="19"/>
      <c r="F110" s="21" t="str">
        <f t="shared" si="25"/>
        <v/>
      </c>
    </row>
    <row r="111" spans="1:7">
      <c r="B111" s="3" t="s">
        <v>85</v>
      </c>
      <c r="C111" s="19"/>
      <c r="D111" s="19"/>
      <c r="E111" s="19"/>
      <c r="F111" s="21" t="str">
        <f t="shared" si="25"/>
        <v/>
      </c>
    </row>
    <row r="112" spans="1:7">
      <c r="B112" s="3" t="s">
        <v>86</v>
      </c>
      <c r="C112" s="19"/>
      <c r="D112" s="19"/>
      <c r="E112" s="19"/>
      <c r="F112" s="21" t="str">
        <f t="shared" si="25"/>
        <v/>
      </c>
    </row>
    <row r="113" spans="1:6">
      <c r="B113" s="3" t="s">
        <v>87</v>
      </c>
      <c r="C113" s="19"/>
      <c r="D113" s="19"/>
      <c r="E113" s="19"/>
      <c r="F113" s="21" t="str">
        <f t="shared" si="25"/>
        <v/>
      </c>
    </row>
    <row r="114" spans="1:6">
      <c r="B114" s="3" t="s">
        <v>88</v>
      </c>
      <c r="C114" s="19"/>
      <c r="D114" s="19"/>
      <c r="E114" s="19"/>
      <c r="F114" s="21" t="str">
        <f t="shared" si="25"/>
        <v/>
      </c>
    </row>
    <row r="115" spans="1:6">
      <c r="B115" s="3" t="s">
        <v>89</v>
      </c>
      <c r="C115" s="19"/>
      <c r="D115" s="19"/>
      <c r="E115" s="19"/>
      <c r="F115" s="21" t="str">
        <f t="shared" si="25"/>
        <v/>
      </c>
    </row>
    <row r="116" spans="1:6">
      <c r="B116" s="3" t="s">
        <v>90</v>
      </c>
      <c r="C116" s="19"/>
      <c r="D116" s="19"/>
      <c r="E116" s="19"/>
      <c r="F116" s="21" t="str">
        <f t="shared" si="25"/>
        <v/>
      </c>
    </row>
    <row r="117" spans="1:6">
      <c r="B117" s="3" t="s">
        <v>91</v>
      </c>
      <c r="C117" s="19" t="s">
        <v>2</v>
      </c>
      <c r="D117" s="19" t="s">
        <v>2</v>
      </c>
      <c r="E117" s="19" t="s">
        <v>2</v>
      </c>
      <c r="F117" s="21" t="str">
        <f t="shared" si="25"/>
        <v/>
      </c>
    </row>
    <row r="118" spans="1:6" ht="26.4">
      <c r="B118" s="3" t="s">
        <v>92</v>
      </c>
      <c r="C118" s="19" t="s">
        <v>2</v>
      </c>
      <c r="D118" s="19" t="s">
        <v>2</v>
      </c>
      <c r="E118" s="19" t="s">
        <v>2</v>
      </c>
      <c r="F118" s="21" t="str">
        <f t="shared" si="25"/>
        <v/>
      </c>
    </row>
    <row r="119" spans="1:6" ht="21.75" customHeight="1"/>
    <row r="120" spans="1:6" ht="18" customHeight="1">
      <c r="A120" s="10" t="s">
        <v>170</v>
      </c>
      <c r="B120" s="7" t="s">
        <v>96</v>
      </c>
      <c r="C120" s="8" t="s">
        <v>4</v>
      </c>
    </row>
    <row r="121" spans="1:6" ht="26.4">
      <c r="B121" s="6" t="s">
        <v>97</v>
      </c>
      <c r="C121" s="20" t="s">
        <v>2</v>
      </c>
    </row>
    <row r="122" spans="1:6" ht="18" customHeight="1">
      <c r="B122" s="6" t="s">
        <v>98</v>
      </c>
      <c r="C122" s="20" t="s">
        <v>2</v>
      </c>
    </row>
    <row r="123" spans="1:6" ht="26.4">
      <c r="B123" s="6" t="s">
        <v>99</v>
      </c>
      <c r="C123" s="20" t="s">
        <v>2</v>
      </c>
    </row>
    <row r="124" spans="1:6" ht="26.4">
      <c r="B124" s="6" t="s">
        <v>100</v>
      </c>
      <c r="C124" s="20" t="s">
        <v>2</v>
      </c>
    </row>
    <row r="125" spans="1:6" ht="26.4">
      <c r="B125" s="6" t="s">
        <v>101</v>
      </c>
      <c r="C125" s="20" t="s">
        <v>2</v>
      </c>
    </row>
    <row r="126" spans="1:6" ht="18" customHeight="1">
      <c r="B126" s="6" t="s">
        <v>102</v>
      </c>
      <c r="C126" s="20" t="s">
        <v>2</v>
      </c>
    </row>
    <row r="127" spans="1:6" ht="26.4">
      <c r="B127" s="6" t="s">
        <v>103</v>
      </c>
      <c r="C127" s="20" t="s">
        <v>2</v>
      </c>
    </row>
    <row r="128" spans="1:6" ht="26.4">
      <c r="B128" s="6" t="s">
        <v>104</v>
      </c>
      <c r="C128" s="20" t="s">
        <v>2</v>
      </c>
    </row>
    <row r="129" spans="1:22" ht="26.4">
      <c r="B129" s="6" t="s">
        <v>105</v>
      </c>
      <c r="C129" s="20" t="s">
        <v>2</v>
      </c>
    </row>
    <row r="130" spans="1:22" ht="26.4">
      <c r="B130" s="6" t="s">
        <v>106</v>
      </c>
      <c r="C130" s="20" t="s">
        <v>2</v>
      </c>
    </row>
    <row r="131" spans="1:22" ht="23.25" customHeight="1"/>
    <row r="132" spans="1:22" ht="18" customHeight="1">
      <c r="A132" s="10" t="s">
        <v>171</v>
      </c>
      <c r="B132" s="25" t="s">
        <v>107</v>
      </c>
      <c r="C132" s="29" t="s">
        <v>108</v>
      </c>
      <c r="D132" s="30" t="s">
        <v>2</v>
      </c>
      <c r="E132" s="31" t="s">
        <v>2</v>
      </c>
      <c r="F132" s="29" t="s">
        <v>109</v>
      </c>
      <c r="G132" s="30" t="s">
        <v>2</v>
      </c>
      <c r="H132" s="31" t="s">
        <v>2</v>
      </c>
      <c r="I132" s="29" t="s">
        <v>110</v>
      </c>
      <c r="J132" s="30" t="s">
        <v>2</v>
      </c>
      <c r="K132" s="31" t="s">
        <v>2</v>
      </c>
      <c r="L132" s="29" t="s">
        <v>111</v>
      </c>
      <c r="M132" s="30" t="s">
        <v>2</v>
      </c>
      <c r="N132" s="31" t="s">
        <v>2</v>
      </c>
      <c r="O132" s="29" t="s">
        <v>112</v>
      </c>
      <c r="P132" s="30" t="s">
        <v>2</v>
      </c>
      <c r="Q132" s="31" t="s">
        <v>2</v>
      </c>
      <c r="R132" s="29" t="s">
        <v>4</v>
      </c>
      <c r="S132" s="30" t="s">
        <v>2</v>
      </c>
      <c r="T132" s="30" t="s">
        <v>2</v>
      </c>
      <c r="U132" s="30" t="s">
        <v>2</v>
      </c>
      <c r="V132" s="31" t="s">
        <v>2</v>
      </c>
    </row>
    <row r="133" spans="1:22" ht="18" customHeight="1">
      <c r="B133" s="26" t="s">
        <v>2</v>
      </c>
      <c r="C133" s="2" t="s">
        <v>7</v>
      </c>
      <c r="D133" s="2" t="s">
        <v>8</v>
      </c>
      <c r="E133" s="2" t="s">
        <v>9</v>
      </c>
      <c r="F133" s="2" t="s">
        <v>7</v>
      </c>
      <c r="G133" s="2" t="s">
        <v>8</v>
      </c>
      <c r="H133" s="2" t="s">
        <v>9</v>
      </c>
      <c r="I133" s="2" t="s">
        <v>7</v>
      </c>
      <c r="J133" s="2" t="s">
        <v>8</v>
      </c>
      <c r="K133" s="2" t="s">
        <v>9</v>
      </c>
      <c r="L133" s="2" t="s">
        <v>7</v>
      </c>
      <c r="M133" s="2" t="s">
        <v>8</v>
      </c>
      <c r="N133" s="2" t="s">
        <v>9</v>
      </c>
      <c r="O133" s="2" t="s">
        <v>7</v>
      </c>
      <c r="P133" s="2" t="s">
        <v>8</v>
      </c>
      <c r="Q133" s="2" t="s">
        <v>9</v>
      </c>
      <c r="R133" s="2" t="s">
        <v>108</v>
      </c>
      <c r="S133" s="2" t="s">
        <v>109</v>
      </c>
      <c r="T133" s="2" t="s">
        <v>110</v>
      </c>
      <c r="U133" s="2" t="s">
        <v>111</v>
      </c>
      <c r="V133" s="2" t="s">
        <v>112</v>
      </c>
    </row>
    <row r="134" spans="1:22" ht="18" customHeight="1">
      <c r="B134" s="3" t="s">
        <v>113</v>
      </c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21" t="str">
        <f>IF(AND(C134="",D134="",E134=""),"",SUM(C134:E134))</f>
        <v/>
      </c>
      <c r="S134" s="21" t="str">
        <f>IF(AND(F134="",G134="",H134=""),"",SUM(F134:H134))</f>
        <v/>
      </c>
      <c r="T134" s="21" t="str">
        <f>IF(AND(I134="",J134="",K134=""),"",SUM(I134:K134))</f>
        <v/>
      </c>
      <c r="U134" s="21" t="str">
        <f>IF(AND(L134="",M134="",N134=""),"",SUM(L134:N134))</f>
        <v/>
      </c>
      <c r="V134" s="21" t="str">
        <f>IF(AND(O134="",P134="",Q134=""),"",SUM(O134:Q134))</f>
        <v/>
      </c>
    </row>
    <row r="135" spans="1:22" ht="18" customHeight="1">
      <c r="B135" s="3" t="s">
        <v>114</v>
      </c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21" t="str">
        <f t="shared" ref="R135:R145" si="26">IF(AND(C135="",D135="",E135=""),"",SUM(C135:E135))</f>
        <v/>
      </c>
      <c r="S135" s="21" t="str">
        <f t="shared" ref="S135:S145" si="27">IF(AND(F135="",G135="",H135=""),"",SUM(F135:H135))</f>
        <v/>
      </c>
      <c r="T135" s="21" t="str">
        <f t="shared" ref="T135:T145" si="28">IF(AND(I135="",J135="",K135=""),"",SUM(I135:K135))</f>
        <v/>
      </c>
      <c r="U135" s="21" t="str">
        <f t="shared" ref="U135:U145" si="29">IF(AND(L135="",M135="",N135=""),"",SUM(L135:N135))</f>
        <v/>
      </c>
      <c r="V135" s="21" t="str">
        <f t="shared" ref="V135:V145" si="30">IF(AND(O135="",P135="",Q135=""),"",SUM(O135:Q135))</f>
        <v/>
      </c>
    </row>
    <row r="136" spans="1:22" ht="18" customHeight="1">
      <c r="B136" s="3" t="s">
        <v>115</v>
      </c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21" t="str">
        <f t="shared" si="26"/>
        <v/>
      </c>
      <c r="S136" s="21" t="str">
        <f t="shared" si="27"/>
        <v/>
      </c>
      <c r="T136" s="21" t="str">
        <f t="shared" si="28"/>
        <v/>
      </c>
      <c r="U136" s="21" t="str">
        <f t="shared" si="29"/>
        <v/>
      </c>
      <c r="V136" s="21" t="str">
        <f t="shared" si="30"/>
        <v/>
      </c>
    </row>
    <row r="137" spans="1:22" ht="26.4">
      <c r="B137" s="3" t="s">
        <v>116</v>
      </c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21" t="str">
        <f t="shared" si="26"/>
        <v/>
      </c>
      <c r="S137" s="21" t="str">
        <f t="shared" si="27"/>
        <v/>
      </c>
      <c r="T137" s="21" t="str">
        <f t="shared" si="28"/>
        <v/>
      </c>
      <c r="U137" s="21" t="str">
        <f t="shared" si="29"/>
        <v/>
      </c>
      <c r="V137" s="21" t="str">
        <f t="shared" si="30"/>
        <v/>
      </c>
    </row>
    <row r="138" spans="1:22" ht="18" customHeight="1">
      <c r="B138" s="3" t="s">
        <v>117</v>
      </c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21" t="str">
        <f t="shared" si="26"/>
        <v/>
      </c>
      <c r="S138" s="21" t="str">
        <f t="shared" si="27"/>
        <v/>
      </c>
      <c r="T138" s="21" t="str">
        <f t="shared" si="28"/>
        <v/>
      </c>
      <c r="U138" s="21" t="str">
        <f t="shared" si="29"/>
        <v/>
      </c>
      <c r="V138" s="21" t="str">
        <f t="shared" si="30"/>
        <v/>
      </c>
    </row>
    <row r="139" spans="1:22" ht="26.4">
      <c r="B139" s="3" t="s">
        <v>118</v>
      </c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21" t="str">
        <f t="shared" si="26"/>
        <v/>
      </c>
      <c r="S139" s="21" t="str">
        <f t="shared" si="27"/>
        <v/>
      </c>
      <c r="T139" s="21" t="str">
        <f t="shared" si="28"/>
        <v/>
      </c>
      <c r="U139" s="21" t="str">
        <f t="shared" si="29"/>
        <v/>
      </c>
      <c r="V139" s="21" t="str">
        <f t="shared" si="30"/>
        <v/>
      </c>
    </row>
    <row r="140" spans="1:22" ht="18" customHeight="1">
      <c r="B140" s="3" t="s">
        <v>119</v>
      </c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21" t="str">
        <f t="shared" si="26"/>
        <v/>
      </c>
      <c r="S140" s="21" t="str">
        <f t="shared" si="27"/>
        <v/>
      </c>
      <c r="T140" s="21" t="str">
        <f t="shared" si="28"/>
        <v/>
      </c>
      <c r="U140" s="21" t="str">
        <f t="shared" si="29"/>
        <v/>
      </c>
      <c r="V140" s="21" t="str">
        <f t="shared" si="30"/>
        <v/>
      </c>
    </row>
    <row r="141" spans="1:22" ht="18" customHeight="1">
      <c r="B141" s="3" t="s">
        <v>120</v>
      </c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21" t="str">
        <f t="shared" si="26"/>
        <v/>
      </c>
      <c r="S141" s="21" t="str">
        <f t="shared" si="27"/>
        <v/>
      </c>
      <c r="T141" s="21" t="str">
        <f t="shared" si="28"/>
        <v/>
      </c>
      <c r="U141" s="21" t="str">
        <f t="shared" si="29"/>
        <v/>
      </c>
      <c r="V141" s="21" t="str">
        <f t="shared" si="30"/>
        <v/>
      </c>
    </row>
    <row r="142" spans="1:22" ht="18" customHeight="1">
      <c r="B142" s="3" t="s">
        <v>121</v>
      </c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21" t="str">
        <f t="shared" si="26"/>
        <v/>
      </c>
      <c r="S142" s="21" t="str">
        <f t="shared" si="27"/>
        <v/>
      </c>
      <c r="T142" s="21" t="str">
        <f t="shared" si="28"/>
        <v/>
      </c>
      <c r="U142" s="21" t="str">
        <f t="shared" si="29"/>
        <v/>
      </c>
      <c r="V142" s="21" t="str">
        <f t="shared" si="30"/>
        <v/>
      </c>
    </row>
    <row r="143" spans="1:22" ht="26.4">
      <c r="B143" s="3" t="s">
        <v>122</v>
      </c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21" t="str">
        <f t="shared" si="26"/>
        <v/>
      </c>
      <c r="S143" s="21" t="str">
        <f t="shared" si="27"/>
        <v/>
      </c>
      <c r="T143" s="21" t="str">
        <f t="shared" si="28"/>
        <v/>
      </c>
      <c r="U143" s="21" t="str">
        <f t="shared" si="29"/>
        <v/>
      </c>
      <c r="V143" s="21" t="str">
        <f t="shared" si="30"/>
        <v/>
      </c>
    </row>
    <row r="144" spans="1:22" ht="26.4">
      <c r="B144" s="3" t="s">
        <v>123</v>
      </c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21" t="str">
        <f t="shared" si="26"/>
        <v/>
      </c>
      <c r="S144" s="21" t="str">
        <f t="shared" si="27"/>
        <v/>
      </c>
      <c r="T144" s="21" t="str">
        <f t="shared" si="28"/>
        <v/>
      </c>
      <c r="U144" s="21" t="str">
        <f t="shared" si="29"/>
        <v/>
      </c>
      <c r="V144" s="21" t="str">
        <f t="shared" si="30"/>
        <v/>
      </c>
    </row>
    <row r="145" spans="1:22" ht="18" customHeight="1">
      <c r="B145" s="3" t="s">
        <v>124</v>
      </c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21" t="str">
        <f t="shared" si="26"/>
        <v/>
      </c>
      <c r="S145" s="21" t="str">
        <f t="shared" si="27"/>
        <v/>
      </c>
      <c r="T145" s="21" t="str">
        <f t="shared" si="28"/>
        <v/>
      </c>
      <c r="U145" s="21" t="str">
        <f t="shared" si="29"/>
        <v/>
      </c>
      <c r="V145" s="21" t="str">
        <f t="shared" si="30"/>
        <v/>
      </c>
    </row>
    <row r="146" spans="1:22" ht="17.25" customHeight="1"/>
    <row r="147" spans="1:22" ht="18" customHeight="1">
      <c r="A147" s="10" t="s">
        <v>172</v>
      </c>
      <c r="B147" s="25" t="s">
        <v>125</v>
      </c>
      <c r="C147" s="29" t="s">
        <v>108</v>
      </c>
      <c r="D147" s="30" t="s">
        <v>2</v>
      </c>
      <c r="E147" s="31" t="s">
        <v>2</v>
      </c>
      <c r="F147" s="29" t="s">
        <v>109</v>
      </c>
      <c r="G147" s="30" t="s">
        <v>2</v>
      </c>
      <c r="H147" s="31" t="s">
        <v>2</v>
      </c>
      <c r="I147" s="29" t="s">
        <v>110</v>
      </c>
      <c r="J147" s="30" t="s">
        <v>2</v>
      </c>
      <c r="K147" s="31" t="s">
        <v>2</v>
      </c>
      <c r="L147" s="29" t="s">
        <v>111</v>
      </c>
      <c r="M147" s="30" t="s">
        <v>2</v>
      </c>
      <c r="N147" s="31" t="s">
        <v>2</v>
      </c>
      <c r="O147" s="29" t="s">
        <v>112</v>
      </c>
      <c r="P147" s="30" t="s">
        <v>2</v>
      </c>
      <c r="Q147" s="31" t="s">
        <v>2</v>
      </c>
      <c r="R147" s="29" t="s">
        <v>126</v>
      </c>
      <c r="S147" s="30" t="s">
        <v>2</v>
      </c>
      <c r="T147" s="30" t="s">
        <v>2</v>
      </c>
      <c r="U147" s="30" t="s">
        <v>2</v>
      </c>
      <c r="V147" s="31" t="s">
        <v>2</v>
      </c>
    </row>
    <row r="148" spans="1:22">
      <c r="B148" s="26" t="s">
        <v>2</v>
      </c>
      <c r="C148" s="2" t="s">
        <v>7</v>
      </c>
      <c r="D148" s="2" t="s">
        <v>8</v>
      </c>
      <c r="E148" s="2" t="s">
        <v>9</v>
      </c>
      <c r="F148" s="2" t="s">
        <v>7</v>
      </c>
      <c r="G148" s="2" t="s">
        <v>8</v>
      </c>
      <c r="H148" s="2" t="s">
        <v>9</v>
      </c>
      <c r="I148" s="2" t="s">
        <v>7</v>
      </c>
      <c r="J148" s="2" t="s">
        <v>8</v>
      </c>
      <c r="K148" s="2" t="s">
        <v>9</v>
      </c>
      <c r="L148" s="2" t="s">
        <v>7</v>
      </c>
      <c r="M148" s="2" t="s">
        <v>8</v>
      </c>
      <c r="N148" s="2" t="s">
        <v>9</v>
      </c>
      <c r="O148" s="2" t="s">
        <v>7</v>
      </c>
      <c r="P148" s="2" t="s">
        <v>8</v>
      </c>
      <c r="Q148" s="2" t="s">
        <v>9</v>
      </c>
      <c r="R148" s="2" t="s">
        <v>108</v>
      </c>
      <c r="S148" s="2" t="s">
        <v>109</v>
      </c>
      <c r="T148" s="2" t="s">
        <v>110</v>
      </c>
      <c r="U148" s="2" t="s">
        <v>111</v>
      </c>
      <c r="V148" s="2" t="s">
        <v>112</v>
      </c>
    </row>
    <row r="149" spans="1:22">
      <c r="B149" s="3" t="s">
        <v>13</v>
      </c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21" t="str">
        <f>IF(AND(C149="",D149="",E149=""),"",SUM(C149:E149))</f>
        <v/>
      </c>
      <c r="S149" s="21" t="str">
        <f>IF(AND(F149="",G149="",H149=""),"",SUM(F149:H149))</f>
        <v/>
      </c>
      <c r="T149" s="21" t="str">
        <f>IF(AND(I149="",J149="",K149=""),"",SUM(I149:K149))</f>
        <v/>
      </c>
      <c r="U149" s="21" t="str">
        <f>IF(AND(L149="",M149="",N149=""),"",SUM(L149:N149))</f>
        <v/>
      </c>
      <c r="V149" s="21" t="str">
        <f>IF(AND(O149="",P149="",Q149=""),"",SUM(O149:Q149))</f>
        <v/>
      </c>
    </row>
    <row r="150" spans="1:22">
      <c r="B150" s="3" t="s">
        <v>14</v>
      </c>
      <c r="C150" s="17" t="s">
        <v>2</v>
      </c>
      <c r="D150" s="17" t="s">
        <v>2</v>
      </c>
      <c r="E150" s="17" t="s">
        <v>2</v>
      </c>
      <c r="F150" s="17" t="s">
        <v>2</v>
      </c>
      <c r="G150" s="17" t="s">
        <v>2</v>
      </c>
      <c r="H150" s="17" t="s">
        <v>2</v>
      </c>
      <c r="I150" s="17"/>
      <c r="J150" s="17" t="s">
        <v>2</v>
      </c>
      <c r="K150" s="17" t="s">
        <v>2</v>
      </c>
      <c r="L150" s="17" t="s">
        <v>2</v>
      </c>
      <c r="M150" s="17" t="s">
        <v>2</v>
      </c>
      <c r="N150" s="17" t="s">
        <v>2</v>
      </c>
      <c r="O150" s="17" t="s">
        <v>2</v>
      </c>
      <c r="P150" s="17" t="s">
        <v>2</v>
      </c>
      <c r="Q150" s="17" t="s">
        <v>2</v>
      </c>
      <c r="R150" s="21" t="str">
        <f t="shared" ref="R150:R159" si="31">IF(AND(C150="",D150="",E150=""),"",SUM(C150:E150))</f>
        <v/>
      </c>
      <c r="S150" s="21" t="str">
        <f t="shared" ref="S150:S159" si="32">IF(AND(F150="",G150="",H150=""),"",SUM(F150:H150))</f>
        <v/>
      </c>
      <c r="T150" s="21" t="str">
        <f t="shared" ref="T150:T159" si="33">IF(AND(I150="",J150="",K150=""),"",SUM(I150:K150))</f>
        <v/>
      </c>
      <c r="U150" s="21" t="str">
        <f t="shared" ref="U150:U159" si="34">IF(AND(L150="",M150="",N150=""),"",SUM(L150:N150))</f>
        <v/>
      </c>
      <c r="V150" s="21" t="str">
        <f t="shared" ref="V150:V159" si="35">IF(AND(O150="",P150="",Q150=""),"",SUM(O150:Q150))</f>
        <v/>
      </c>
    </row>
    <row r="151" spans="1:22">
      <c r="B151" s="3" t="s">
        <v>15</v>
      </c>
      <c r="C151" s="17" t="s">
        <v>2</v>
      </c>
      <c r="D151" s="17" t="s">
        <v>2</v>
      </c>
      <c r="E151" s="17" t="s">
        <v>2</v>
      </c>
      <c r="F151" s="17" t="s">
        <v>2</v>
      </c>
      <c r="G151" s="17" t="s">
        <v>2</v>
      </c>
      <c r="H151" s="17" t="s">
        <v>2</v>
      </c>
      <c r="I151" s="17"/>
      <c r="J151" s="17" t="s">
        <v>2</v>
      </c>
      <c r="K151" s="17" t="s">
        <v>2</v>
      </c>
      <c r="L151" s="17" t="s">
        <v>2</v>
      </c>
      <c r="M151" s="17" t="s">
        <v>2</v>
      </c>
      <c r="N151" s="17" t="s">
        <v>2</v>
      </c>
      <c r="O151" s="17" t="s">
        <v>2</v>
      </c>
      <c r="P151" s="17" t="s">
        <v>2</v>
      </c>
      <c r="Q151" s="17" t="s">
        <v>2</v>
      </c>
      <c r="R151" s="21" t="str">
        <f t="shared" si="31"/>
        <v/>
      </c>
      <c r="S151" s="21" t="str">
        <f t="shared" si="32"/>
        <v/>
      </c>
      <c r="T151" s="21" t="str">
        <f t="shared" si="33"/>
        <v/>
      </c>
      <c r="U151" s="21" t="str">
        <f t="shared" si="34"/>
        <v/>
      </c>
      <c r="V151" s="21" t="str">
        <f t="shared" si="35"/>
        <v/>
      </c>
    </row>
    <row r="152" spans="1:22">
      <c r="B152" s="3" t="s">
        <v>16</v>
      </c>
      <c r="C152" s="17" t="s">
        <v>2</v>
      </c>
      <c r="D152" s="17" t="s">
        <v>2</v>
      </c>
      <c r="E152" s="17" t="s">
        <v>2</v>
      </c>
      <c r="F152" s="17" t="s">
        <v>2</v>
      </c>
      <c r="G152" s="17" t="s">
        <v>2</v>
      </c>
      <c r="H152" s="17" t="s">
        <v>2</v>
      </c>
      <c r="I152" s="17" t="s">
        <v>2</v>
      </c>
      <c r="J152" s="17" t="s">
        <v>2</v>
      </c>
      <c r="K152" s="17" t="s">
        <v>2</v>
      </c>
      <c r="L152" s="17" t="s">
        <v>2</v>
      </c>
      <c r="M152" s="17" t="s">
        <v>2</v>
      </c>
      <c r="N152" s="17" t="s">
        <v>2</v>
      </c>
      <c r="O152" s="17" t="s">
        <v>2</v>
      </c>
      <c r="P152" s="17" t="s">
        <v>2</v>
      </c>
      <c r="Q152" s="17" t="s">
        <v>2</v>
      </c>
      <c r="R152" s="21" t="str">
        <f t="shared" si="31"/>
        <v/>
      </c>
      <c r="S152" s="21" t="str">
        <f t="shared" si="32"/>
        <v/>
      </c>
      <c r="T152" s="21" t="str">
        <f t="shared" si="33"/>
        <v/>
      </c>
      <c r="U152" s="21" t="str">
        <f t="shared" si="34"/>
        <v/>
      </c>
      <c r="V152" s="21" t="str">
        <f t="shared" si="35"/>
        <v/>
      </c>
    </row>
    <row r="153" spans="1:22">
      <c r="B153" s="3" t="s">
        <v>17</v>
      </c>
      <c r="C153" s="17" t="s">
        <v>2</v>
      </c>
      <c r="D153" s="17" t="s">
        <v>2</v>
      </c>
      <c r="E153" s="17" t="s">
        <v>2</v>
      </c>
      <c r="F153" s="17" t="s">
        <v>2</v>
      </c>
      <c r="G153" s="17" t="s">
        <v>2</v>
      </c>
      <c r="H153" s="17" t="s">
        <v>2</v>
      </c>
      <c r="I153" s="17" t="s">
        <v>2</v>
      </c>
      <c r="J153" s="17" t="s">
        <v>2</v>
      </c>
      <c r="K153" s="17" t="s">
        <v>2</v>
      </c>
      <c r="L153" s="17" t="s">
        <v>2</v>
      </c>
      <c r="M153" s="17" t="s">
        <v>2</v>
      </c>
      <c r="N153" s="17" t="s">
        <v>2</v>
      </c>
      <c r="O153" s="17" t="s">
        <v>2</v>
      </c>
      <c r="P153" s="17" t="s">
        <v>2</v>
      </c>
      <c r="Q153" s="17" t="s">
        <v>2</v>
      </c>
      <c r="R153" s="21" t="str">
        <f t="shared" si="31"/>
        <v/>
      </c>
      <c r="S153" s="21" t="str">
        <f t="shared" si="32"/>
        <v/>
      </c>
      <c r="T153" s="21" t="str">
        <f t="shared" si="33"/>
        <v/>
      </c>
      <c r="U153" s="21" t="str">
        <f t="shared" si="34"/>
        <v/>
      </c>
      <c r="V153" s="21" t="str">
        <f t="shared" si="35"/>
        <v/>
      </c>
    </row>
    <row r="154" spans="1:22">
      <c r="B154" s="3" t="s">
        <v>127</v>
      </c>
      <c r="C154" s="17" t="s">
        <v>2</v>
      </c>
      <c r="D154" s="17" t="s">
        <v>2</v>
      </c>
      <c r="E154" s="17" t="s">
        <v>2</v>
      </c>
      <c r="F154" s="17" t="s">
        <v>2</v>
      </c>
      <c r="G154" s="17" t="s">
        <v>2</v>
      </c>
      <c r="H154" s="17" t="s">
        <v>2</v>
      </c>
      <c r="I154" s="17" t="s">
        <v>2</v>
      </c>
      <c r="J154" s="17" t="s">
        <v>2</v>
      </c>
      <c r="K154" s="17" t="s">
        <v>2</v>
      </c>
      <c r="L154" s="17" t="s">
        <v>2</v>
      </c>
      <c r="M154" s="17" t="s">
        <v>2</v>
      </c>
      <c r="N154" s="17" t="s">
        <v>2</v>
      </c>
      <c r="O154" s="17" t="s">
        <v>2</v>
      </c>
      <c r="P154" s="17" t="s">
        <v>2</v>
      </c>
      <c r="Q154" s="17" t="s">
        <v>2</v>
      </c>
      <c r="R154" s="21" t="str">
        <f t="shared" si="31"/>
        <v/>
      </c>
      <c r="S154" s="21" t="str">
        <f t="shared" si="32"/>
        <v/>
      </c>
      <c r="T154" s="21" t="str">
        <f t="shared" si="33"/>
        <v/>
      </c>
      <c r="U154" s="21" t="str">
        <f t="shared" si="34"/>
        <v/>
      </c>
      <c r="V154" s="21" t="str">
        <f t="shared" si="35"/>
        <v/>
      </c>
    </row>
    <row r="155" spans="1:22">
      <c r="B155" s="3" t="s">
        <v>19</v>
      </c>
      <c r="C155" s="17" t="s">
        <v>2</v>
      </c>
      <c r="D155" s="17" t="s">
        <v>2</v>
      </c>
      <c r="E155" s="17" t="s">
        <v>2</v>
      </c>
      <c r="F155" s="17" t="s">
        <v>2</v>
      </c>
      <c r="G155" s="17" t="s">
        <v>2</v>
      </c>
      <c r="H155" s="17" t="s">
        <v>2</v>
      </c>
      <c r="I155" s="17" t="s">
        <v>2</v>
      </c>
      <c r="J155" s="17" t="s">
        <v>2</v>
      </c>
      <c r="K155" s="17" t="s">
        <v>2</v>
      </c>
      <c r="L155" s="17" t="s">
        <v>2</v>
      </c>
      <c r="M155" s="17" t="s">
        <v>2</v>
      </c>
      <c r="N155" s="17" t="s">
        <v>2</v>
      </c>
      <c r="O155" s="17" t="s">
        <v>2</v>
      </c>
      <c r="P155" s="17" t="s">
        <v>2</v>
      </c>
      <c r="Q155" s="17" t="s">
        <v>2</v>
      </c>
      <c r="R155" s="21" t="str">
        <f t="shared" si="31"/>
        <v/>
      </c>
      <c r="S155" s="21" t="str">
        <f t="shared" si="32"/>
        <v/>
      </c>
      <c r="T155" s="21" t="str">
        <f t="shared" si="33"/>
        <v/>
      </c>
      <c r="U155" s="21" t="str">
        <f t="shared" si="34"/>
        <v/>
      </c>
      <c r="V155" s="21" t="str">
        <f t="shared" si="35"/>
        <v/>
      </c>
    </row>
    <row r="156" spans="1:22">
      <c r="B156" s="3" t="s">
        <v>128</v>
      </c>
      <c r="C156" s="17" t="s">
        <v>2</v>
      </c>
      <c r="D156" s="17" t="s">
        <v>2</v>
      </c>
      <c r="E156" s="17" t="s">
        <v>2</v>
      </c>
      <c r="F156" s="17" t="s">
        <v>2</v>
      </c>
      <c r="G156" s="17" t="s">
        <v>2</v>
      </c>
      <c r="H156" s="17" t="s">
        <v>2</v>
      </c>
      <c r="I156" s="17" t="s">
        <v>2</v>
      </c>
      <c r="J156" s="17" t="s">
        <v>2</v>
      </c>
      <c r="K156" s="17" t="s">
        <v>2</v>
      </c>
      <c r="L156" s="17" t="s">
        <v>2</v>
      </c>
      <c r="M156" s="17" t="s">
        <v>2</v>
      </c>
      <c r="N156" s="17" t="s">
        <v>2</v>
      </c>
      <c r="O156" s="17" t="s">
        <v>2</v>
      </c>
      <c r="P156" s="17" t="s">
        <v>2</v>
      </c>
      <c r="Q156" s="17" t="s">
        <v>2</v>
      </c>
      <c r="R156" s="21" t="str">
        <f t="shared" si="31"/>
        <v/>
      </c>
      <c r="S156" s="21" t="str">
        <f t="shared" si="32"/>
        <v/>
      </c>
      <c r="T156" s="21" t="str">
        <f t="shared" si="33"/>
        <v/>
      </c>
      <c r="U156" s="21" t="str">
        <f t="shared" si="34"/>
        <v/>
      </c>
      <c r="V156" s="21" t="str">
        <f t="shared" si="35"/>
        <v/>
      </c>
    </row>
    <row r="157" spans="1:22">
      <c r="B157" s="3" t="s">
        <v>20</v>
      </c>
      <c r="C157" s="17" t="s">
        <v>2</v>
      </c>
      <c r="D157" s="17" t="s">
        <v>2</v>
      </c>
      <c r="E157" s="17" t="s">
        <v>2</v>
      </c>
      <c r="F157" s="17" t="s">
        <v>2</v>
      </c>
      <c r="G157" s="17" t="s">
        <v>2</v>
      </c>
      <c r="H157" s="17" t="s">
        <v>2</v>
      </c>
      <c r="I157" s="17" t="s">
        <v>2</v>
      </c>
      <c r="J157" s="17" t="s">
        <v>2</v>
      </c>
      <c r="K157" s="17" t="s">
        <v>2</v>
      </c>
      <c r="L157" s="17" t="s">
        <v>2</v>
      </c>
      <c r="M157" s="17" t="s">
        <v>2</v>
      </c>
      <c r="N157" s="17" t="s">
        <v>2</v>
      </c>
      <c r="O157" s="17" t="s">
        <v>2</v>
      </c>
      <c r="P157" s="17" t="s">
        <v>2</v>
      </c>
      <c r="Q157" s="17" t="s">
        <v>2</v>
      </c>
      <c r="R157" s="21" t="str">
        <f t="shared" si="31"/>
        <v/>
      </c>
      <c r="S157" s="21" t="str">
        <f t="shared" si="32"/>
        <v/>
      </c>
      <c r="T157" s="21" t="str">
        <f t="shared" si="33"/>
        <v/>
      </c>
      <c r="U157" s="21" t="str">
        <f t="shared" si="34"/>
        <v/>
      </c>
      <c r="V157" s="21" t="str">
        <f t="shared" si="35"/>
        <v/>
      </c>
    </row>
    <row r="158" spans="1:22">
      <c r="B158" s="3" t="s">
        <v>21</v>
      </c>
      <c r="C158" s="17" t="s">
        <v>2</v>
      </c>
      <c r="D158" s="17" t="s">
        <v>2</v>
      </c>
      <c r="E158" s="17" t="s">
        <v>2</v>
      </c>
      <c r="F158" s="17" t="s">
        <v>2</v>
      </c>
      <c r="G158" s="17" t="s">
        <v>2</v>
      </c>
      <c r="H158" s="17" t="s">
        <v>2</v>
      </c>
      <c r="I158" s="17" t="s">
        <v>2</v>
      </c>
      <c r="J158" s="17" t="s">
        <v>2</v>
      </c>
      <c r="K158" s="17" t="s">
        <v>2</v>
      </c>
      <c r="L158" s="17" t="s">
        <v>2</v>
      </c>
      <c r="M158" s="17" t="s">
        <v>2</v>
      </c>
      <c r="N158" s="17" t="s">
        <v>2</v>
      </c>
      <c r="O158" s="17" t="s">
        <v>2</v>
      </c>
      <c r="P158" s="17" t="s">
        <v>2</v>
      </c>
      <c r="Q158" s="17" t="s">
        <v>2</v>
      </c>
      <c r="R158" s="21" t="str">
        <f t="shared" si="31"/>
        <v/>
      </c>
      <c r="S158" s="21" t="str">
        <f t="shared" si="32"/>
        <v/>
      </c>
      <c r="T158" s="21" t="str">
        <f t="shared" si="33"/>
        <v/>
      </c>
      <c r="U158" s="21" t="str">
        <f t="shared" si="34"/>
        <v/>
      </c>
      <c r="V158" s="21" t="str">
        <f t="shared" si="35"/>
        <v/>
      </c>
    </row>
    <row r="159" spans="1:22">
      <c r="B159" s="3" t="s">
        <v>22</v>
      </c>
      <c r="C159" s="17" t="s">
        <v>2</v>
      </c>
      <c r="D159" s="17" t="s">
        <v>2</v>
      </c>
      <c r="E159" s="17" t="s">
        <v>2</v>
      </c>
      <c r="F159" s="17" t="s">
        <v>2</v>
      </c>
      <c r="G159" s="17" t="s">
        <v>2</v>
      </c>
      <c r="H159" s="17" t="s">
        <v>2</v>
      </c>
      <c r="I159" s="17" t="s">
        <v>2</v>
      </c>
      <c r="J159" s="17" t="s">
        <v>2</v>
      </c>
      <c r="K159" s="17" t="s">
        <v>2</v>
      </c>
      <c r="L159" s="17" t="s">
        <v>2</v>
      </c>
      <c r="M159" s="17" t="s">
        <v>2</v>
      </c>
      <c r="N159" s="17" t="s">
        <v>2</v>
      </c>
      <c r="O159" s="17" t="s">
        <v>2</v>
      </c>
      <c r="P159" s="17" t="s">
        <v>2</v>
      </c>
      <c r="Q159" s="17" t="s">
        <v>2</v>
      </c>
      <c r="R159" s="21" t="str">
        <f t="shared" si="31"/>
        <v/>
      </c>
      <c r="S159" s="21" t="str">
        <f t="shared" si="32"/>
        <v/>
      </c>
      <c r="T159" s="21" t="str">
        <f t="shared" si="33"/>
        <v/>
      </c>
      <c r="U159" s="21" t="str">
        <f t="shared" si="34"/>
        <v/>
      </c>
      <c r="V159" s="21" t="str">
        <f t="shared" si="35"/>
        <v/>
      </c>
    </row>
    <row r="160" spans="1:22" ht="23.25" customHeight="1"/>
    <row r="161" spans="1:42" ht="26.4">
      <c r="A161" s="10" t="s">
        <v>173</v>
      </c>
      <c r="B161" s="5" t="s">
        <v>125</v>
      </c>
      <c r="C161" s="2" t="s">
        <v>129</v>
      </c>
      <c r="D161" s="2" t="s">
        <v>130</v>
      </c>
    </row>
    <row r="162" spans="1:42" ht="18" customHeight="1">
      <c r="B162" s="3" t="s">
        <v>13</v>
      </c>
      <c r="C162" s="17" t="s">
        <v>2</v>
      </c>
      <c r="D162" s="17" t="s">
        <v>2</v>
      </c>
    </row>
    <row r="163" spans="1:42" ht="18" customHeight="1">
      <c r="B163" s="3" t="s">
        <v>14</v>
      </c>
      <c r="C163" s="17" t="s">
        <v>2</v>
      </c>
      <c r="D163" s="17" t="s">
        <v>2</v>
      </c>
    </row>
    <row r="164" spans="1:42" ht="18" customHeight="1">
      <c r="B164" s="3" t="s">
        <v>15</v>
      </c>
      <c r="C164" s="17" t="s">
        <v>2</v>
      </c>
      <c r="D164" s="17" t="s">
        <v>2</v>
      </c>
    </row>
    <row r="165" spans="1:42" ht="18" customHeight="1">
      <c r="B165" s="3" t="s">
        <v>16</v>
      </c>
      <c r="C165" s="17" t="s">
        <v>2</v>
      </c>
      <c r="D165" s="17" t="s">
        <v>2</v>
      </c>
    </row>
    <row r="166" spans="1:42" ht="18" customHeight="1">
      <c r="B166" s="3" t="s">
        <v>17</v>
      </c>
      <c r="C166" s="17" t="s">
        <v>2</v>
      </c>
      <c r="D166" s="17" t="s">
        <v>2</v>
      </c>
    </row>
    <row r="167" spans="1:42" ht="18" customHeight="1">
      <c r="B167" s="3" t="s">
        <v>127</v>
      </c>
      <c r="C167" s="17" t="s">
        <v>2</v>
      </c>
      <c r="D167" s="17" t="s">
        <v>2</v>
      </c>
    </row>
    <row r="168" spans="1:42" ht="18" customHeight="1">
      <c r="B168" s="3" t="s">
        <v>19</v>
      </c>
      <c r="C168" s="17" t="s">
        <v>2</v>
      </c>
      <c r="D168" s="17" t="s">
        <v>2</v>
      </c>
    </row>
    <row r="169" spans="1:42" ht="18" customHeight="1">
      <c r="B169" s="3" t="s">
        <v>128</v>
      </c>
      <c r="C169" s="17" t="s">
        <v>2</v>
      </c>
      <c r="D169" s="17" t="s">
        <v>2</v>
      </c>
    </row>
    <row r="170" spans="1:42" ht="18" customHeight="1">
      <c r="B170" s="3" t="s">
        <v>20</v>
      </c>
      <c r="C170" s="17" t="s">
        <v>2</v>
      </c>
      <c r="D170" s="17" t="s">
        <v>2</v>
      </c>
    </row>
    <row r="171" spans="1:42" ht="18" customHeight="1">
      <c r="B171" s="3" t="s">
        <v>21</v>
      </c>
      <c r="C171" s="17" t="s">
        <v>2</v>
      </c>
      <c r="D171" s="17" t="s">
        <v>2</v>
      </c>
    </row>
    <row r="172" spans="1:42" ht="18" customHeight="1">
      <c r="B172" s="3" t="s">
        <v>22</v>
      </c>
      <c r="C172" s="17" t="s">
        <v>2</v>
      </c>
      <c r="D172" s="17" t="s">
        <v>2</v>
      </c>
    </row>
    <row r="173" spans="1:42" ht="20.25" customHeight="1"/>
    <row r="174" spans="1:42" ht="18" customHeight="1">
      <c r="A174" s="10" t="s">
        <v>174</v>
      </c>
      <c r="B174" s="25" t="s">
        <v>131</v>
      </c>
      <c r="C174" s="29" t="s">
        <v>132</v>
      </c>
      <c r="D174" s="30" t="s">
        <v>2</v>
      </c>
      <c r="E174" s="30" t="s">
        <v>2</v>
      </c>
      <c r="F174" s="30" t="s">
        <v>2</v>
      </c>
      <c r="G174" s="30" t="s">
        <v>2</v>
      </c>
      <c r="H174" s="30" t="s">
        <v>2</v>
      </c>
      <c r="I174" s="30" t="s">
        <v>2</v>
      </c>
      <c r="J174" s="30" t="s">
        <v>2</v>
      </c>
      <c r="K174" s="30" t="s">
        <v>2</v>
      </c>
      <c r="L174" s="30" t="s">
        <v>2</v>
      </c>
      <c r="M174" s="30" t="s">
        <v>2</v>
      </c>
      <c r="N174" s="30" t="s">
        <v>2</v>
      </c>
      <c r="O174" s="30" t="s">
        <v>2</v>
      </c>
      <c r="P174" s="30" t="s">
        <v>2</v>
      </c>
      <c r="Q174" s="30" t="s">
        <v>2</v>
      </c>
      <c r="R174" s="30" t="s">
        <v>2</v>
      </c>
      <c r="S174" s="30" t="s">
        <v>2</v>
      </c>
      <c r="T174" s="30" t="s">
        <v>2</v>
      </c>
      <c r="U174" s="30" t="s">
        <v>2</v>
      </c>
      <c r="V174" s="31" t="s">
        <v>2</v>
      </c>
      <c r="W174" s="29" t="s">
        <v>133</v>
      </c>
      <c r="X174" s="30" t="s">
        <v>2</v>
      </c>
      <c r="Y174" s="30" t="s">
        <v>2</v>
      </c>
      <c r="Z174" s="30" t="s">
        <v>2</v>
      </c>
      <c r="AA174" s="30" t="s">
        <v>2</v>
      </c>
      <c r="AB174" s="30" t="s">
        <v>2</v>
      </c>
      <c r="AC174" s="30" t="s">
        <v>2</v>
      </c>
      <c r="AD174" s="30" t="s">
        <v>2</v>
      </c>
      <c r="AE174" s="30" t="s">
        <v>2</v>
      </c>
      <c r="AF174" s="30" t="s">
        <v>2</v>
      </c>
      <c r="AG174" s="30" t="s">
        <v>2</v>
      </c>
      <c r="AH174" s="30" t="s">
        <v>2</v>
      </c>
      <c r="AI174" s="30" t="s">
        <v>2</v>
      </c>
      <c r="AJ174" s="30" t="s">
        <v>2</v>
      </c>
      <c r="AK174" s="30" t="s">
        <v>2</v>
      </c>
      <c r="AL174" s="30" t="s">
        <v>2</v>
      </c>
      <c r="AM174" s="30" t="s">
        <v>2</v>
      </c>
      <c r="AN174" s="30" t="s">
        <v>2</v>
      </c>
      <c r="AO174" s="30" t="s">
        <v>2</v>
      </c>
      <c r="AP174" s="31" t="s">
        <v>2</v>
      </c>
    </row>
    <row r="175" spans="1:42" ht="18" customHeight="1">
      <c r="B175" s="28" t="s">
        <v>2</v>
      </c>
      <c r="C175" s="29" t="s">
        <v>108</v>
      </c>
      <c r="D175" s="30" t="s">
        <v>2</v>
      </c>
      <c r="E175" s="30" t="s">
        <v>2</v>
      </c>
      <c r="F175" s="31" t="s">
        <v>2</v>
      </c>
      <c r="G175" s="29" t="s">
        <v>109</v>
      </c>
      <c r="H175" s="30" t="s">
        <v>2</v>
      </c>
      <c r="I175" s="30" t="s">
        <v>2</v>
      </c>
      <c r="J175" s="31" t="s">
        <v>2</v>
      </c>
      <c r="K175" s="29" t="s">
        <v>110</v>
      </c>
      <c r="L175" s="30" t="s">
        <v>2</v>
      </c>
      <c r="M175" s="30" t="s">
        <v>2</v>
      </c>
      <c r="N175" s="31" t="s">
        <v>2</v>
      </c>
      <c r="O175" s="29" t="s">
        <v>112</v>
      </c>
      <c r="P175" s="30" t="s">
        <v>2</v>
      </c>
      <c r="Q175" s="30" t="s">
        <v>2</v>
      </c>
      <c r="R175" s="31" t="s">
        <v>2</v>
      </c>
      <c r="S175" s="29" t="s">
        <v>111</v>
      </c>
      <c r="T175" s="30" t="s">
        <v>2</v>
      </c>
      <c r="U175" s="30" t="s">
        <v>2</v>
      </c>
      <c r="V175" s="31" t="s">
        <v>2</v>
      </c>
      <c r="W175" s="29" t="s">
        <v>108</v>
      </c>
      <c r="X175" s="30" t="s">
        <v>2</v>
      </c>
      <c r="Y175" s="30" t="s">
        <v>2</v>
      </c>
      <c r="Z175" s="31" t="s">
        <v>2</v>
      </c>
      <c r="AA175" s="29" t="s">
        <v>109</v>
      </c>
      <c r="AB175" s="30" t="s">
        <v>2</v>
      </c>
      <c r="AC175" s="30" t="s">
        <v>2</v>
      </c>
      <c r="AD175" s="31" t="s">
        <v>2</v>
      </c>
      <c r="AE175" s="29" t="s">
        <v>110</v>
      </c>
      <c r="AF175" s="30" t="s">
        <v>2</v>
      </c>
      <c r="AG175" s="30" t="s">
        <v>2</v>
      </c>
      <c r="AH175" s="31" t="s">
        <v>2</v>
      </c>
      <c r="AI175" s="29" t="s">
        <v>112</v>
      </c>
      <c r="AJ175" s="30" t="s">
        <v>2</v>
      </c>
      <c r="AK175" s="30" t="s">
        <v>2</v>
      </c>
      <c r="AL175" s="31" t="s">
        <v>2</v>
      </c>
      <c r="AM175" s="29" t="s">
        <v>111</v>
      </c>
      <c r="AN175" s="30" t="s">
        <v>2</v>
      </c>
      <c r="AO175" s="30" t="s">
        <v>2</v>
      </c>
      <c r="AP175" s="31" t="s">
        <v>2</v>
      </c>
    </row>
    <row r="176" spans="1:42" ht="18" customHeight="1">
      <c r="B176" s="26" t="s">
        <v>2</v>
      </c>
      <c r="C176" s="2" t="s">
        <v>6</v>
      </c>
      <c r="D176" s="2" t="s">
        <v>7</v>
      </c>
      <c r="E176" s="2" t="s">
        <v>8</v>
      </c>
      <c r="F176" s="2" t="s">
        <v>9</v>
      </c>
      <c r="G176" s="2" t="s">
        <v>6</v>
      </c>
      <c r="H176" s="2" t="s">
        <v>7</v>
      </c>
      <c r="I176" s="2" t="s">
        <v>8</v>
      </c>
      <c r="J176" s="2" t="s">
        <v>9</v>
      </c>
      <c r="K176" s="2" t="s">
        <v>6</v>
      </c>
      <c r="L176" s="2" t="s">
        <v>7</v>
      </c>
      <c r="M176" s="2" t="s">
        <v>8</v>
      </c>
      <c r="N176" s="2" t="s">
        <v>9</v>
      </c>
      <c r="O176" s="2" t="s">
        <v>6</v>
      </c>
      <c r="P176" s="2" t="s">
        <v>7</v>
      </c>
      <c r="Q176" s="2" t="s">
        <v>8</v>
      </c>
      <c r="R176" s="2" t="s">
        <v>9</v>
      </c>
      <c r="S176" s="2" t="s">
        <v>6</v>
      </c>
      <c r="T176" s="2" t="s">
        <v>7</v>
      </c>
      <c r="U176" s="2" t="s">
        <v>8</v>
      </c>
      <c r="V176" s="2" t="s">
        <v>9</v>
      </c>
      <c r="W176" s="2" t="s">
        <v>6</v>
      </c>
      <c r="X176" s="2" t="s">
        <v>7</v>
      </c>
      <c r="Y176" s="2" t="s">
        <v>8</v>
      </c>
      <c r="Z176" s="2" t="s">
        <v>9</v>
      </c>
      <c r="AA176" s="2" t="s">
        <v>6</v>
      </c>
      <c r="AB176" s="2" t="s">
        <v>7</v>
      </c>
      <c r="AC176" s="2" t="s">
        <v>8</v>
      </c>
      <c r="AD176" s="2" t="s">
        <v>9</v>
      </c>
      <c r="AE176" s="2" t="s">
        <v>6</v>
      </c>
      <c r="AF176" s="2" t="s">
        <v>7</v>
      </c>
      <c r="AG176" s="2" t="s">
        <v>8</v>
      </c>
      <c r="AH176" s="2" t="s">
        <v>9</v>
      </c>
      <c r="AI176" s="2" t="s">
        <v>6</v>
      </c>
      <c r="AJ176" s="2" t="s">
        <v>7</v>
      </c>
      <c r="AK176" s="2" t="s">
        <v>8</v>
      </c>
      <c r="AL176" s="2" t="s">
        <v>9</v>
      </c>
      <c r="AM176" s="2" t="s">
        <v>6</v>
      </c>
      <c r="AN176" s="2" t="s">
        <v>7</v>
      </c>
      <c r="AO176" s="2" t="s">
        <v>8</v>
      </c>
      <c r="AP176" s="2" t="s">
        <v>9</v>
      </c>
    </row>
    <row r="177" spans="1:42" ht="18" customHeight="1">
      <c r="B177" s="3" t="s">
        <v>134</v>
      </c>
      <c r="C177" s="17" t="s">
        <v>2</v>
      </c>
      <c r="D177" s="17" t="s">
        <v>2</v>
      </c>
      <c r="E177" s="17" t="s">
        <v>2</v>
      </c>
      <c r="F177" s="17" t="s">
        <v>2</v>
      </c>
      <c r="G177" s="17" t="s">
        <v>2</v>
      </c>
      <c r="H177" s="17" t="s">
        <v>2</v>
      </c>
      <c r="I177" s="17" t="s">
        <v>2</v>
      </c>
      <c r="J177" s="17" t="s">
        <v>2</v>
      </c>
      <c r="K177" s="17" t="s">
        <v>2</v>
      </c>
      <c r="L177" s="17" t="s">
        <v>2</v>
      </c>
      <c r="M177" s="17" t="s">
        <v>2</v>
      </c>
      <c r="N177" s="17" t="s">
        <v>2</v>
      </c>
      <c r="O177" s="17" t="s">
        <v>2</v>
      </c>
      <c r="P177" s="17" t="s">
        <v>2</v>
      </c>
      <c r="Q177" s="17" t="s">
        <v>2</v>
      </c>
      <c r="R177" s="17" t="s">
        <v>2</v>
      </c>
      <c r="S177" s="17" t="s">
        <v>2</v>
      </c>
      <c r="T177" s="17" t="s">
        <v>2</v>
      </c>
      <c r="U177" s="17" t="s">
        <v>2</v>
      </c>
      <c r="V177" s="17" t="s">
        <v>2</v>
      </c>
      <c r="W177" s="17" t="s">
        <v>2</v>
      </c>
      <c r="X177" s="17" t="s">
        <v>2</v>
      </c>
      <c r="Y177" s="17" t="s">
        <v>2</v>
      </c>
      <c r="Z177" s="17" t="s">
        <v>2</v>
      </c>
      <c r="AA177" s="17" t="s">
        <v>2</v>
      </c>
      <c r="AB177" s="17" t="s">
        <v>2</v>
      </c>
      <c r="AC177" s="17" t="s">
        <v>2</v>
      </c>
      <c r="AD177" s="17" t="s">
        <v>2</v>
      </c>
      <c r="AE177" s="17" t="s">
        <v>2</v>
      </c>
      <c r="AF177" s="17" t="s">
        <v>2</v>
      </c>
      <c r="AG177" s="17" t="s">
        <v>2</v>
      </c>
      <c r="AH177" s="17" t="s">
        <v>2</v>
      </c>
      <c r="AI177" s="17" t="s">
        <v>2</v>
      </c>
      <c r="AJ177" s="17" t="s">
        <v>2</v>
      </c>
      <c r="AK177" s="17" t="s">
        <v>2</v>
      </c>
      <c r="AL177" s="17" t="s">
        <v>2</v>
      </c>
      <c r="AM177" s="17" t="s">
        <v>2</v>
      </c>
      <c r="AN177" s="17" t="s">
        <v>2</v>
      </c>
      <c r="AO177" s="17" t="s">
        <v>2</v>
      </c>
      <c r="AP177" s="17" t="s">
        <v>2</v>
      </c>
    </row>
    <row r="178" spans="1:42" ht="18" customHeight="1">
      <c r="B178" s="3" t="s">
        <v>135</v>
      </c>
      <c r="C178" s="17" t="s">
        <v>2</v>
      </c>
      <c r="D178" s="17" t="s">
        <v>2</v>
      </c>
      <c r="E178" s="17" t="s">
        <v>2</v>
      </c>
      <c r="F178" s="17" t="s">
        <v>2</v>
      </c>
      <c r="G178" s="17" t="s">
        <v>2</v>
      </c>
      <c r="H178" s="17" t="s">
        <v>2</v>
      </c>
      <c r="I178" s="17" t="s">
        <v>2</v>
      </c>
      <c r="J178" s="17" t="s">
        <v>2</v>
      </c>
      <c r="K178" s="17" t="s">
        <v>2</v>
      </c>
      <c r="L178" s="17" t="s">
        <v>2</v>
      </c>
      <c r="M178" s="17" t="s">
        <v>2</v>
      </c>
      <c r="N178" s="17" t="s">
        <v>2</v>
      </c>
      <c r="O178" s="17" t="s">
        <v>2</v>
      </c>
      <c r="P178" s="17" t="s">
        <v>2</v>
      </c>
      <c r="Q178" s="17" t="s">
        <v>2</v>
      </c>
      <c r="R178" s="17" t="s">
        <v>2</v>
      </c>
      <c r="S178" s="17" t="s">
        <v>2</v>
      </c>
      <c r="T178" s="17" t="s">
        <v>2</v>
      </c>
      <c r="U178" s="17" t="s">
        <v>2</v>
      </c>
      <c r="V178" s="17" t="s">
        <v>2</v>
      </c>
      <c r="W178" s="17" t="s">
        <v>2</v>
      </c>
      <c r="X178" s="17" t="s">
        <v>2</v>
      </c>
      <c r="Y178" s="17" t="s">
        <v>2</v>
      </c>
      <c r="Z178" s="17" t="s">
        <v>2</v>
      </c>
      <c r="AA178" s="17" t="s">
        <v>2</v>
      </c>
      <c r="AB178" s="17" t="s">
        <v>2</v>
      </c>
      <c r="AC178" s="17" t="s">
        <v>2</v>
      </c>
      <c r="AD178" s="17" t="s">
        <v>2</v>
      </c>
      <c r="AE178" s="17" t="s">
        <v>2</v>
      </c>
      <c r="AF178" s="17" t="s">
        <v>2</v>
      </c>
      <c r="AG178" s="17" t="s">
        <v>2</v>
      </c>
      <c r="AH178" s="17" t="s">
        <v>2</v>
      </c>
      <c r="AI178" s="17" t="s">
        <v>2</v>
      </c>
      <c r="AJ178" s="17" t="s">
        <v>2</v>
      </c>
      <c r="AK178" s="17" t="s">
        <v>2</v>
      </c>
      <c r="AL178" s="17" t="s">
        <v>2</v>
      </c>
      <c r="AM178" s="17" t="s">
        <v>2</v>
      </c>
      <c r="AN178" s="17" t="s">
        <v>2</v>
      </c>
      <c r="AO178" s="17" t="s">
        <v>2</v>
      </c>
      <c r="AP178" s="17" t="s">
        <v>2</v>
      </c>
    </row>
    <row r="179" spans="1:42" ht="18" customHeight="1">
      <c r="B179" s="3" t="s">
        <v>136</v>
      </c>
      <c r="C179" s="17" t="s">
        <v>2</v>
      </c>
      <c r="D179" s="17" t="s">
        <v>2</v>
      </c>
      <c r="E179" s="17" t="s">
        <v>2</v>
      </c>
      <c r="F179" s="17" t="s">
        <v>2</v>
      </c>
      <c r="G179" s="17" t="s">
        <v>2</v>
      </c>
      <c r="H179" s="17" t="s">
        <v>2</v>
      </c>
      <c r="I179" s="17" t="s">
        <v>2</v>
      </c>
      <c r="J179" s="17" t="s">
        <v>2</v>
      </c>
      <c r="K179" s="17" t="s">
        <v>2</v>
      </c>
      <c r="L179" s="17" t="s">
        <v>2</v>
      </c>
      <c r="M179" s="17" t="s">
        <v>2</v>
      </c>
      <c r="N179" s="17" t="s">
        <v>2</v>
      </c>
      <c r="O179" s="17" t="s">
        <v>2</v>
      </c>
      <c r="P179" s="17" t="s">
        <v>2</v>
      </c>
      <c r="Q179" s="17" t="s">
        <v>2</v>
      </c>
      <c r="R179" s="17" t="s">
        <v>2</v>
      </c>
      <c r="S179" s="17" t="s">
        <v>2</v>
      </c>
      <c r="T179" s="17" t="s">
        <v>2</v>
      </c>
      <c r="U179" s="17" t="s">
        <v>2</v>
      </c>
      <c r="V179" s="17" t="s">
        <v>2</v>
      </c>
      <c r="W179" s="17" t="s">
        <v>2</v>
      </c>
      <c r="X179" s="17" t="s">
        <v>2</v>
      </c>
      <c r="Y179" s="17" t="s">
        <v>2</v>
      </c>
      <c r="Z179" s="17" t="s">
        <v>2</v>
      </c>
      <c r="AA179" s="17" t="s">
        <v>2</v>
      </c>
      <c r="AB179" s="17" t="s">
        <v>2</v>
      </c>
      <c r="AC179" s="17" t="s">
        <v>2</v>
      </c>
      <c r="AD179" s="17" t="s">
        <v>2</v>
      </c>
      <c r="AE179" s="17" t="s">
        <v>2</v>
      </c>
      <c r="AF179" s="17" t="s">
        <v>2</v>
      </c>
      <c r="AG179" s="17" t="s">
        <v>2</v>
      </c>
      <c r="AH179" s="17" t="s">
        <v>2</v>
      </c>
      <c r="AI179" s="17" t="s">
        <v>2</v>
      </c>
      <c r="AJ179" s="17" t="s">
        <v>2</v>
      </c>
      <c r="AK179" s="17" t="s">
        <v>2</v>
      </c>
      <c r="AL179" s="17" t="s">
        <v>2</v>
      </c>
      <c r="AM179" s="17" t="s">
        <v>2</v>
      </c>
      <c r="AN179" s="17" t="s">
        <v>2</v>
      </c>
      <c r="AO179" s="17" t="s">
        <v>2</v>
      </c>
      <c r="AP179" s="17" t="s">
        <v>2</v>
      </c>
    </row>
    <row r="180" spans="1:42" ht="26.4">
      <c r="B180" s="3" t="s">
        <v>137</v>
      </c>
      <c r="C180" s="17" t="s">
        <v>2</v>
      </c>
      <c r="D180" s="17" t="s">
        <v>2</v>
      </c>
      <c r="E180" s="17" t="s">
        <v>2</v>
      </c>
      <c r="F180" s="17" t="s">
        <v>2</v>
      </c>
      <c r="G180" s="17" t="s">
        <v>2</v>
      </c>
      <c r="H180" s="17" t="s">
        <v>2</v>
      </c>
      <c r="I180" s="17" t="s">
        <v>2</v>
      </c>
      <c r="J180" s="17" t="s">
        <v>2</v>
      </c>
      <c r="K180" s="17" t="s">
        <v>2</v>
      </c>
      <c r="L180" s="17" t="s">
        <v>2</v>
      </c>
      <c r="M180" s="17" t="s">
        <v>2</v>
      </c>
      <c r="N180" s="17" t="s">
        <v>2</v>
      </c>
      <c r="O180" s="17" t="s">
        <v>2</v>
      </c>
      <c r="P180" s="17" t="s">
        <v>2</v>
      </c>
      <c r="Q180" s="17" t="s">
        <v>2</v>
      </c>
      <c r="R180" s="17" t="s">
        <v>2</v>
      </c>
      <c r="S180" s="17" t="s">
        <v>2</v>
      </c>
      <c r="T180" s="17" t="s">
        <v>2</v>
      </c>
      <c r="U180" s="17" t="s">
        <v>2</v>
      </c>
      <c r="V180" s="17" t="s">
        <v>2</v>
      </c>
      <c r="W180" s="17" t="s">
        <v>2</v>
      </c>
      <c r="X180" s="17" t="s">
        <v>2</v>
      </c>
      <c r="Y180" s="17" t="s">
        <v>2</v>
      </c>
      <c r="Z180" s="17" t="s">
        <v>2</v>
      </c>
      <c r="AA180" s="17" t="s">
        <v>2</v>
      </c>
      <c r="AB180" s="17" t="s">
        <v>2</v>
      </c>
      <c r="AC180" s="17" t="s">
        <v>2</v>
      </c>
      <c r="AD180" s="17" t="s">
        <v>2</v>
      </c>
      <c r="AE180" s="17" t="s">
        <v>2</v>
      </c>
      <c r="AF180" s="17" t="s">
        <v>2</v>
      </c>
      <c r="AG180" s="17" t="s">
        <v>2</v>
      </c>
      <c r="AH180" s="17" t="s">
        <v>2</v>
      </c>
      <c r="AI180" s="17" t="s">
        <v>2</v>
      </c>
      <c r="AJ180" s="17" t="s">
        <v>2</v>
      </c>
      <c r="AK180" s="17" t="s">
        <v>2</v>
      </c>
      <c r="AL180" s="17" t="s">
        <v>2</v>
      </c>
      <c r="AM180" s="17" t="s">
        <v>2</v>
      </c>
      <c r="AN180" s="17" t="s">
        <v>2</v>
      </c>
      <c r="AO180" s="17" t="s">
        <v>2</v>
      </c>
      <c r="AP180" s="17" t="s">
        <v>2</v>
      </c>
    </row>
    <row r="181" spans="1:42" ht="26.4">
      <c r="B181" s="3" t="s">
        <v>138</v>
      </c>
      <c r="C181" s="17" t="s">
        <v>2</v>
      </c>
      <c r="D181" s="17" t="s">
        <v>2</v>
      </c>
      <c r="E181" s="17" t="s">
        <v>2</v>
      </c>
      <c r="F181" s="17" t="s">
        <v>2</v>
      </c>
      <c r="G181" s="17" t="s">
        <v>2</v>
      </c>
      <c r="H181" s="17" t="s">
        <v>2</v>
      </c>
      <c r="I181" s="17" t="s">
        <v>2</v>
      </c>
      <c r="J181" s="17" t="s">
        <v>2</v>
      </c>
      <c r="K181" s="17" t="s">
        <v>2</v>
      </c>
      <c r="L181" s="17" t="s">
        <v>2</v>
      </c>
      <c r="M181" s="17" t="s">
        <v>2</v>
      </c>
      <c r="N181" s="17" t="s">
        <v>2</v>
      </c>
      <c r="O181" s="17" t="s">
        <v>2</v>
      </c>
      <c r="P181" s="17" t="s">
        <v>2</v>
      </c>
      <c r="Q181" s="17" t="s">
        <v>2</v>
      </c>
      <c r="R181" s="17" t="s">
        <v>2</v>
      </c>
      <c r="S181" s="17" t="s">
        <v>2</v>
      </c>
      <c r="T181" s="17" t="s">
        <v>2</v>
      </c>
      <c r="U181" s="17" t="s">
        <v>2</v>
      </c>
      <c r="V181" s="17" t="s">
        <v>2</v>
      </c>
      <c r="W181" s="17" t="s">
        <v>2</v>
      </c>
      <c r="X181" s="17" t="s">
        <v>2</v>
      </c>
      <c r="Y181" s="17" t="s">
        <v>2</v>
      </c>
      <c r="Z181" s="17" t="s">
        <v>2</v>
      </c>
      <c r="AA181" s="17" t="s">
        <v>2</v>
      </c>
      <c r="AB181" s="17" t="s">
        <v>2</v>
      </c>
      <c r="AC181" s="17" t="s">
        <v>2</v>
      </c>
      <c r="AD181" s="17" t="s">
        <v>2</v>
      </c>
      <c r="AE181" s="17" t="s">
        <v>2</v>
      </c>
      <c r="AF181" s="17" t="s">
        <v>2</v>
      </c>
      <c r="AG181" s="17" t="s">
        <v>2</v>
      </c>
      <c r="AH181" s="17" t="s">
        <v>2</v>
      </c>
      <c r="AI181" s="17" t="s">
        <v>2</v>
      </c>
      <c r="AJ181" s="17" t="s">
        <v>2</v>
      </c>
      <c r="AK181" s="17" t="s">
        <v>2</v>
      </c>
      <c r="AL181" s="17" t="s">
        <v>2</v>
      </c>
      <c r="AM181" s="17" t="s">
        <v>2</v>
      </c>
      <c r="AN181" s="17" t="s">
        <v>2</v>
      </c>
      <c r="AO181" s="17" t="s">
        <v>2</v>
      </c>
      <c r="AP181" s="17" t="s">
        <v>2</v>
      </c>
    </row>
    <row r="182" spans="1:42" ht="26.4">
      <c r="B182" s="3" t="s">
        <v>139</v>
      </c>
      <c r="C182" s="17" t="s">
        <v>2</v>
      </c>
      <c r="D182" s="17" t="s">
        <v>2</v>
      </c>
      <c r="E182" s="17" t="s">
        <v>2</v>
      </c>
      <c r="F182" s="17" t="s">
        <v>2</v>
      </c>
      <c r="G182" s="17" t="s">
        <v>2</v>
      </c>
      <c r="H182" s="17" t="s">
        <v>2</v>
      </c>
      <c r="I182" s="17" t="s">
        <v>2</v>
      </c>
      <c r="J182" s="17" t="s">
        <v>2</v>
      </c>
      <c r="K182" s="17" t="s">
        <v>2</v>
      </c>
      <c r="L182" s="17" t="s">
        <v>2</v>
      </c>
      <c r="M182" s="17" t="s">
        <v>2</v>
      </c>
      <c r="N182" s="17" t="s">
        <v>2</v>
      </c>
      <c r="O182" s="17" t="s">
        <v>2</v>
      </c>
      <c r="P182" s="17" t="s">
        <v>2</v>
      </c>
      <c r="Q182" s="17" t="s">
        <v>2</v>
      </c>
      <c r="R182" s="17" t="s">
        <v>2</v>
      </c>
      <c r="S182" s="17" t="s">
        <v>2</v>
      </c>
      <c r="T182" s="17" t="s">
        <v>2</v>
      </c>
      <c r="U182" s="17" t="s">
        <v>2</v>
      </c>
      <c r="V182" s="17" t="s">
        <v>2</v>
      </c>
      <c r="W182" s="17" t="s">
        <v>2</v>
      </c>
      <c r="X182" s="17" t="s">
        <v>2</v>
      </c>
      <c r="Y182" s="17" t="s">
        <v>2</v>
      </c>
      <c r="Z182" s="17" t="s">
        <v>2</v>
      </c>
      <c r="AA182" s="17" t="s">
        <v>2</v>
      </c>
      <c r="AB182" s="17" t="s">
        <v>2</v>
      </c>
      <c r="AC182" s="17" t="s">
        <v>2</v>
      </c>
      <c r="AD182" s="17" t="s">
        <v>2</v>
      </c>
      <c r="AE182" s="17" t="s">
        <v>2</v>
      </c>
      <c r="AF182" s="17" t="s">
        <v>2</v>
      </c>
      <c r="AG182" s="17" t="s">
        <v>2</v>
      </c>
      <c r="AH182" s="17" t="s">
        <v>2</v>
      </c>
      <c r="AI182" s="17" t="s">
        <v>2</v>
      </c>
      <c r="AJ182" s="17" t="s">
        <v>2</v>
      </c>
      <c r="AK182" s="17" t="s">
        <v>2</v>
      </c>
      <c r="AL182" s="17" t="s">
        <v>2</v>
      </c>
      <c r="AM182" s="17" t="s">
        <v>2</v>
      </c>
      <c r="AN182" s="17" t="s">
        <v>2</v>
      </c>
      <c r="AO182" s="17" t="s">
        <v>2</v>
      </c>
      <c r="AP182" s="17" t="s">
        <v>2</v>
      </c>
    </row>
    <row r="183" spans="1:42" ht="26.4">
      <c r="B183" s="3" t="s">
        <v>140</v>
      </c>
      <c r="C183" s="17" t="s">
        <v>2</v>
      </c>
      <c r="D183" s="17" t="s">
        <v>2</v>
      </c>
      <c r="E183" s="17" t="s">
        <v>2</v>
      </c>
      <c r="F183" s="17" t="s">
        <v>2</v>
      </c>
      <c r="G183" s="17" t="s">
        <v>2</v>
      </c>
      <c r="H183" s="17" t="s">
        <v>2</v>
      </c>
      <c r="I183" s="17" t="s">
        <v>2</v>
      </c>
      <c r="J183" s="17" t="s">
        <v>2</v>
      </c>
      <c r="K183" s="17" t="s">
        <v>2</v>
      </c>
      <c r="L183" s="17" t="s">
        <v>2</v>
      </c>
      <c r="M183" s="17" t="s">
        <v>2</v>
      </c>
      <c r="N183" s="17" t="s">
        <v>2</v>
      </c>
      <c r="O183" s="17" t="s">
        <v>2</v>
      </c>
      <c r="P183" s="17" t="s">
        <v>2</v>
      </c>
      <c r="Q183" s="17" t="s">
        <v>2</v>
      </c>
      <c r="R183" s="17" t="s">
        <v>2</v>
      </c>
      <c r="S183" s="17" t="s">
        <v>2</v>
      </c>
      <c r="T183" s="17" t="s">
        <v>2</v>
      </c>
      <c r="U183" s="17" t="s">
        <v>2</v>
      </c>
      <c r="V183" s="17" t="s">
        <v>2</v>
      </c>
      <c r="W183" s="17" t="s">
        <v>2</v>
      </c>
      <c r="X183" s="17" t="s">
        <v>2</v>
      </c>
      <c r="Y183" s="17" t="s">
        <v>2</v>
      </c>
      <c r="Z183" s="17" t="s">
        <v>2</v>
      </c>
      <c r="AA183" s="17" t="s">
        <v>2</v>
      </c>
      <c r="AB183" s="17" t="s">
        <v>2</v>
      </c>
      <c r="AC183" s="17" t="s">
        <v>2</v>
      </c>
      <c r="AD183" s="17" t="s">
        <v>2</v>
      </c>
      <c r="AE183" s="17" t="s">
        <v>2</v>
      </c>
      <c r="AF183" s="17" t="s">
        <v>2</v>
      </c>
      <c r="AG183" s="17" t="s">
        <v>2</v>
      </c>
      <c r="AH183" s="17" t="s">
        <v>2</v>
      </c>
      <c r="AI183" s="17" t="s">
        <v>2</v>
      </c>
      <c r="AJ183" s="17" t="s">
        <v>2</v>
      </c>
      <c r="AK183" s="17" t="s">
        <v>2</v>
      </c>
      <c r="AL183" s="17" t="s">
        <v>2</v>
      </c>
      <c r="AM183" s="17" t="s">
        <v>2</v>
      </c>
      <c r="AN183" s="17" t="s">
        <v>2</v>
      </c>
      <c r="AO183" s="17" t="s">
        <v>2</v>
      </c>
      <c r="AP183" s="17" t="s">
        <v>2</v>
      </c>
    </row>
    <row r="184" spans="1:42" ht="26.4">
      <c r="B184" s="3" t="s">
        <v>141</v>
      </c>
      <c r="C184" s="17" t="s">
        <v>2</v>
      </c>
      <c r="D184" s="17" t="s">
        <v>2</v>
      </c>
      <c r="E184" s="17" t="s">
        <v>2</v>
      </c>
      <c r="F184" s="17" t="s">
        <v>2</v>
      </c>
      <c r="G184" s="17" t="s">
        <v>2</v>
      </c>
      <c r="H184" s="17" t="s">
        <v>2</v>
      </c>
      <c r="I184" s="17" t="s">
        <v>2</v>
      </c>
      <c r="J184" s="17" t="s">
        <v>2</v>
      </c>
      <c r="K184" s="17" t="s">
        <v>2</v>
      </c>
      <c r="L184" s="17" t="s">
        <v>2</v>
      </c>
      <c r="M184" s="17" t="s">
        <v>2</v>
      </c>
      <c r="N184" s="17" t="s">
        <v>2</v>
      </c>
      <c r="O184" s="17" t="s">
        <v>2</v>
      </c>
      <c r="P184" s="17" t="s">
        <v>2</v>
      </c>
      <c r="Q184" s="17" t="s">
        <v>2</v>
      </c>
      <c r="R184" s="17" t="s">
        <v>2</v>
      </c>
      <c r="S184" s="17" t="s">
        <v>2</v>
      </c>
      <c r="T184" s="17" t="s">
        <v>2</v>
      </c>
      <c r="U184" s="17" t="s">
        <v>2</v>
      </c>
      <c r="V184" s="17" t="s">
        <v>2</v>
      </c>
      <c r="W184" s="17" t="s">
        <v>2</v>
      </c>
      <c r="X184" s="17" t="s">
        <v>2</v>
      </c>
      <c r="Y184" s="17" t="s">
        <v>2</v>
      </c>
      <c r="Z184" s="17" t="s">
        <v>2</v>
      </c>
      <c r="AA184" s="17" t="s">
        <v>2</v>
      </c>
      <c r="AB184" s="17" t="s">
        <v>2</v>
      </c>
      <c r="AC184" s="17" t="s">
        <v>2</v>
      </c>
      <c r="AD184" s="17" t="s">
        <v>2</v>
      </c>
      <c r="AE184" s="17" t="s">
        <v>2</v>
      </c>
      <c r="AF184" s="17" t="s">
        <v>2</v>
      </c>
      <c r="AG184" s="17" t="s">
        <v>2</v>
      </c>
      <c r="AH184" s="17" t="s">
        <v>2</v>
      </c>
      <c r="AI184" s="17" t="s">
        <v>2</v>
      </c>
      <c r="AJ184" s="17" t="s">
        <v>2</v>
      </c>
      <c r="AK184" s="17" t="s">
        <v>2</v>
      </c>
      <c r="AL184" s="17" t="s">
        <v>2</v>
      </c>
      <c r="AM184" s="17" t="s">
        <v>2</v>
      </c>
      <c r="AN184" s="17" t="s">
        <v>2</v>
      </c>
      <c r="AO184" s="17" t="s">
        <v>2</v>
      </c>
      <c r="AP184" s="17" t="s">
        <v>2</v>
      </c>
    </row>
    <row r="185" spans="1:42" ht="18" customHeight="1"/>
    <row r="186" spans="1:42" ht="18" customHeight="1">
      <c r="A186" s="10" t="s">
        <v>175</v>
      </c>
      <c r="B186" s="25" t="s">
        <v>142</v>
      </c>
      <c r="C186" s="29" t="s">
        <v>1</v>
      </c>
      <c r="D186" s="30" t="s">
        <v>2</v>
      </c>
      <c r="E186" s="30" t="s">
        <v>2</v>
      </c>
      <c r="F186" s="30" t="s">
        <v>2</v>
      </c>
      <c r="G186" s="31" t="s">
        <v>2</v>
      </c>
      <c r="H186" s="29" t="s">
        <v>3</v>
      </c>
      <c r="I186" s="30" t="s">
        <v>2</v>
      </c>
      <c r="J186" s="30" t="s">
        <v>2</v>
      </c>
      <c r="K186" s="30" t="s">
        <v>2</v>
      </c>
      <c r="L186" s="31" t="s">
        <v>2</v>
      </c>
      <c r="M186" s="29" t="s">
        <v>4</v>
      </c>
      <c r="N186" s="31" t="s">
        <v>2</v>
      </c>
    </row>
    <row r="187" spans="1:42" ht="18" customHeight="1">
      <c r="B187" s="26" t="s">
        <v>2</v>
      </c>
      <c r="C187" s="2" t="s">
        <v>5</v>
      </c>
      <c r="D187" s="2" t="s">
        <v>6</v>
      </c>
      <c r="E187" s="2" t="s">
        <v>7</v>
      </c>
      <c r="F187" s="2" t="s">
        <v>8</v>
      </c>
      <c r="G187" s="2" t="s">
        <v>9</v>
      </c>
      <c r="H187" s="2" t="s">
        <v>5</v>
      </c>
      <c r="I187" s="2" t="s">
        <v>6</v>
      </c>
      <c r="J187" s="2" t="s">
        <v>7</v>
      </c>
      <c r="K187" s="2" t="s">
        <v>8</v>
      </c>
      <c r="L187" s="2" t="s">
        <v>9</v>
      </c>
      <c r="M187" s="2" t="s">
        <v>1</v>
      </c>
      <c r="N187" s="2" t="s">
        <v>3</v>
      </c>
    </row>
    <row r="188" spans="1:42" ht="18" customHeight="1">
      <c r="B188" s="3" t="s">
        <v>143</v>
      </c>
      <c r="C188" s="17"/>
      <c r="D188" s="17"/>
      <c r="E188" s="17"/>
      <c r="F188" s="17"/>
      <c r="G188" s="17"/>
      <c r="H188" s="17"/>
      <c r="I188" s="17"/>
      <c r="J188" s="17"/>
      <c r="K188" s="17" t="s">
        <v>2</v>
      </c>
      <c r="L188" s="17" t="s">
        <v>2</v>
      </c>
      <c r="M188" s="21" t="str">
        <f>IF(AND(C188="",D188="",E188="",F188="",G188=""),"",SUM(C188:G188))</f>
        <v/>
      </c>
      <c r="N188" s="21" t="str">
        <f>IF(AND(H188="",I188="",J188="",K188="",L188=""),"",SUM(H188:L188))</f>
        <v/>
      </c>
    </row>
    <row r="189" spans="1:42" ht="18" customHeight="1">
      <c r="B189" s="3" t="s">
        <v>144</v>
      </c>
      <c r="C189" s="17"/>
      <c r="D189" s="17"/>
      <c r="E189" s="17"/>
      <c r="F189" s="17"/>
      <c r="G189" s="17"/>
      <c r="H189" s="17"/>
      <c r="I189" s="17"/>
      <c r="J189" s="17"/>
      <c r="K189" s="17" t="s">
        <v>2</v>
      </c>
      <c r="L189" s="17" t="s">
        <v>2</v>
      </c>
      <c r="M189" s="21" t="str">
        <f t="shared" ref="M189:M195" si="36">IF(AND(C189="",D189="",E189="",F189="",G189=""),"",SUM(C189:G189))</f>
        <v/>
      </c>
      <c r="N189" s="21" t="str">
        <f t="shared" ref="N189:N195" si="37">IF(AND(H189="",I189="",J189="",K189="",L189=""),"",SUM(H189:L189))</f>
        <v/>
      </c>
    </row>
    <row r="190" spans="1:42" ht="18" customHeight="1">
      <c r="B190" s="3" t="s">
        <v>145</v>
      </c>
      <c r="C190" s="17"/>
      <c r="D190" s="17"/>
      <c r="E190" s="17"/>
      <c r="F190" s="17"/>
      <c r="G190" s="17"/>
      <c r="H190" s="17"/>
      <c r="I190" s="17"/>
      <c r="J190" s="17"/>
      <c r="K190" s="17" t="s">
        <v>2</v>
      </c>
      <c r="L190" s="17" t="s">
        <v>2</v>
      </c>
      <c r="M190" s="21" t="str">
        <f t="shared" si="36"/>
        <v/>
      </c>
      <c r="N190" s="21" t="str">
        <f t="shared" si="37"/>
        <v/>
      </c>
    </row>
    <row r="191" spans="1:42" ht="26.4">
      <c r="B191" s="3" t="s">
        <v>146</v>
      </c>
      <c r="C191" s="17"/>
      <c r="D191" s="17"/>
      <c r="E191" s="17"/>
      <c r="F191" s="17"/>
      <c r="G191" s="17"/>
      <c r="H191" s="17"/>
      <c r="I191" s="17"/>
      <c r="J191" s="17"/>
      <c r="K191" s="17" t="s">
        <v>2</v>
      </c>
      <c r="L191" s="17" t="s">
        <v>2</v>
      </c>
      <c r="M191" s="21" t="str">
        <f t="shared" si="36"/>
        <v/>
      </c>
      <c r="N191" s="21" t="str">
        <f t="shared" si="37"/>
        <v/>
      </c>
    </row>
    <row r="192" spans="1:42" ht="18" customHeight="1">
      <c r="B192" s="3" t="s">
        <v>147</v>
      </c>
      <c r="C192" s="17"/>
      <c r="D192" s="17"/>
      <c r="E192" s="17"/>
      <c r="F192" s="17"/>
      <c r="G192" s="17"/>
      <c r="H192" s="17"/>
      <c r="I192" s="17"/>
      <c r="J192" s="17"/>
      <c r="K192" s="17" t="s">
        <v>2</v>
      </c>
      <c r="L192" s="17" t="s">
        <v>2</v>
      </c>
      <c r="M192" s="21" t="str">
        <f t="shared" si="36"/>
        <v/>
      </c>
      <c r="N192" s="21" t="str">
        <f t="shared" si="37"/>
        <v/>
      </c>
    </row>
    <row r="193" spans="1:14" ht="26.4">
      <c r="B193" s="3" t="s">
        <v>148</v>
      </c>
      <c r="C193" s="17"/>
      <c r="D193" s="17"/>
      <c r="E193" s="17"/>
      <c r="F193" s="17"/>
      <c r="G193" s="17"/>
      <c r="H193" s="17"/>
      <c r="I193" s="17"/>
      <c r="J193" s="17"/>
      <c r="K193" s="17" t="s">
        <v>2</v>
      </c>
      <c r="L193" s="17" t="s">
        <v>2</v>
      </c>
      <c r="M193" s="21" t="str">
        <f t="shared" si="36"/>
        <v/>
      </c>
      <c r="N193" s="21" t="str">
        <f t="shared" si="37"/>
        <v/>
      </c>
    </row>
    <row r="194" spans="1:14" ht="26.4">
      <c r="B194" s="3" t="s">
        <v>149</v>
      </c>
      <c r="C194" s="17"/>
      <c r="D194" s="17"/>
      <c r="E194" s="17"/>
      <c r="F194" s="17"/>
      <c r="G194" s="17"/>
      <c r="H194" s="17"/>
      <c r="I194" s="17"/>
      <c r="J194" s="17"/>
      <c r="K194" s="17" t="s">
        <v>2</v>
      </c>
      <c r="L194" s="17" t="s">
        <v>2</v>
      </c>
      <c r="M194" s="21" t="str">
        <f t="shared" si="36"/>
        <v/>
      </c>
      <c r="N194" s="21" t="str">
        <f t="shared" si="37"/>
        <v/>
      </c>
    </row>
    <row r="195" spans="1:14" ht="26.4">
      <c r="B195" s="3" t="s">
        <v>150</v>
      </c>
      <c r="C195" s="17"/>
      <c r="D195" s="17"/>
      <c r="E195" s="17"/>
      <c r="F195" s="17"/>
      <c r="G195" s="17"/>
      <c r="H195" s="17"/>
      <c r="I195" s="17"/>
      <c r="J195" s="17"/>
      <c r="K195" s="17" t="s">
        <v>2</v>
      </c>
      <c r="L195" s="17" t="s">
        <v>2</v>
      </c>
      <c r="M195" s="21" t="str">
        <f t="shared" si="36"/>
        <v/>
      </c>
      <c r="N195" s="21" t="str">
        <f t="shared" si="37"/>
        <v/>
      </c>
    </row>
    <row r="196" spans="1:14" ht="20.25" customHeight="1"/>
    <row r="197" spans="1:14" ht="18" customHeight="1">
      <c r="A197" s="10" t="s">
        <v>3</v>
      </c>
      <c r="B197" s="25" t="s">
        <v>151</v>
      </c>
      <c r="C197" s="29" t="s">
        <v>1</v>
      </c>
      <c r="D197" s="30" t="s">
        <v>2</v>
      </c>
      <c r="E197" s="30" t="s">
        <v>2</v>
      </c>
      <c r="F197" s="30" t="s">
        <v>2</v>
      </c>
      <c r="G197" s="31" t="s">
        <v>2</v>
      </c>
      <c r="H197" s="29" t="s">
        <v>3</v>
      </c>
      <c r="I197" s="30" t="s">
        <v>2</v>
      </c>
      <c r="J197" s="30" t="s">
        <v>2</v>
      </c>
      <c r="K197" s="30" t="s">
        <v>2</v>
      </c>
      <c r="L197" s="31" t="s">
        <v>2</v>
      </c>
      <c r="M197" s="29" t="s">
        <v>4</v>
      </c>
      <c r="N197" s="31" t="s">
        <v>2</v>
      </c>
    </row>
    <row r="198" spans="1:14" ht="18" customHeight="1">
      <c r="B198" s="26" t="s">
        <v>2</v>
      </c>
      <c r="C198" s="2" t="s">
        <v>5</v>
      </c>
      <c r="D198" s="2" t="s">
        <v>6</v>
      </c>
      <c r="E198" s="2" t="s">
        <v>7</v>
      </c>
      <c r="F198" s="2" t="s">
        <v>8</v>
      </c>
      <c r="G198" s="2" t="s">
        <v>9</v>
      </c>
      <c r="H198" s="2" t="s">
        <v>5</v>
      </c>
      <c r="I198" s="2" t="s">
        <v>6</v>
      </c>
      <c r="J198" s="2" t="s">
        <v>7</v>
      </c>
      <c r="K198" s="2" t="s">
        <v>8</v>
      </c>
      <c r="L198" s="2" t="s">
        <v>9</v>
      </c>
      <c r="M198" s="2" t="s">
        <v>1</v>
      </c>
      <c r="N198" s="2" t="s">
        <v>3</v>
      </c>
    </row>
    <row r="199" spans="1:14" ht="26.4">
      <c r="B199" s="3" t="s">
        <v>152</v>
      </c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21" t="str">
        <f>IF(AND(C199="",D199="",E199="",F199="",G199=""),"",SUM(C199:G199))</f>
        <v/>
      </c>
      <c r="N199" s="21" t="str">
        <f>IF(AND(H199="",I199="",J199="",K199="",L199=""),"",SUM(H199:L199))</f>
        <v/>
      </c>
    </row>
    <row r="200" spans="1:14" ht="26.4">
      <c r="B200" s="3" t="s">
        <v>153</v>
      </c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21" t="str">
        <f t="shared" ref="M200:M203" si="38">IF(AND(C200="",D200="",E200="",F200="",G200=""),"",SUM(C200:G200))</f>
        <v/>
      </c>
      <c r="N200" s="21" t="str">
        <f t="shared" ref="N200:N203" si="39">IF(AND(H200="",I200="",J200="",K200="",L200=""),"",SUM(H200:L200))</f>
        <v/>
      </c>
    </row>
    <row r="201" spans="1:14" ht="26.4">
      <c r="B201" s="3" t="s">
        <v>154</v>
      </c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21" t="str">
        <f t="shared" si="38"/>
        <v/>
      </c>
      <c r="N201" s="21" t="str">
        <f t="shared" si="39"/>
        <v/>
      </c>
    </row>
    <row r="202" spans="1:14" ht="26.4">
      <c r="B202" s="3" t="s">
        <v>155</v>
      </c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21" t="str">
        <f t="shared" si="38"/>
        <v/>
      </c>
      <c r="N202" s="21" t="str">
        <f t="shared" si="39"/>
        <v/>
      </c>
    </row>
    <row r="203" spans="1:14" ht="26.4">
      <c r="B203" s="3" t="s">
        <v>156</v>
      </c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21" t="str">
        <f t="shared" si="38"/>
        <v/>
      </c>
      <c r="N203" s="21" t="str">
        <f t="shared" si="39"/>
        <v/>
      </c>
    </row>
  </sheetData>
  <mergeCells count="107">
    <mergeCell ref="AA22:AC22"/>
    <mergeCell ref="AA23:AC23"/>
    <mergeCell ref="AA24:AC24"/>
    <mergeCell ref="AD22:AF22"/>
    <mergeCell ref="AD23:AF23"/>
    <mergeCell ref="AD24:AF24"/>
    <mergeCell ref="U22:W22"/>
    <mergeCell ref="U23:W23"/>
    <mergeCell ref="U24:W24"/>
    <mergeCell ref="X22:Z22"/>
    <mergeCell ref="X23:Z23"/>
    <mergeCell ref="X24:Z24"/>
    <mergeCell ref="L24:N24"/>
    <mergeCell ref="O22:Q22"/>
    <mergeCell ref="O23:Q23"/>
    <mergeCell ref="O24:Q24"/>
    <mergeCell ref="R22:T22"/>
    <mergeCell ref="R23:T23"/>
    <mergeCell ref="R24:T24"/>
    <mergeCell ref="B9:B11"/>
    <mergeCell ref="C26:G26"/>
    <mergeCell ref="H26:L26"/>
    <mergeCell ref="M26:O26"/>
    <mergeCell ref="C9:Q9"/>
    <mergeCell ref="C22:E22"/>
    <mergeCell ref="C23:E23"/>
    <mergeCell ref="C24:E24"/>
    <mergeCell ref="F22:H22"/>
    <mergeCell ref="F23:H23"/>
    <mergeCell ref="F24:H24"/>
    <mergeCell ref="I22:K22"/>
    <mergeCell ref="I23:K23"/>
    <mergeCell ref="I24:K24"/>
    <mergeCell ref="L22:N22"/>
    <mergeCell ref="L23:N23"/>
    <mergeCell ref="C37:G37"/>
    <mergeCell ref="H37:L37"/>
    <mergeCell ref="M37:O37"/>
    <mergeCell ref="C46:G46"/>
    <mergeCell ref="H46:L46"/>
    <mergeCell ref="M46:O46"/>
    <mergeCell ref="C58:G58"/>
    <mergeCell ref="H58:L58"/>
    <mergeCell ref="M58:O58"/>
    <mergeCell ref="C70:G70"/>
    <mergeCell ref="H70:L70"/>
    <mergeCell ref="M70:O70"/>
    <mergeCell ref="C78:G78"/>
    <mergeCell ref="H78:L78"/>
    <mergeCell ref="M78:O78"/>
    <mergeCell ref="R132:V132"/>
    <mergeCell ref="C147:E147"/>
    <mergeCell ref="F147:H147"/>
    <mergeCell ref="I147:K147"/>
    <mergeCell ref="L147:N147"/>
    <mergeCell ref="O147:Q147"/>
    <mergeCell ref="R147:V147"/>
    <mergeCell ref="C132:E132"/>
    <mergeCell ref="F132:H132"/>
    <mergeCell ref="I132:K132"/>
    <mergeCell ref="L132:N132"/>
    <mergeCell ref="O132:Q132"/>
    <mergeCell ref="H197:L197"/>
    <mergeCell ref="M197:N197"/>
    <mergeCell ref="C174:V174"/>
    <mergeCell ref="W174:AP174"/>
    <mergeCell ref="C175:F175"/>
    <mergeCell ref="G175:J175"/>
    <mergeCell ref="K175:N175"/>
    <mergeCell ref="O175:R175"/>
    <mergeCell ref="S175:V175"/>
    <mergeCell ref="W175:Z175"/>
    <mergeCell ref="AA175:AD175"/>
    <mergeCell ref="AE175:AH175"/>
    <mergeCell ref="AI175:AL175"/>
    <mergeCell ref="AM175:AP175"/>
    <mergeCell ref="B197:B198"/>
    <mergeCell ref="B6:M6"/>
    <mergeCell ref="B78:B79"/>
    <mergeCell ref="B132:B133"/>
    <mergeCell ref="B147:B148"/>
    <mergeCell ref="B174:B176"/>
    <mergeCell ref="B186:B187"/>
    <mergeCell ref="B26:B27"/>
    <mergeCell ref="B37:B38"/>
    <mergeCell ref="B46:B47"/>
    <mergeCell ref="B58:B59"/>
    <mergeCell ref="B70:B71"/>
    <mergeCell ref="C186:G186"/>
    <mergeCell ref="H186:L186"/>
    <mergeCell ref="M186:N186"/>
    <mergeCell ref="C197:G197"/>
    <mergeCell ref="AG9:AL9"/>
    <mergeCell ref="C10:E10"/>
    <mergeCell ref="F10:H10"/>
    <mergeCell ref="I10:K10"/>
    <mergeCell ref="L10:N10"/>
    <mergeCell ref="O10:Q10"/>
    <mergeCell ref="R10:T10"/>
    <mergeCell ref="U10:W10"/>
    <mergeCell ref="X10:Z10"/>
    <mergeCell ref="AA10:AC10"/>
    <mergeCell ref="AD10:AF10"/>
    <mergeCell ref="AG10:AH10"/>
    <mergeCell ref="AI10:AJ10"/>
    <mergeCell ref="AK10:AL10"/>
    <mergeCell ref="R9:AF9"/>
  </mergeCells>
  <pageMargins left="1" right="1" top="1" bottom="1.01042007874016" header="1" footer="1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VIH_2023</vt:lpstr>
      <vt:lpstr>VIH_2023!Títulos_a_imprimir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OEI_Supervisor</dc:creator>
  <cp:lastModifiedBy>Michael Elvis Castañeda Dueñas</cp:lastModifiedBy>
  <dcterms:created xsi:type="dcterms:W3CDTF">2023-08-07T20:31:02Z</dcterms:created>
  <dcterms:modified xsi:type="dcterms:W3CDTF">2023-09-26T02:06:08Z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4A37ED40123F48ABB87F637358A9F8BB</vt:lpwstr>
  </property>
  <property fmtid="{D5CDD505-2E9C-101B-9397-08002B2CF9AE}" pid="3" name="KSOProductBuildVer">
    <vt:lpwstr>2058-11.2.0.11537</vt:lpwstr>
  </property>
</Properties>
</file>