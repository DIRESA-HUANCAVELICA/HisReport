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Extendidos y otros archivos\PARA_REEMPLAZAR_2025\ADULTO MAYOR\"/>
    </mc:Choice>
  </mc:AlternateContent>
  <bookViews>
    <workbookView xWindow="0" yWindow="0" windowWidth="28800" windowHeight="12312"/>
  </bookViews>
  <sheets>
    <sheet name="Adulto_Mayor" sheetId="1" r:id="rId1"/>
    <sheet name="sintaxis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0" i="3" l="1"/>
  <c r="F120" i="3"/>
  <c r="G119" i="3"/>
  <c r="F119" i="3"/>
  <c r="G118" i="3"/>
  <c r="F118" i="3"/>
  <c r="G117" i="3"/>
  <c r="F117" i="3"/>
  <c r="G115" i="3"/>
  <c r="F115" i="3"/>
  <c r="G114" i="3"/>
  <c r="F114" i="3"/>
  <c r="G113" i="3"/>
  <c r="F113" i="3"/>
  <c r="G112" i="3"/>
  <c r="F112" i="3"/>
  <c r="G110" i="3"/>
  <c r="F110" i="3"/>
  <c r="G109" i="3"/>
  <c r="F109" i="3"/>
  <c r="G108" i="3"/>
  <c r="F108" i="3"/>
  <c r="G106" i="3"/>
  <c r="F106" i="3"/>
  <c r="G105" i="3"/>
  <c r="F105" i="3"/>
  <c r="G104" i="3"/>
  <c r="F104" i="3"/>
  <c r="G100" i="3"/>
  <c r="F100" i="3"/>
  <c r="G99" i="3"/>
  <c r="F99" i="3"/>
  <c r="G98" i="3"/>
  <c r="F98" i="3"/>
  <c r="G97" i="3"/>
  <c r="F97" i="3"/>
  <c r="G96" i="3"/>
  <c r="F96" i="3"/>
  <c r="G95" i="3"/>
  <c r="F95" i="3"/>
  <c r="G93" i="3"/>
  <c r="F93" i="3"/>
  <c r="G92" i="3"/>
  <c r="F92" i="3"/>
  <c r="G91" i="3"/>
  <c r="F91" i="3"/>
  <c r="G90" i="3"/>
  <c r="F90" i="3"/>
  <c r="G89" i="3"/>
  <c r="F89" i="3"/>
  <c r="G88" i="3"/>
  <c r="F88" i="3"/>
  <c r="G87" i="3"/>
  <c r="F87" i="3"/>
  <c r="G86" i="3"/>
  <c r="F86" i="3"/>
  <c r="G79" i="3"/>
  <c r="F79" i="3"/>
  <c r="G78" i="3"/>
  <c r="F78" i="3"/>
  <c r="G76" i="3"/>
  <c r="F76" i="3"/>
  <c r="G75" i="3"/>
  <c r="F75" i="3"/>
  <c r="G74" i="3"/>
  <c r="F74" i="3"/>
  <c r="G72" i="3"/>
  <c r="F72" i="3"/>
  <c r="G71" i="3"/>
  <c r="F71" i="3"/>
  <c r="G70" i="3"/>
  <c r="F70" i="3"/>
  <c r="G69" i="3"/>
  <c r="F69" i="3"/>
  <c r="G67" i="3"/>
  <c r="F67" i="3"/>
  <c r="G66" i="3"/>
  <c r="F66" i="3"/>
  <c r="G64" i="3"/>
  <c r="G63" i="3"/>
  <c r="M62" i="3"/>
  <c r="K62" i="3"/>
  <c r="I62" i="3"/>
  <c r="G62" i="3" s="1"/>
  <c r="G61" i="3"/>
  <c r="G60" i="3"/>
  <c r="M59" i="3"/>
  <c r="K59" i="3"/>
  <c r="I59" i="3"/>
  <c r="G59" i="3" s="1"/>
  <c r="G58" i="3"/>
  <c r="G57" i="3"/>
  <c r="F55" i="3"/>
  <c r="F54" i="3"/>
  <c r="L53" i="3"/>
  <c r="J53" i="3"/>
  <c r="H53" i="3"/>
  <c r="F53" i="3" s="1"/>
  <c r="G51" i="3"/>
  <c r="F51" i="3"/>
  <c r="G50" i="3"/>
  <c r="F50" i="3"/>
  <c r="G48" i="3"/>
  <c r="F48" i="3"/>
  <c r="G47" i="3"/>
  <c r="F47" i="3"/>
  <c r="G46" i="3"/>
  <c r="F46" i="3"/>
  <c r="G45" i="3"/>
  <c r="F45" i="3"/>
  <c r="G44" i="3"/>
  <c r="F44" i="3"/>
  <c r="G43" i="3"/>
  <c r="F43" i="3"/>
  <c r="G42" i="3"/>
  <c r="F42" i="3"/>
  <c r="G41" i="3"/>
  <c r="F41" i="3"/>
  <c r="G40" i="3"/>
  <c r="F40" i="3"/>
  <c r="G39" i="3"/>
  <c r="F39" i="3"/>
  <c r="G38" i="3"/>
  <c r="F38" i="3"/>
  <c r="G37" i="3"/>
  <c r="F37" i="3"/>
  <c r="G35" i="3"/>
  <c r="F35" i="3"/>
  <c r="G34" i="3"/>
  <c r="F34" i="3"/>
  <c r="G33" i="3"/>
  <c r="F33" i="3"/>
  <c r="G32" i="3"/>
  <c r="F32" i="3"/>
  <c r="G31" i="3"/>
  <c r="F31" i="3"/>
  <c r="G30" i="3"/>
  <c r="F30" i="3"/>
  <c r="G29" i="3"/>
  <c r="F29" i="3"/>
  <c r="G27" i="3"/>
  <c r="F27" i="3"/>
  <c r="G26" i="3"/>
  <c r="F26" i="3"/>
  <c r="G25" i="3"/>
  <c r="F25" i="3"/>
  <c r="G24" i="3"/>
  <c r="F24" i="3"/>
  <c r="G22" i="3"/>
  <c r="F22" i="3"/>
  <c r="G21" i="3"/>
  <c r="F21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F10" i="3" l="1"/>
  <c r="F10" i="3" a="1"/>
</calcChain>
</file>

<file path=xl/comments1.xml><?xml version="1.0" encoding="utf-8"?>
<comments xmlns="http://schemas.openxmlformats.org/spreadsheetml/2006/main">
  <authors>
    <author>tc={60EF4819-B73B-4CCF-ACFF-E3635725517D}</author>
    <author>tc={88C68839-C3C3-4EE0-BD20-659B92A5782F}</author>
  </authors>
  <commentList>
    <comment ref="H13" authorId="0" shapeId="0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Registro no concuerda con el manual. Manual dice registro del 99215.03 con lab=1 ( o es 1 o es AS ), corregir lo que corresponda.
CONSIDERAR EN EL MANUAL QUE EN LA HOJA DE REGISTRO, HAY 3 CASILLEROS PARA COLOCAR EL LAB. EN EL MANUAL DEBE INDICARSE:
- COLOCAR EN EL 1ER, 2DO O 3ER CASILLERO ( SI APLICA) EL LAB “(valor)”. 
- Colocar entre comillas un valor da a entender que eso es lo que se va a registrar.</t>
        </r>
      </text>
    </comment>
    <comment ref="H26" authorId="1" shapeId="0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 Imagen
Código en ejemplo del manual no corresponde con el código expresado (99199.22)
</t>
        </r>
      </text>
    </comment>
  </commentList>
</comments>
</file>

<file path=xl/sharedStrings.xml><?xml version="1.0" encoding="utf-8"?>
<sst xmlns="http://schemas.openxmlformats.org/spreadsheetml/2006/main" count="760" uniqueCount="351">
  <si>
    <t>DIRECCION DE ESTADISTICA E INFORMATICA</t>
  </si>
  <si>
    <t>NIVEL:</t>
  </si>
  <si>
    <t>DESDE:</t>
  </si>
  <si>
    <t>HASTA:</t>
  </si>
  <si>
    <t>Reporte de Actividades de la Etapa de Vida Adulto Mayor</t>
  </si>
  <si>
    <t>VALORACIÓN CLÍNICA DEL ADULTO MAYOR (VACAM)</t>
  </si>
  <si>
    <t>---------</t>
  </si>
  <si>
    <t>Clasificación</t>
  </si>
  <si>
    <t>Funcionalidad</t>
  </si>
  <si>
    <t>VALORACIÓN CLÍNICA DEL ADULTO MAYOR (Inicio)</t>
  </si>
  <si>
    <t>Valoración Geriátrica Integral- VGI</t>
  </si>
  <si>
    <t>Persona adulta mayor Saludable</t>
  </si>
  <si>
    <t>Persona Adulta Mayor Enferma</t>
  </si>
  <si>
    <t>Persona Adulta Mayor Fragil</t>
  </si>
  <si>
    <t>Persona Adulta Mayor Geriatrico complejo</t>
  </si>
  <si>
    <t>Persona Adulta Mayor Dependiente Parcial</t>
  </si>
  <si>
    <t>Persona Adulta Mayor Dependiente Total</t>
  </si>
  <si>
    <t>TOTAL</t>
  </si>
  <si>
    <t>De 60 a 69 años</t>
  </si>
  <si>
    <t>De 70 a 79 años</t>
  </si>
  <si>
    <t>De 80 años a más</t>
  </si>
  <si>
    <t>M</t>
  </si>
  <si>
    <t>F</t>
  </si>
  <si>
    <t>PLAN DE ATENCIÓN</t>
  </si>
  <si>
    <t>Plan de Cuidado Integral Elaborado</t>
  </si>
  <si>
    <t>Plan de Cuidado Integral Ejecutado</t>
  </si>
  <si>
    <t>IDENTIFICACIÓN DE FACTORES DE RIESGO Y TAMIZAJE LABORATORIAL</t>
  </si>
  <si>
    <t>Valoración Clínica de Factores de Riesgo</t>
  </si>
  <si>
    <t>Examen de laboratorio</t>
  </si>
  <si>
    <t>Examen de presión arterial</t>
  </si>
  <si>
    <t>Tamizados</t>
  </si>
  <si>
    <t>Positivos</t>
  </si>
  <si>
    <t>En violencia</t>
  </si>
  <si>
    <t>Trastornos Depresivos</t>
  </si>
  <si>
    <t>Alcohol y drogas</t>
  </si>
  <si>
    <t>Psicosis</t>
  </si>
  <si>
    <t>Deterioro cognitivo- demencia en personas de 60 años y más</t>
  </si>
  <si>
    <t>Problemas Relacionados con el Uso de Tabaco</t>
  </si>
  <si>
    <t>Problemas Sociales Relacionados con el Uso de Alcohol</t>
  </si>
  <si>
    <t>Problemas Sociales Relacionados con el Uso de drogas</t>
  </si>
  <si>
    <t>ATENCIONES ESTOMATOLÓGICAS  ETAPA DE VIDA ADULTO MAYOR</t>
  </si>
  <si>
    <t>Evaluación Oral Completa</t>
  </si>
  <si>
    <t>Instrucción de Higiene Oral</t>
  </si>
  <si>
    <t>Asesoría nutricional para el control de enfermedades dentales</t>
  </si>
  <si>
    <t>Profilaxis dental</t>
  </si>
  <si>
    <t>Consulta estomatológica no especializada</t>
  </si>
  <si>
    <t>Aplicación topica de flúor gel</t>
  </si>
  <si>
    <t>INMUNIZACIONES</t>
  </si>
  <si>
    <t xml:space="preserve">TAMIZAJE DE CÁNCER </t>
  </si>
  <si>
    <t>Antigeno Prostatico Especifico (PSA)</t>
  </si>
  <si>
    <t>Papanicolaou</t>
  </si>
  <si>
    <t>IVVA / IVVAM</t>
  </si>
  <si>
    <t>Examen Clínico de Mama (ECM)</t>
  </si>
  <si>
    <t>Tamizaje en cáncer de piel</t>
  </si>
  <si>
    <t>TAMIZAJE EN SALUD OCULAR</t>
  </si>
  <si>
    <t>Examen de ojos y visión</t>
  </si>
  <si>
    <t>Examen positivo</t>
  </si>
  <si>
    <t>Examen positivo más tonometría seriada</t>
  </si>
  <si>
    <t>Determinación de agudeza visual</t>
  </si>
  <si>
    <t>TAMIZAJE EN AUDICIÓN</t>
  </si>
  <si>
    <t>ATENCIÓN EN  DOMICILIO</t>
  </si>
  <si>
    <t>Visita médica en domicilio especializada</t>
  </si>
  <si>
    <t>Visita domiciliaria para la ayuda con actividades de la vida diaria y del cuidado personal</t>
  </si>
  <si>
    <t>ACTIVIDADES DEL ADULTO MAYOR</t>
  </si>
  <si>
    <t>Num.</t>
  </si>
  <si>
    <t>Part.</t>
  </si>
  <si>
    <t>Sesiones educativas</t>
  </si>
  <si>
    <t>Sesiones demostrativas</t>
  </si>
  <si>
    <t>Sesiones educativas en el circulo del adulto mayor</t>
  </si>
  <si>
    <t>Sesiones demostrativas en el circulo del adulto mayor</t>
  </si>
  <si>
    <t>SERVICIO DE TELEMEDICINA EN EL ADULTO MAYOR</t>
  </si>
  <si>
    <t>--------------</t>
  </si>
  <si>
    <t>Teleinterconsulta</t>
  </si>
  <si>
    <t>Teleorientación</t>
  </si>
  <si>
    <t>CONSEJERÍAS</t>
  </si>
  <si>
    <t>Nutricional: alimentacion saludable</t>
  </si>
  <si>
    <t>Consejeria integral</t>
  </si>
  <si>
    <t>Consejería en prevención de riesgos de Salud Mental</t>
  </si>
  <si>
    <t>Consejería en prevención de riesgos para el Cáncer</t>
  </si>
  <si>
    <t>Consejeria en prevención de violencia, abuso sexual y abandono</t>
  </si>
  <si>
    <t>Uso del tiempo libre y participación en círculos de adultos mayores</t>
  </si>
  <si>
    <t>Índice de Masa Corporal</t>
  </si>
  <si>
    <t>Evaluación del Perímetro Abdominal</t>
  </si>
  <si>
    <t>Atención en Nutrición</t>
  </si>
  <si>
    <t>Indicación Nutricional</t>
  </si>
  <si>
    <t>Total</t>
  </si>
  <si>
    <t>Hombre</t>
  </si>
  <si>
    <t>Mujer</t>
  </si>
  <si>
    <t>Piel</t>
  </si>
  <si>
    <t>Resultado Normal</t>
  </si>
  <si>
    <t>Resultado Anormal</t>
  </si>
  <si>
    <t>Papanicolaou NEGATIVO</t>
  </si>
  <si>
    <t>Papanicolaou POSITIVO</t>
  </si>
  <si>
    <t>Evaluación NEGATIVO</t>
  </si>
  <si>
    <t>Evaluación POSITIVO</t>
  </si>
  <si>
    <t>Tamizaje NEGATIVO</t>
  </si>
  <si>
    <t>Tamizaje POSITIVO</t>
  </si>
  <si>
    <t>Con riesgo de glaucoma</t>
  </si>
  <si>
    <t>Detección catarata</t>
  </si>
  <si>
    <t>Teleconsulta</t>
  </si>
  <si>
    <t>Teleinterconsulta Sincrónica</t>
  </si>
  <si>
    <t>Teleinterconsulta Asíncrona</t>
  </si>
  <si>
    <t>Teleorientación Sincrónica</t>
  </si>
  <si>
    <t>Teleorientación Asíncrona</t>
  </si>
  <si>
    <t>Telemonitoreo</t>
  </si>
  <si>
    <t>Delgadez</t>
  </si>
  <si>
    <t>Normal</t>
  </si>
  <si>
    <t>Sobrepeso</t>
  </si>
  <si>
    <t>Obesidad</t>
  </si>
  <si>
    <t>Riesgo Bajo</t>
  </si>
  <si>
    <t>Riesgo Alto</t>
  </si>
  <si>
    <t>Riesgo Muy Alto</t>
  </si>
  <si>
    <t>1º Atención</t>
  </si>
  <si>
    <t>2º Atención</t>
  </si>
  <si>
    <t>3º Atención</t>
  </si>
  <si>
    <t>4º a + Atenciones</t>
  </si>
  <si>
    <t>Recomendación Nutricional</t>
  </si>
  <si>
    <t>Prescripción Nutrioterapéutica</t>
  </si>
  <si>
    <t>Recomendación Dietética</t>
  </si>
  <si>
    <t>Prescripción Dietoterapéutica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</si>
  <si>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</si>
  <si>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</si>
  <si>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</si>
  <si>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</si>
  <si>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</si>
  <si>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</si>
  <si>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</si>
  <si>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</si>
  <si>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</si>
  <si>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</si>
  <si>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</si>
  <si>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N</t>
  </si>
  <si>
    <t>CLASIFICACIÓN DEL ESTADO NUTRICIONAL DEL ADULTO MAYOR</t>
  </si>
  <si>
    <t>Neumococo</t>
  </si>
  <si>
    <t>Influenza</t>
  </si>
  <si>
    <t>Según manual actualizado DNT</t>
  </si>
  <si>
    <t>Examen Presion Sanguínea Óptima</t>
  </si>
  <si>
    <t>Examen Presion Sanguínea Normal</t>
  </si>
  <si>
    <t>Examen Presion Sanguínea Normal-Alto</t>
  </si>
  <si>
    <t>Examen Presion Sanguínea Anormal</t>
  </si>
  <si>
    <t>DIRESA:</t>
  </si>
  <si>
    <t>MES:</t>
  </si>
  <si>
    <t>EE.SS.:</t>
  </si>
  <si>
    <t>AÑO:</t>
  </si>
  <si>
    <t>Masc</t>
  </si>
  <si>
    <t>Fem</t>
  </si>
  <si>
    <t>SX= M + (DX= 99215.03 + LAB=1)</t>
  </si>
  <si>
    <t>SX= F + (DX= 99215.03   + LAB=1)</t>
  </si>
  <si>
    <t>SX= M + (DX= 99249.01 )</t>
  </si>
  <si>
    <t>SX= F + (DX=  99249.01  )</t>
  </si>
  <si>
    <t>Persona Adulta Mayor Saludable</t>
  </si>
  <si>
    <t>SX= M + (DX= 99215.03  + LAB=AS)</t>
  </si>
  <si>
    <t>SX= F + (DX= 99215.03  + LAB=AS)</t>
  </si>
  <si>
    <t>SX= M + (DX= 99215.03 + LAB=E)</t>
  </si>
  <si>
    <t>SX= F + (DX= 99215.03  + LAB=E)</t>
  </si>
  <si>
    <t>SX= M + DX= 99215.03  + LAB=AF)</t>
  </si>
  <si>
    <t>SX= F + (DX= 99215.03  + LAB=AF)</t>
  </si>
  <si>
    <t>SX= M + (DX= 99215.03 + LAB=GC)</t>
  </si>
  <si>
    <t>SX= F + (DX= 99215.03   + LAB=GC)</t>
  </si>
  <si>
    <t>funcionalidad</t>
  </si>
  <si>
    <t>Persona adulta mayor independiente</t>
  </si>
  <si>
    <t>SX= M + (DX= Z6361)</t>
  </si>
  <si>
    <t>SX= F + (DX= Z6361)</t>
  </si>
  <si>
    <t>SX= M + (DX= Z6362)</t>
  </si>
  <si>
    <t>SX= F + (DX= Z6362)</t>
  </si>
  <si>
    <t>SX= M + (DX= Z6363)</t>
  </si>
  <si>
    <t>SX= F + (DX= Z6363)</t>
  </si>
  <si>
    <t>SX= M + (DX= 99801 + LAB=1)</t>
  </si>
  <si>
    <t>SX= F + (DX= 99801 + LAB=1)</t>
  </si>
  <si>
    <t>SX= M + (DX= 99801 + LAB=TA)</t>
  </si>
  <si>
    <t>SX= F + (DX= 99801 + LAB=TA)</t>
  </si>
  <si>
    <t xml:space="preserve">IDENTIFICACIÓN DE FACTORES DE RIESGO Y TAMIZAJE LABORATORIAL </t>
  </si>
  <si>
    <t>SX= M + (DX= Z019 )</t>
  </si>
  <si>
    <t>SX= F + (DX= Z019 )</t>
  </si>
  <si>
    <t>SX= M + (DX= Z019 + LAB=DNT)</t>
  </si>
  <si>
    <t>SX= F + (DX= Z019 + LAB=DNT)</t>
  </si>
  <si>
    <t>SX= M + (DX= Z017)</t>
  </si>
  <si>
    <t>SX= F + (DX= Z017)</t>
  </si>
  <si>
    <t>SX= M + (DX= 99199.22)</t>
  </si>
  <si>
    <t>SX= F + (DX= 99199.22)</t>
  </si>
  <si>
    <t>positivos</t>
  </si>
  <si>
    <t>SX= M + (DX= 99199.22 + lab = A)</t>
  </si>
  <si>
    <t>SX= F + (DX= 99199.22 + lab =A)</t>
  </si>
  <si>
    <t>ENTREVISTA DE TAMIZAJE EN SALUD MENTAL</t>
  </si>
  <si>
    <t>SX= M + (DX=96150.01)</t>
  </si>
  <si>
    <t>SX= F + (DX=96150.01)</t>
  </si>
  <si>
    <t>SX= M + (DX= 96150.01)</t>
  </si>
  <si>
    <t>SX= F + (DX= 96150.01)</t>
  </si>
  <si>
    <t>Transtornos Depresivos</t>
  </si>
  <si>
    <t>SX= M + (DX= 96150.03)</t>
  </si>
  <si>
    <t>SX= F + (DX=  96150.03)</t>
  </si>
  <si>
    <t>SX= M + (DX=  96150.03)</t>
  </si>
  <si>
    <t>SX= F + (DX= 96150.03)</t>
  </si>
  <si>
    <t>SX= M + (DX= 96150.02)</t>
  </si>
  <si>
    <t>SX= F + (DX= 96150.02)</t>
  </si>
  <si>
    <t>SX= M + (DX= 96150.04)</t>
  </si>
  <si>
    <t>SX= F + (DX= 96150.04)</t>
  </si>
  <si>
    <t>Deterioro cognitivo- demencia en personas de 60 años y mas</t>
  </si>
  <si>
    <t xml:space="preserve">SX= M + (DX= 96150.07) </t>
  </si>
  <si>
    <t xml:space="preserve">SX= F +  (DX= 96150.07) </t>
  </si>
  <si>
    <t xml:space="preserve">SX= M +  (DX= 96150.07) </t>
  </si>
  <si>
    <t>SX= M + (DX=96150.01+ R456)</t>
  </si>
  <si>
    <t>SX= F + (DX=96150.01+ R456)</t>
  </si>
  <si>
    <t>SX= M + (DX= 96150.03 +Z133)</t>
  </si>
  <si>
    <t>SX= F + (DX=  96150.03 + Z133)</t>
  </si>
  <si>
    <t>SX= M + (DX= 96150.02 + Z720)</t>
  </si>
  <si>
    <t>SX= F + (DX= 96150.02 + Z720)</t>
  </si>
  <si>
    <t xml:space="preserve"> Problemas Sociales Relacionados con el Uso de Alcohol</t>
  </si>
  <si>
    <t>SX= M + (DX= 96150.02 + Z721)</t>
  </si>
  <si>
    <t>SX= F + (DX= 96150.02 + Z721)</t>
  </si>
  <si>
    <t>SX= M + (DX= 96150.02 +Z721)</t>
  </si>
  <si>
    <t>SX= F + (DX= 96150.02 +Z721)</t>
  </si>
  <si>
    <t>SX= M + (DX= 96150.02 + Z722)</t>
  </si>
  <si>
    <t>SX= F +  (DX= 96150.02 + Z722)</t>
  </si>
  <si>
    <t>SX= M + (DX= 96150.04 +Z133)</t>
  </si>
  <si>
    <t>SX= F + (DX= 96150.04 +Z133)</t>
  </si>
  <si>
    <t xml:space="preserve">SX= M + (DX= 96150.07 + Z133) </t>
  </si>
  <si>
    <t xml:space="preserve">SX= F +  (DX= 96150.07 +Z133) </t>
  </si>
  <si>
    <t xml:space="preserve">SX= M + (DX= D0150) </t>
  </si>
  <si>
    <t xml:space="preserve">SX= F +  (DX= D0150) </t>
  </si>
  <si>
    <r>
      <rPr>
        <sz val="7"/>
        <color rgb="FF231F20"/>
        <rFont val="Times New Roman"/>
        <family val="1"/>
      </rPr>
      <t xml:space="preserve"> </t>
    </r>
    <r>
      <rPr>
        <sz val="12"/>
        <color rgb="FF231F20"/>
        <rFont val="Calibri"/>
        <family val="2"/>
        <scheme val="minor"/>
      </rPr>
      <t xml:space="preserve">Instrucción de Higiene Oral </t>
    </r>
  </si>
  <si>
    <t xml:space="preserve">SX= M + (DX= D1330) </t>
  </si>
  <si>
    <t xml:space="preserve">SX= F + (DX= D01330) </t>
  </si>
  <si>
    <t xml:space="preserve">SX= M + (DX= D01330) </t>
  </si>
  <si>
    <t xml:space="preserve">Asesoría nutricional para el control de enfermedades dentales </t>
  </si>
  <si>
    <t xml:space="preserve">SX= M + (DX= D1310) </t>
  </si>
  <si>
    <t xml:space="preserve">SX= F +  (DX= D01310) </t>
  </si>
  <si>
    <t xml:space="preserve">SX= M + (DX= D01310) </t>
  </si>
  <si>
    <r>
      <rPr>
        <sz val="7"/>
        <color rgb="FF231F20"/>
        <rFont val="Times New Roman"/>
        <family val="1"/>
      </rPr>
      <t xml:space="preserve"> </t>
    </r>
    <r>
      <rPr>
        <sz val="12"/>
        <color rgb="FF231F20"/>
        <rFont val="Calibri"/>
        <family val="2"/>
        <scheme val="minor"/>
      </rPr>
      <t xml:space="preserve">Profilaxis dental </t>
    </r>
  </si>
  <si>
    <t xml:space="preserve">SX= M + (DX= D1110) </t>
  </si>
  <si>
    <t xml:space="preserve">SX= F +  (DX= D1110) </t>
  </si>
  <si>
    <t xml:space="preserve">Consulta estomatológica no especializada </t>
  </si>
  <si>
    <t xml:space="preserve">SX= M + (DX= D0140) </t>
  </si>
  <si>
    <t xml:space="preserve">SX= F +  (DX= D0140) </t>
  </si>
  <si>
    <r>
      <rPr>
        <sz val="7"/>
        <color rgb="FF231F20"/>
        <rFont val="Times New Roman"/>
        <family val="1"/>
      </rPr>
      <t xml:space="preserve"> </t>
    </r>
    <r>
      <rPr>
        <sz val="12"/>
        <color rgb="FF231F20"/>
        <rFont val="Calibri"/>
        <family val="2"/>
        <scheme val="minor"/>
      </rPr>
      <t xml:space="preserve">Aplicación topica de  flúor gel </t>
    </r>
  </si>
  <si>
    <t xml:space="preserve">SX= M + (DX= D1208) </t>
  </si>
  <si>
    <t xml:space="preserve">SX= F +  (DX= D1208) </t>
  </si>
  <si>
    <t>SX= M + (DX= 90670)</t>
  </si>
  <si>
    <t>SX= F + (DX= 90670)</t>
  </si>
  <si>
    <t>SX= M + (DX= 90658)</t>
  </si>
  <si>
    <t>SX= F + (DX= 90658)</t>
  </si>
  <si>
    <t>HOMBRE</t>
  </si>
  <si>
    <t>- Resultado Normal</t>
  </si>
  <si>
    <t>SX=M + (TD=D + DX= 84152 + LAB= N)</t>
  </si>
  <si>
    <t>- Resultado Anormal</t>
  </si>
  <si>
    <t>SX=M + (TD=D + DX= 84152 + LAB= A)</t>
  </si>
  <si>
    <r>
      <t xml:space="preserve">Papanicolaou </t>
    </r>
    <r>
      <rPr>
        <b/>
        <sz val="11"/>
        <color theme="1"/>
        <rFont val="Calibri"/>
        <family val="2"/>
        <scheme val="minor"/>
      </rPr>
      <t>NEGATIVO</t>
    </r>
  </si>
  <si>
    <t>SX=F + (TD=D + DX= 88141+ LAB=N)</t>
  </si>
  <si>
    <r>
      <t xml:space="preserve">Papanicolaou </t>
    </r>
    <r>
      <rPr>
        <b/>
        <sz val="11"/>
        <color theme="1"/>
        <rFont val="Calibri"/>
        <family val="2"/>
        <scheme val="minor"/>
      </rPr>
      <t>POSITIVO</t>
    </r>
  </si>
  <si>
    <t>SX=F + (TD=D + DX= 88141 + LAB= A)</t>
  </si>
  <si>
    <r>
      <t>Evaluación</t>
    </r>
    <r>
      <rPr>
        <b/>
        <sz val="11"/>
        <color theme="1"/>
        <rFont val="Calibri"/>
        <family val="2"/>
        <scheme val="minor"/>
      </rPr>
      <t xml:space="preserve"> NEGATIVO</t>
    </r>
  </si>
  <si>
    <t>SX=F + (TD=D + DX= 88141.01+ LAB= N)</t>
  </si>
  <si>
    <r>
      <t xml:space="preserve">Evaluación </t>
    </r>
    <r>
      <rPr>
        <b/>
        <sz val="11"/>
        <color theme="1"/>
        <rFont val="Calibri"/>
        <family val="2"/>
        <scheme val="minor"/>
      </rPr>
      <t>POSITIVO</t>
    </r>
  </si>
  <si>
    <t>SX=F + (TD=D + DX= 88141.01+ LAB= A)</t>
  </si>
  <si>
    <t>SX=F + (TD=D + DX= 99386.03 + LAB= N)</t>
  </si>
  <si>
    <t>SX=F + (TD=D + DX= 99386.03 + LAB= A)</t>
  </si>
  <si>
    <t>PIEL</t>
  </si>
  <si>
    <r>
      <t xml:space="preserve">Tamizaje </t>
    </r>
    <r>
      <rPr>
        <b/>
        <sz val="11"/>
        <color theme="1"/>
        <rFont val="Calibri"/>
        <family val="2"/>
        <scheme val="minor"/>
      </rPr>
      <t>NEGATIVO</t>
    </r>
  </si>
  <si>
    <t>SX=M + (TD=D + DX= Z128 + LAB= N)</t>
  </si>
  <si>
    <t>SX=F + (TD=D + DX= Z128+ LAB=N)</t>
  </si>
  <si>
    <t>ATENCIÓN DEL ADULTO MAYOR EN EL DOMICILIO</t>
  </si>
  <si>
    <r>
      <t xml:space="preserve">Tamizaje </t>
    </r>
    <r>
      <rPr>
        <b/>
        <sz val="11"/>
        <color theme="1"/>
        <rFont val="Calibri"/>
        <family val="2"/>
        <scheme val="minor"/>
      </rPr>
      <t>POSITIVO</t>
    </r>
  </si>
  <si>
    <t>SX=M + (TD=D + DX= Z128+ LAB= A)</t>
  </si>
  <si>
    <t>SX=F + (TD=D + DX= Z128 + LAB= A)</t>
  </si>
  <si>
    <t>CON RIESGO DE GLAUCOMA</t>
  </si>
  <si>
    <t>SX=M + (TD=D + DX= Z010 )</t>
  </si>
  <si>
    <t>SX=F + (TD=D + DX= Z010 )</t>
  </si>
  <si>
    <r>
      <t>Examen</t>
    </r>
    <r>
      <rPr>
        <b/>
        <sz val="11"/>
        <color theme="1"/>
        <rFont val="Calibri"/>
        <family val="2"/>
        <scheme val="minor"/>
      </rPr>
      <t xml:space="preserve"> POSTIVO</t>
    </r>
  </si>
  <si>
    <t>SX=M + (TD=D + DX= Z010+ LAB = A)</t>
  </si>
  <si>
    <t>SX=F + (TD=D + DX= Z010+ LAB= A )</t>
  </si>
  <si>
    <t>Examen POSTIVO mas tonometria seriada</t>
  </si>
  <si>
    <t>SX=M + (TD=D + DX= Z010+ LAB = A+ 92100+ LAB = A)</t>
  </si>
  <si>
    <t>SX=F + (TD=D + DX= Z010+ LAB= A+ 92100+ LAB = A )</t>
  </si>
  <si>
    <t xml:space="preserve">Determinación de agudeza visual </t>
  </si>
  <si>
    <t>SX=M + (TD=D + DX= 99173)</t>
  </si>
  <si>
    <t>SX= F+ (TD=D + DX= 99173)</t>
  </si>
  <si>
    <t>Examen del oido y la audición</t>
  </si>
  <si>
    <t>SX=M + (TD=D + DX= Z011)</t>
  </si>
  <si>
    <t>SX= F+ (TD=D + DX= Z011)</t>
  </si>
  <si>
    <t>Medición de umbral de audiometria con rectonocimiento del habla</t>
  </si>
  <si>
    <t>SX=M + (TD=D + DX= 92556)</t>
  </si>
  <si>
    <t>SX=F + (TD=D + DX= 92556)</t>
  </si>
  <si>
    <t>Hipoacusia no especificada</t>
  </si>
  <si>
    <t>SX=M + (TD=D + DX= H919)</t>
  </si>
  <si>
    <t>SX=F + (TD=D + DX= H919)</t>
  </si>
  <si>
    <t>VISITA DOMICILIARIA</t>
  </si>
  <si>
    <t>Visita medica en domicilio especializada</t>
  </si>
  <si>
    <t>SX=M+ (TD=D + DX=99343)</t>
  </si>
  <si>
    <t>SX=F+ (TD=D + DX=99343)</t>
  </si>
  <si>
    <t>SX=M+ (TD=D + DX=99509)</t>
  </si>
  <si>
    <t>SX=F+ (TD=D + DX=99509)</t>
  </si>
  <si>
    <t>APP 143 + (TD=D + C0009)</t>
  </si>
  <si>
    <t>sesiones demostrativas</t>
  </si>
  <si>
    <t>APP 143 + (TD=D + C0010)</t>
  </si>
  <si>
    <t>APP 143 + (TD=D + C0009+LAB2=1)</t>
  </si>
  <si>
    <t>sesiones demostrativas en el circulo del adulto mayor</t>
  </si>
  <si>
    <t>APP 143 + (TD=D + C0010 +LAB2=1)</t>
  </si>
  <si>
    <t xml:space="preserve"> Teleconsulta</t>
  </si>
  <si>
    <t>SX=M+ (TD=D + DX=99499.01)</t>
  </si>
  <si>
    <t>SX=F+ (TD=D + DX=99499.01)</t>
  </si>
  <si>
    <t>Teleinterconsulta Sincronica</t>
  </si>
  <si>
    <t>SX=M+ (TD=D + DX=99499.11)</t>
  </si>
  <si>
    <t>SX=F+ (TD=D + DX=99499.11)</t>
  </si>
  <si>
    <t>Teleinterconsulta Asincrona</t>
  </si>
  <si>
    <t>SX=M+ (TD=D + DX=99499.12)</t>
  </si>
  <si>
    <t>SX=F+ (TD=D + DX=99499.12)</t>
  </si>
  <si>
    <t>Teleorientación Sincronica</t>
  </si>
  <si>
    <t>SX=M+ (TD=D + DX=99499.08)</t>
  </si>
  <si>
    <t>SX=F+ (TD=D + DX=99499.08)</t>
  </si>
  <si>
    <t>Teleorientación Asincrona</t>
  </si>
  <si>
    <t>SX=M+ (TD=D + DX=99499.09)</t>
  </si>
  <si>
    <t>SX=F+ (TD=D + DX=99499.09)</t>
  </si>
  <si>
    <t>SX=M+ (TD=D + DX=99499.10)</t>
  </si>
  <si>
    <t>SX=F+ (TD=D + DX=99499.10)</t>
  </si>
  <si>
    <t xml:space="preserve">CONSEJERÍAS </t>
  </si>
  <si>
    <t>SX=M + (TD=D + DX=99403.01)</t>
  </si>
  <si>
    <t>SX=F +  (TD=D + DX=99403.01)</t>
  </si>
  <si>
    <t>SX=M +  (TD=D + DX=99403.01)</t>
  </si>
  <si>
    <t>SX=F + (TD=D + DX=99403.01)</t>
  </si>
  <si>
    <t xml:space="preserve">Consejeria integral </t>
  </si>
  <si>
    <t xml:space="preserve">SX=M + (TD=D + DX=99401) </t>
  </si>
  <si>
    <t>SX=F + (TD=D + DX=99401)</t>
  </si>
  <si>
    <t>SX=M + (TD=D + DX=99402.09)</t>
  </si>
  <si>
    <t>SX=F + (TD=D + DX=99402.09)</t>
  </si>
  <si>
    <t>Consejería en prevención de riesgos para el  Cáncer</t>
  </si>
  <si>
    <t xml:space="preserve">SX=M + (TD=D + DX=99402.08) </t>
  </si>
  <si>
    <t>SX=M + (TD=D + DX=99402.08)</t>
  </si>
  <si>
    <t xml:space="preserve">SX=M + (TD=D + DX=99402.10) </t>
  </si>
  <si>
    <t>SX=M + (TD=D + DX=99402.10)</t>
  </si>
  <si>
    <t xml:space="preserve">SX=M + (TD=D + DX=99401.22 ) </t>
  </si>
  <si>
    <t>SX=F +(TD=D + DX=99401.22 )</t>
  </si>
  <si>
    <t>IMC</t>
  </si>
  <si>
    <t>SX= M + (TD=D + DX=E46X + LAB=IMC)</t>
  </si>
  <si>
    <t>SX= F + (TD=D + DX=E46X + LAB=IMC)</t>
  </si>
  <si>
    <t xml:space="preserve">Sobrepeso </t>
  </si>
  <si>
    <t>SX= M + (TD=D + DX=E660 + LAB=IMC)</t>
  </si>
  <si>
    <t>SX= F + (TD=D + DX=E660 + LAB=IMC)</t>
  </si>
  <si>
    <t>SX= M + (TD=D + DX=E669 + LAB=IMC)</t>
  </si>
  <si>
    <t>SX= F + (TD=D + DX=E669 + LAB=IMC)</t>
  </si>
  <si>
    <t>PAB</t>
  </si>
  <si>
    <t>SX=M + (TD=D + DX=U8170 + LAB=RSM)</t>
  </si>
  <si>
    <t>SX=M + (TD=D + DX=U8170 + LAB=RSA)</t>
  </si>
  <si>
    <t>SX=M + (TD=D + DX=U8170 + LAB=RMA)</t>
  </si>
  <si>
    <t>SX=M + (TD=D + DX=99209 + LAB=1)</t>
  </si>
  <si>
    <t>SX=M + (TD=D + DX=99209 + LAB=2)</t>
  </si>
  <si>
    <t>SX=M + (TD=D + DX=99209 + LAB=3)</t>
  </si>
  <si>
    <t>SX=M + (TD=D + DX=99209 + LAB&gt;=4)</t>
  </si>
  <si>
    <t>SX=M + (TD=D + DX=99209)+ EN CUALQUIER LAB=RN</t>
  </si>
  <si>
    <t>SX=M + (TD=D + DX=99209) + EN CUALQUIER LAB=PN</t>
  </si>
  <si>
    <t>SX=M + (TD=D + DX=99209) + EN CUALQUIER LAB=RD</t>
  </si>
  <si>
    <t>SX=M + (TD=D + DX=99209) + EN CUALQUIER LAB=PD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</si>
</sst>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b/>
      <sz val="8"/>
      <name val="Tahoma"/>
      <family val="2"/>
    </font>
    <font>
      <b/>
      <sz val="11"/>
      <color rgb="FF000000"/>
      <name val="Arial"/>
      <family val="2"/>
    </font>
    <font>
      <sz val="11"/>
      <name val="Calibri"/>
      <family val="2"/>
    </font>
    <font>
      <sz val="8"/>
      <color rgb="FFFFFFFF"/>
      <name val="Tahoma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6"/>
      <color rgb="FFFF0000"/>
      <name val="Calibri"/>
      <family val="2"/>
      <scheme val="minor"/>
    </font>
    <font>
      <sz val="11"/>
      <name val="Segoe UI Light"/>
      <family val="2"/>
    </font>
    <font>
      <b/>
      <sz val="17"/>
      <color theme="1"/>
      <name val="Arial"/>
      <family val="2"/>
    </font>
    <font>
      <b/>
      <sz val="11"/>
      <name val="Segoe UI Light"/>
      <family val="2"/>
    </font>
    <font>
      <b/>
      <sz val="11"/>
      <color theme="1"/>
      <name val="Segoe UI Light"/>
      <family val="2"/>
    </font>
    <font>
      <sz val="11"/>
      <color theme="1"/>
      <name val="Segoe UI Light"/>
      <family val="2"/>
    </font>
    <font>
      <b/>
      <sz val="11"/>
      <name val="Arial"/>
      <family val="2"/>
    </font>
    <font>
      <sz val="9"/>
      <color rgb="FFFFFFFF"/>
      <name val="Tahoma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FFC000"/>
      <name val="Tahoma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31F20"/>
      <name val="Calibri"/>
      <family val="2"/>
      <scheme val="minor"/>
    </font>
    <font>
      <sz val="7"/>
      <color rgb="FF231F20"/>
      <name val="Times New Roman"/>
      <family val="1"/>
    </font>
    <font>
      <sz val="12"/>
      <color rgb="FF231F20"/>
      <name val="Calibri"/>
      <family val="1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DC296"/>
        <bgColor rgb="FFCDC296"/>
      </patternFill>
    </fill>
    <fill>
      <patternFill patternType="solid">
        <fgColor rgb="FF808080"/>
        <bgColor rgb="FF808080"/>
      </patternFill>
    </fill>
    <fill>
      <patternFill patternType="solid">
        <fgColor rgb="FFD3D3D3"/>
        <bgColor rgb="FFD3D3D3"/>
      </patternFill>
    </fill>
    <fill>
      <patternFill patternType="solid">
        <fgColor rgb="FFCDC29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 style="thin">
        <color theme="0" tint="-4.9989318521683403E-2"/>
      </right>
      <top style="thin">
        <color rgb="FFD3D3D3"/>
      </top>
      <bottom style="thin">
        <color rgb="FFD3D3D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rgb="FFD3D3D3"/>
      </top>
      <bottom style="thin">
        <color rgb="FFD3D3D3"/>
      </bottom>
      <diagonal/>
    </border>
    <border>
      <left style="thin">
        <color theme="0" tint="-4.9989318521683403E-2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/>
      <diagonal/>
    </border>
    <border>
      <left style="thin">
        <color rgb="FFD3D3D3"/>
      </left>
      <right/>
      <top/>
      <bottom/>
      <diagonal/>
    </border>
    <border>
      <left style="thin">
        <color rgb="FFD3D3D3"/>
      </left>
      <right/>
      <top/>
      <bottom style="thin">
        <color rgb="FFD3D3D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thin">
        <color rgb="FFD3D3D3"/>
      </right>
      <top style="thin">
        <color theme="0" tint="-0.34998626667073579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theme="0" tint="-0.34998626667073579"/>
      </top>
      <bottom style="thin">
        <color rgb="FFD3D3D3"/>
      </bottom>
      <diagonal/>
    </border>
    <border>
      <left style="thin">
        <color rgb="FFD3D3D3"/>
      </left>
      <right style="thin">
        <color theme="0" tint="-0.34998626667073579"/>
      </right>
      <top style="thin">
        <color theme="0" tint="-0.34998626667073579"/>
      </top>
      <bottom style="thin">
        <color rgb="FFD3D3D3"/>
      </bottom>
      <diagonal/>
    </border>
    <border>
      <left style="thin">
        <color rgb="FFD3D3D3"/>
      </left>
      <right style="thin">
        <color theme="0" tint="-0.34998626667073579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theme="0" tint="-0.34998626667073579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theme="0" tint="-0.34998626667073579"/>
      </bottom>
      <diagonal/>
    </border>
    <border>
      <left style="thin">
        <color rgb="FFD3D3D3"/>
      </left>
      <right style="thin">
        <color theme="0" tint="-0.34998626667073579"/>
      </right>
      <top style="thin">
        <color rgb="FFD3D3D3"/>
      </top>
      <bottom style="thin">
        <color theme="0" tint="-0.34998626667073579"/>
      </bottom>
      <diagonal/>
    </border>
  </borders>
  <cellStyleXfs count="2">
    <xf numFmtId="0" fontId="0" fillId="0" borderId="0"/>
    <xf numFmtId="0" fontId="16" fillId="0" borderId="0"/>
  </cellStyleXfs>
  <cellXfs count="166">
    <xf numFmtId="0" fontId="0" fillId="0" borderId="0" xfId="0"/>
    <xf numFmtId="0" fontId="1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0" fillId="5" borderId="1" xfId="0" applyFill="1" applyBorder="1"/>
    <xf numFmtId="0" fontId="3" fillId="5" borderId="1" xfId="0" applyNumberFormat="1" applyFont="1" applyFill="1" applyBorder="1" applyAlignment="1">
      <alignment vertical="top" wrapText="1" readingOrder="1"/>
    </xf>
    <xf numFmtId="0" fontId="6" fillId="4" borderId="5" xfId="0" applyNumberFormat="1" applyFont="1" applyFill="1" applyBorder="1" applyAlignment="1">
      <alignment horizontal="center" vertical="center" wrapText="1" readingOrder="1"/>
    </xf>
    <xf numFmtId="0" fontId="6" fillId="4" borderId="6" xfId="0" applyNumberFormat="1" applyFont="1" applyFill="1" applyBorder="1" applyAlignment="1">
      <alignment horizontal="center" vertical="center" wrapText="1" readingOrder="1"/>
    </xf>
    <xf numFmtId="0" fontId="6" fillId="4" borderId="7" xfId="0" applyNumberFormat="1" applyFont="1" applyFill="1" applyBorder="1" applyAlignment="1">
      <alignment horizontal="center" vertical="center" wrapText="1" readingOrder="1"/>
    </xf>
    <xf numFmtId="0" fontId="8" fillId="0" borderId="1" xfId="0" applyNumberFormat="1" applyFont="1" applyFill="1" applyBorder="1" applyAlignment="1">
      <alignment vertical="center" wrapText="1"/>
    </xf>
    <xf numFmtId="0" fontId="10" fillId="0" borderId="1" xfId="0" applyNumberFormat="1" applyFont="1" applyFill="1" applyBorder="1" applyAlignment="1">
      <alignment horizontal="right" vertical="center" wrapText="1"/>
    </xf>
    <xf numFmtId="0" fontId="11" fillId="0" borderId="1" xfId="0" applyFont="1" applyBorder="1" applyAlignment="1">
      <alignment horizontal="right" vertical="center"/>
    </xf>
    <xf numFmtId="0" fontId="12" fillId="0" borderId="1" xfId="0" applyFont="1" applyBorder="1" applyAlignment="1">
      <alignment horizontal="right" vertical="center"/>
    </xf>
    <xf numFmtId="0" fontId="8" fillId="0" borderId="1" xfId="0" applyNumberFormat="1" applyFont="1" applyFill="1" applyBorder="1" applyAlignment="1">
      <alignment horizontal="left" vertical="center" wrapText="1" indent="1"/>
    </xf>
    <xf numFmtId="0" fontId="14" fillId="3" borderId="1" xfId="0" applyNumberFormat="1" applyFont="1" applyFill="1" applyBorder="1" applyAlignment="1">
      <alignment horizontal="center" vertical="center" wrapText="1" readingOrder="1"/>
    </xf>
    <xf numFmtId="0" fontId="4" fillId="3" borderId="8" xfId="0" applyNumberFormat="1" applyFont="1" applyFill="1" applyBorder="1" applyAlignment="1">
      <alignment horizontal="center" vertical="center" wrapText="1" readingOrder="1"/>
    </xf>
    <xf numFmtId="0" fontId="15" fillId="0" borderId="0" xfId="0" applyFont="1" applyAlignment="1">
      <alignment horizontal="right" vertical="center"/>
    </xf>
    <xf numFmtId="0" fontId="13" fillId="0" borderId="5" xfId="0" applyNumberFormat="1" applyFont="1" applyFill="1" applyBorder="1" applyAlignment="1">
      <alignment vertical="center" wrapText="1"/>
    </xf>
    <xf numFmtId="0" fontId="10" fillId="0" borderId="6" xfId="0" applyNumberFormat="1" applyFont="1" applyFill="1" applyBorder="1" applyAlignment="1">
      <alignment horizontal="right" vertical="center" wrapText="1"/>
    </xf>
    <xf numFmtId="0" fontId="11" fillId="0" borderId="6" xfId="0" applyFont="1" applyBorder="1" applyAlignment="1">
      <alignment horizontal="right" vertical="center"/>
    </xf>
    <xf numFmtId="0" fontId="12" fillId="0" borderId="6" xfId="0" applyFont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8" fillId="0" borderId="1" xfId="0" applyNumberFormat="1" applyFont="1" applyFill="1" applyBorder="1" applyAlignment="1">
      <alignment vertical="center"/>
    </xf>
    <xf numFmtId="0" fontId="13" fillId="5" borderId="1" xfId="0" applyNumberFormat="1" applyFont="1" applyFill="1" applyBorder="1" applyAlignment="1">
      <alignment horizontal="center" vertical="center" wrapText="1" readingOrder="1"/>
    </xf>
    <xf numFmtId="0" fontId="11" fillId="6" borderId="1" xfId="0" applyFont="1" applyFill="1" applyBorder="1" applyAlignment="1">
      <alignment horizontal="right" vertical="center"/>
    </xf>
    <xf numFmtId="0" fontId="12" fillId="6" borderId="1" xfId="0" applyFont="1" applyFill="1" applyBorder="1" applyAlignment="1">
      <alignment horizontal="right" vertical="center"/>
    </xf>
    <xf numFmtId="0" fontId="10" fillId="6" borderId="1" xfId="0" applyNumberFormat="1" applyFont="1" applyFill="1" applyBorder="1" applyAlignment="1">
      <alignment horizontal="right" vertical="center" wrapText="1"/>
    </xf>
    <xf numFmtId="0" fontId="8" fillId="0" borderId="2" xfId="0" applyNumberFormat="1" applyFont="1" applyFill="1" applyBorder="1" applyAlignment="1">
      <alignment vertical="center" wrapText="1"/>
    </xf>
    <xf numFmtId="0" fontId="14" fillId="3" borderId="4" xfId="0" applyNumberFormat="1" applyFont="1" applyFill="1" applyBorder="1" applyAlignment="1">
      <alignment horizontal="center" vertical="center" wrapText="1" readingOrder="1"/>
    </xf>
    <xf numFmtId="0" fontId="14" fillId="3" borderId="9" xfId="0" applyNumberFormat="1" applyFont="1" applyFill="1" applyBorder="1" applyAlignment="1">
      <alignment horizontal="center" vertical="center" wrapText="1" readingOrder="1"/>
    </xf>
    <xf numFmtId="0" fontId="14" fillId="3" borderId="8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4" fillId="3" borderId="4" xfId="0" applyNumberFormat="1" applyFont="1" applyFill="1" applyBorder="1" applyAlignment="1">
      <alignment horizontal="center" vertical="center" textRotation="90" wrapText="1" readingOrder="1"/>
    </xf>
    <xf numFmtId="0" fontId="4" fillId="3" borderId="8" xfId="0" applyNumberFormat="1" applyFont="1" applyFill="1" applyBorder="1" applyAlignment="1">
      <alignment horizontal="center" vertical="center" textRotation="90" wrapText="1" readingOrder="1"/>
    </xf>
    <xf numFmtId="0" fontId="4" fillId="3" borderId="9" xfId="0" applyNumberFormat="1" applyFont="1" applyFill="1" applyBorder="1" applyAlignment="1">
      <alignment horizontal="center" vertical="center" textRotation="90" wrapText="1" readingOrder="1"/>
    </xf>
    <xf numFmtId="0" fontId="4" fillId="3" borderId="4" xfId="0" applyNumberFormat="1" applyFont="1" applyFill="1" applyBorder="1" applyAlignment="1">
      <alignment horizontal="center" vertical="center" wrapText="1" readingOrder="1"/>
    </xf>
    <xf numFmtId="0" fontId="4" fillId="3" borderId="8" xfId="0" applyNumberFormat="1" applyFont="1" applyFill="1" applyBorder="1" applyAlignment="1">
      <alignment horizontal="center" vertical="center" wrapText="1" readingOrder="1"/>
    </xf>
    <xf numFmtId="0" fontId="4" fillId="3" borderId="9" xfId="0" applyNumberFormat="1" applyFont="1" applyFill="1" applyBorder="1" applyAlignment="1">
      <alignment horizontal="center" vertical="center" wrapText="1" readingOrder="1"/>
    </xf>
    <xf numFmtId="0" fontId="14" fillId="3" borderId="4" xfId="0" applyNumberFormat="1" applyFont="1" applyFill="1" applyBorder="1" applyAlignment="1">
      <alignment horizontal="center" vertical="center" textRotation="90" wrapText="1" readingOrder="1"/>
    </xf>
    <xf numFmtId="0" fontId="14" fillId="3" borderId="8" xfId="0" applyNumberFormat="1" applyFont="1" applyFill="1" applyBorder="1" applyAlignment="1">
      <alignment horizontal="center" vertical="center" textRotation="90" wrapText="1" readingOrder="1"/>
    </xf>
    <xf numFmtId="0" fontId="14" fillId="3" borderId="9" xfId="0" applyNumberFormat="1" applyFont="1" applyFill="1" applyBorder="1" applyAlignment="1">
      <alignment horizontal="center" vertical="center" textRotation="90" wrapText="1" readingOrder="1"/>
    </xf>
    <xf numFmtId="0" fontId="5" fillId="3" borderId="1" xfId="0" applyNumberFormat="1" applyFont="1" applyFill="1" applyBorder="1" applyAlignment="1">
      <alignment horizontal="center" vertical="top" wrapText="1" readingOrder="1"/>
    </xf>
    <xf numFmtId="0" fontId="4" fillId="3" borderId="1" xfId="0" applyNumberFormat="1" applyFont="1" applyFill="1" applyBorder="1" applyAlignment="1">
      <alignment horizontal="center" vertical="center" textRotation="90" wrapText="1" readingOrder="1"/>
    </xf>
    <xf numFmtId="0" fontId="14" fillId="3" borderId="1" xfId="0" applyNumberFormat="1" applyFont="1" applyFill="1" applyBorder="1" applyAlignment="1">
      <alignment horizontal="center" vertical="center" textRotation="90" wrapText="1" readingOrder="1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20" fillId="3" borderId="10" xfId="0" applyNumberFormat="1" applyFont="1" applyFill="1" applyBorder="1" applyAlignment="1">
      <alignment horizontal="center" vertical="center" textRotation="90" wrapText="1" readingOrder="1"/>
    </xf>
    <xf numFmtId="0" fontId="20" fillId="3" borderId="11" xfId="0" applyNumberFormat="1" applyFont="1" applyFill="1" applyBorder="1" applyAlignment="1">
      <alignment horizontal="center" vertical="center" textRotation="90" wrapText="1" readingOrder="1"/>
    </xf>
    <xf numFmtId="0" fontId="20" fillId="3" borderId="12" xfId="0" applyNumberFormat="1" applyFont="1" applyFill="1" applyBorder="1" applyAlignment="1">
      <alignment horizontal="center" vertical="center" textRotation="90" wrapText="1" readingOrder="1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Alignment="1">
      <alignment vertical="center"/>
    </xf>
    <xf numFmtId="0" fontId="21" fillId="0" borderId="13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13" xfId="0" applyFont="1" applyBorder="1" applyAlignment="1">
      <alignment vertical="center"/>
    </xf>
    <xf numFmtId="0" fontId="0" fillId="0" borderId="13" xfId="0" applyBorder="1" applyAlignment="1">
      <alignment horizontal="left" vertical="center" inden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3" xfId="0" applyBorder="1" applyAlignment="1">
      <alignment horizontal="right" vertical="center"/>
    </xf>
    <xf numFmtId="0" fontId="19" fillId="7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15" fillId="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23" fillId="9" borderId="13" xfId="0" applyFont="1" applyFill="1" applyBorder="1" applyAlignment="1">
      <alignment horizontal="left" vertical="center"/>
    </xf>
    <xf numFmtId="0" fontId="15" fillId="9" borderId="13" xfId="0" applyFont="1" applyFill="1" applyBorder="1" applyAlignment="1">
      <alignment horizontal="left" vertical="center"/>
    </xf>
    <xf numFmtId="0" fontId="24" fillId="9" borderId="14" xfId="0" applyFont="1" applyFill="1" applyBorder="1" applyAlignment="1">
      <alignment horizontal="left" vertical="center"/>
    </xf>
    <xf numFmtId="0" fontId="24" fillId="9" borderId="15" xfId="0" applyFont="1" applyFill="1" applyBorder="1" applyAlignment="1">
      <alignment horizontal="left" vertical="center"/>
    </xf>
    <xf numFmtId="0" fontId="24" fillId="9" borderId="16" xfId="0" applyFont="1" applyFill="1" applyBorder="1" applyAlignment="1">
      <alignment horizontal="left" vertical="center"/>
    </xf>
    <xf numFmtId="0" fontId="17" fillId="7" borderId="13" xfId="0" applyFont="1" applyFill="1" applyBorder="1" applyAlignment="1">
      <alignment horizontal="center" vertical="center" textRotation="90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10" borderId="13" xfId="0" applyFill="1" applyBorder="1" applyAlignment="1">
      <alignment vertical="center"/>
    </xf>
    <xf numFmtId="0" fontId="18" fillId="10" borderId="13" xfId="0" applyFont="1" applyFill="1" applyBorder="1" applyAlignment="1">
      <alignment vertical="center"/>
    </xf>
    <xf numFmtId="0" fontId="0" fillId="10" borderId="14" xfId="0" applyFill="1" applyBorder="1" applyAlignment="1">
      <alignment vertical="center"/>
    </xf>
    <xf numFmtId="0" fontId="0" fillId="7" borderId="13" xfId="0" applyFill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17" fillId="7" borderId="13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17" fillId="7" borderId="20" xfId="0" applyFont="1" applyFill="1" applyBorder="1" applyAlignment="1">
      <alignment horizontal="center" vertical="center" textRotation="90"/>
    </xf>
    <xf numFmtId="0" fontId="17" fillId="7" borderId="21" xfId="0" applyFont="1" applyFill="1" applyBorder="1" applyAlignment="1">
      <alignment horizontal="center" vertical="center" textRotation="90"/>
    </xf>
    <xf numFmtId="0" fontId="17" fillId="7" borderId="22" xfId="0" applyFont="1" applyFill="1" applyBorder="1" applyAlignment="1">
      <alignment horizontal="center" vertical="center" textRotation="90"/>
    </xf>
    <xf numFmtId="0" fontId="15" fillId="9" borderId="13" xfId="0" applyFont="1" applyFill="1" applyBorder="1" applyAlignment="1">
      <alignment horizontal="center" vertical="center" wrapText="1"/>
    </xf>
    <xf numFmtId="0" fontId="0" fillId="7" borderId="13" xfId="0" applyFill="1" applyBorder="1"/>
    <xf numFmtId="0" fontId="25" fillId="0" borderId="13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3" xfId="0" applyFont="1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27" fillId="0" borderId="13" xfId="0" applyFont="1" applyBorder="1" applyAlignment="1">
      <alignment horizontal="left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 wrapText="1"/>
    </xf>
    <xf numFmtId="0" fontId="17" fillId="7" borderId="22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5" xfId="0" applyFont="1" applyFill="1" applyBorder="1" applyAlignment="1">
      <alignment horizontal="center" vertical="center"/>
    </xf>
    <xf numFmtId="0" fontId="19" fillId="9" borderId="16" xfId="0" applyFont="1" applyFill="1" applyBorder="1" applyAlignment="1">
      <alignment horizontal="center" vertical="center"/>
    </xf>
    <xf numFmtId="0" fontId="0" fillId="6" borderId="13" xfId="0" applyFill="1" applyBorder="1" applyAlignment="1">
      <alignment vertical="center"/>
    </xf>
    <xf numFmtId="0" fontId="0" fillId="6" borderId="14" xfId="0" applyFill="1" applyBorder="1" applyAlignment="1">
      <alignment vertical="center"/>
    </xf>
    <xf numFmtId="0" fontId="17" fillId="7" borderId="13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horizontal="center" vertical="center" textRotation="90" wrapText="1"/>
    </xf>
    <xf numFmtId="0" fontId="0" fillId="10" borderId="13" xfId="0" applyFill="1" applyBorder="1" applyAlignment="1">
      <alignment vertical="center" wrapText="1"/>
    </xf>
    <xf numFmtId="0" fontId="0" fillId="10" borderId="14" xfId="0" applyFill="1" applyBorder="1" applyAlignment="1">
      <alignment vertical="center" wrapText="1"/>
    </xf>
    <xf numFmtId="0" fontId="17" fillId="7" borderId="21" xfId="0" applyFont="1" applyFill="1" applyBorder="1" applyAlignment="1">
      <alignment horizontal="center" vertical="center" textRotation="90" wrapText="1"/>
    </xf>
    <xf numFmtId="0" fontId="17" fillId="7" borderId="22" xfId="0" applyFont="1" applyFill="1" applyBorder="1" applyAlignment="1">
      <alignment horizontal="center" vertical="center" textRotation="90" wrapText="1"/>
    </xf>
    <xf numFmtId="0" fontId="28" fillId="7" borderId="13" xfId="0" applyFont="1" applyFill="1" applyBorder="1" applyAlignment="1">
      <alignment horizontal="center" vertical="center" wrapText="1"/>
    </xf>
    <xf numFmtId="0" fontId="28" fillId="7" borderId="20" xfId="0" applyFont="1" applyFill="1" applyBorder="1" applyAlignment="1">
      <alignment horizontal="center" vertical="center" wrapText="1"/>
    </xf>
    <xf numFmtId="0" fontId="28" fillId="7" borderId="21" xfId="0" applyFont="1" applyFill="1" applyBorder="1" applyAlignment="1">
      <alignment horizontal="center" vertical="center" wrapText="1"/>
    </xf>
    <xf numFmtId="0" fontId="28" fillId="7" borderId="22" xfId="0" applyFont="1" applyFill="1" applyBorder="1" applyAlignment="1">
      <alignment horizontal="center" vertical="center" wrapText="1"/>
    </xf>
    <xf numFmtId="0" fontId="28" fillId="7" borderId="13" xfId="0" applyFont="1" applyFill="1" applyBorder="1" applyAlignment="1">
      <alignment horizontal="center" vertical="center" wrapText="1"/>
    </xf>
    <xf numFmtId="0" fontId="19" fillId="9" borderId="17" xfId="0" applyFont="1" applyFill="1" applyBorder="1" applyAlignment="1">
      <alignment horizontal="center" vertical="center"/>
    </xf>
    <xf numFmtId="0" fontId="19" fillId="9" borderId="18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17" fillId="7" borderId="13" xfId="0" applyFont="1" applyFill="1" applyBorder="1" applyAlignment="1">
      <alignment horizontal="center" vertical="center" textRotation="90" wrapText="1"/>
    </xf>
    <xf numFmtId="0" fontId="25" fillId="0" borderId="23" xfId="0" applyFont="1" applyBorder="1" applyAlignment="1">
      <alignment horizontal="left" vertical="center"/>
    </xf>
    <xf numFmtId="0" fontId="25" fillId="0" borderId="24" xfId="0" applyFont="1" applyBorder="1" applyAlignment="1">
      <alignment horizontal="left" vertical="center"/>
    </xf>
    <xf numFmtId="0" fontId="0" fillId="9" borderId="13" xfId="0" applyFill="1" applyBorder="1" applyAlignment="1">
      <alignment horizontal="center" vertical="center"/>
    </xf>
    <xf numFmtId="0" fontId="0" fillId="0" borderId="13" xfId="0" applyBorder="1" applyAlignment="1">
      <alignment vertical="center" wrapText="1"/>
    </xf>
    <xf numFmtId="0" fontId="0" fillId="0" borderId="0" xfId="0" applyAlignment="1">
      <alignment horizontal="center"/>
    </xf>
    <xf numFmtId="0" fontId="15" fillId="12" borderId="13" xfId="0" applyFont="1" applyFill="1" applyBorder="1" applyAlignment="1">
      <alignment horizontal="center" vertical="center" wrapText="1"/>
    </xf>
    <xf numFmtId="0" fontId="29" fillId="9" borderId="13" xfId="0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horizontal="center" vertical="center"/>
    </xf>
    <xf numFmtId="0" fontId="0" fillId="13" borderId="13" xfId="0" applyFill="1" applyBorder="1" applyAlignment="1">
      <alignment vertical="center"/>
    </xf>
    <xf numFmtId="0" fontId="0" fillId="13" borderId="14" xfId="0" applyFill="1" applyBorder="1" applyAlignment="1">
      <alignment vertical="center"/>
    </xf>
    <xf numFmtId="0" fontId="17" fillId="7" borderId="21" xfId="0" applyFont="1" applyFill="1" applyBorder="1" applyAlignment="1">
      <alignment horizontal="center" vertical="center"/>
    </xf>
    <xf numFmtId="0" fontId="29" fillId="9" borderId="17" xfId="0" applyFont="1" applyFill="1" applyBorder="1" applyAlignment="1">
      <alignment horizontal="center" vertical="center"/>
    </xf>
    <xf numFmtId="0" fontId="29" fillId="9" borderId="18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30" fillId="13" borderId="14" xfId="0" applyFont="1" applyFill="1" applyBorder="1" applyAlignment="1">
      <alignment vertical="center"/>
    </xf>
    <xf numFmtId="0" fontId="29" fillId="9" borderId="19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9" fillId="9" borderId="14" xfId="0" applyFont="1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vertical="center"/>
    </xf>
    <xf numFmtId="0" fontId="29" fillId="13" borderId="14" xfId="0" applyFont="1" applyFill="1" applyBorder="1" applyAlignment="1">
      <alignment vertical="center"/>
    </xf>
    <xf numFmtId="0" fontId="8" fillId="0" borderId="4" xfId="0" applyNumberFormat="1" applyFont="1" applyFill="1" applyBorder="1" applyAlignment="1">
      <alignment vertical="center" wrapText="1"/>
    </xf>
    <xf numFmtId="0" fontId="10" fillId="0" borderId="4" xfId="0" applyNumberFormat="1" applyFont="1" applyFill="1" applyBorder="1" applyAlignment="1">
      <alignment horizontal="right" vertical="center" wrapText="1"/>
    </xf>
    <xf numFmtId="0" fontId="11" fillId="0" borderId="4" xfId="0" applyFont="1" applyBorder="1" applyAlignment="1">
      <alignment horizontal="right" vertical="center"/>
    </xf>
    <xf numFmtId="0" fontId="12" fillId="0" borderId="4" xfId="0" applyFont="1" applyBorder="1" applyAlignment="1">
      <alignment horizontal="right" vertical="center"/>
    </xf>
    <xf numFmtId="0" fontId="2" fillId="2" borderId="25" xfId="0" applyNumberFormat="1" applyFont="1" applyFill="1" applyBorder="1" applyAlignment="1">
      <alignment horizontal="center" vertical="center" wrapText="1" readingOrder="1"/>
    </xf>
    <xf numFmtId="0" fontId="3" fillId="5" borderId="9" xfId="0" applyNumberFormat="1" applyFont="1" applyFill="1" applyBorder="1" applyAlignment="1">
      <alignment vertical="top" wrapText="1" readingOrder="1"/>
    </xf>
    <xf numFmtId="0" fontId="0" fillId="5" borderId="9" xfId="0" applyFill="1" applyBorder="1"/>
    <xf numFmtId="0" fontId="8" fillId="0" borderId="26" xfId="0" applyNumberFormat="1" applyFont="1" applyFill="1" applyBorder="1" applyAlignment="1">
      <alignment vertical="center" wrapText="1"/>
    </xf>
    <xf numFmtId="0" fontId="10" fillId="0" borderId="27" xfId="0" applyNumberFormat="1" applyFont="1" applyFill="1" applyBorder="1" applyAlignment="1">
      <alignment horizontal="right" vertical="center" wrapText="1"/>
    </xf>
    <xf numFmtId="0" fontId="11" fillId="0" borderId="27" xfId="0" applyFont="1" applyBorder="1" applyAlignment="1">
      <alignment horizontal="right" vertical="center"/>
    </xf>
    <xf numFmtId="0" fontId="12" fillId="0" borderId="27" xfId="0" applyFont="1" applyBorder="1" applyAlignment="1">
      <alignment horizontal="right" vertical="center"/>
    </xf>
    <xf numFmtId="0" fontId="12" fillId="0" borderId="28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8" fillId="0" borderId="30" xfId="0" applyNumberFormat="1" applyFont="1" applyFill="1" applyBorder="1" applyAlignment="1">
      <alignment vertical="center" wrapText="1"/>
    </xf>
    <xf numFmtId="0" fontId="10" fillId="0" borderId="31" xfId="0" applyNumberFormat="1" applyFont="1" applyFill="1" applyBorder="1" applyAlignment="1">
      <alignment horizontal="right" vertical="center" wrapText="1"/>
    </xf>
    <xf numFmtId="0" fontId="11" fillId="0" borderId="31" xfId="0" applyFont="1" applyBorder="1" applyAlignment="1">
      <alignment horizontal="right" vertical="center"/>
    </xf>
    <xf numFmtId="0" fontId="12" fillId="0" borderId="31" xfId="0" applyFont="1" applyBorder="1" applyAlignment="1">
      <alignment horizontal="right" vertical="center"/>
    </xf>
    <xf numFmtId="0" fontId="12" fillId="0" borderId="32" xfId="0" applyFont="1" applyBorder="1" applyAlignment="1">
      <alignment horizontal="right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D3D3D3"/>
      <color rgb="FFCDC2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502920</xdr:colOff>
      <xdr:row>0</xdr:row>
      <xdr:rowOff>45720</xdr:rowOff>
    </xdr:from>
    <xdr:to>
      <xdr:col>11</xdr:col>
      <xdr:colOff>7620</xdr:colOff>
      <xdr:row>1</xdr:row>
      <xdr:rowOff>175260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450580" y="45720"/>
          <a:ext cx="2514600" cy="3124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608693</xdr:colOff>
      <xdr:row>2</xdr:row>
      <xdr:rowOff>169500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A3FEE700-B82A-4677-A9B5-632D42C37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82880"/>
          <a:ext cx="2986132" cy="3523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24"/>
  <sheetViews>
    <sheetView showGridLines="0" tabSelected="1" workbookViewId="0">
      <pane ySplit="9" topLeftCell="A10" activePane="bottomLeft" state="frozen"/>
      <selection pane="bottomLeft" activeCell="D10" sqref="D10"/>
    </sheetView>
  </sheetViews>
  <sheetFormatPr baseColWidth="10" defaultRowHeight="14.4" x14ac:dyDescent="0.3"/>
  <cols>
    <col min="1" max="1" width="4.33203125" customWidth="1"/>
    <col min="2" max="2" width="7.77734375" customWidth="1"/>
    <col min="3" max="3" width="73.88671875" customWidth="1"/>
    <col min="4" max="11" width="8.77734375" customWidth="1"/>
  </cols>
  <sheetData>
    <row r="1" spans="1:11" x14ac:dyDescent="0.3">
      <c r="B1" s="1" t="s">
        <v>0</v>
      </c>
    </row>
    <row r="2" spans="1:11" x14ac:dyDescent="0.3">
      <c r="B2" s="1" t="s">
        <v>1</v>
      </c>
    </row>
    <row r="3" spans="1:11" x14ac:dyDescent="0.3">
      <c r="B3" s="1" t="s">
        <v>2</v>
      </c>
    </row>
    <row r="4" spans="1:11" x14ac:dyDescent="0.3">
      <c r="B4" s="1" t="s">
        <v>3</v>
      </c>
    </row>
    <row r="5" spans="1:11" ht="4.95" customHeight="1" x14ac:dyDescent="0.3"/>
    <row r="6" spans="1:11" ht="21.6" x14ac:dyDescent="0.4">
      <c r="B6" s="45" t="s">
        <v>4</v>
      </c>
      <c r="C6" s="45"/>
      <c r="D6" s="45"/>
      <c r="E6" s="45"/>
      <c r="F6" s="45"/>
      <c r="G6" s="45"/>
      <c r="H6" s="45"/>
      <c r="I6" s="45"/>
      <c r="J6" s="45"/>
      <c r="K6" s="45"/>
    </row>
    <row r="7" spans="1:11" ht="10.050000000000001" customHeight="1" x14ac:dyDescent="0.3">
      <c r="A7" s="2"/>
    </row>
    <row r="8" spans="1:11" ht="14.4" customHeight="1" x14ac:dyDescent="0.3">
      <c r="A8" s="44">
        <v>94</v>
      </c>
      <c r="D8" s="41" t="s">
        <v>17</v>
      </c>
      <c r="E8" s="41"/>
      <c r="F8" s="41" t="s">
        <v>18</v>
      </c>
      <c r="G8" s="41"/>
      <c r="H8" s="41" t="s">
        <v>19</v>
      </c>
      <c r="I8" s="41"/>
      <c r="J8" s="41" t="s">
        <v>20</v>
      </c>
      <c r="K8" s="41"/>
    </row>
    <row r="9" spans="1:11" ht="14.4" customHeight="1" x14ac:dyDescent="0.3">
      <c r="A9" s="44"/>
      <c r="D9" s="5" t="s">
        <v>21</v>
      </c>
      <c r="E9" s="6" t="s">
        <v>22</v>
      </c>
      <c r="F9" s="6" t="s">
        <v>21</v>
      </c>
      <c r="G9" s="6" t="s">
        <v>22</v>
      </c>
      <c r="H9" s="6" t="s">
        <v>21</v>
      </c>
      <c r="I9" s="6" t="s">
        <v>22</v>
      </c>
      <c r="J9" s="6" t="s">
        <v>21</v>
      </c>
      <c r="K9" s="7" t="s">
        <v>22</v>
      </c>
    </row>
    <row r="10" spans="1:11" ht="18" customHeight="1" x14ac:dyDescent="0.3">
      <c r="A10" s="15" t="s">
        <v>120</v>
      </c>
      <c r="B10" s="30" t="s">
        <v>5</v>
      </c>
      <c r="C10" s="31"/>
      <c r="D10" s="4"/>
      <c r="E10" s="4"/>
      <c r="F10" s="4"/>
      <c r="G10" s="4"/>
      <c r="H10" s="4"/>
      <c r="I10" s="3"/>
      <c r="J10" s="3"/>
      <c r="K10" s="3"/>
    </row>
    <row r="11" spans="1:11" ht="18" customHeight="1" x14ac:dyDescent="0.3">
      <c r="B11" s="42" t="s">
        <v>6</v>
      </c>
      <c r="C11" s="8" t="s">
        <v>9</v>
      </c>
      <c r="D11" s="9"/>
      <c r="E11" s="10"/>
      <c r="F11" s="11"/>
      <c r="G11" s="11"/>
      <c r="H11" s="11"/>
      <c r="I11" s="11"/>
      <c r="J11" s="11"/>
      <c r="K11" s="11"/>
    </row>
    <row r="12" spans="1:11" ht="18" customHeight="1" x14ac:dyDescent="0.3">
      <c r="B12" s="42"/>
      <c r="C12" s="8" t="s">
        <v>10</v>
      </c>
      <c r="D12" s="9"/>
      <c r="E12" s="10"/>
      <c r="F12" s="11"/>
      <c r="G12" s="11"/>
      <c r="H12" s="11"/>
      <c r="I12" s="11"/>
      <c r="J12" s="11"/>
      <c r="K12" s="11"/>
    </row>
    <row r="13" spans="1:11" ht="18" customHeight="1" x14ac:dyDescent="0.3">
      <c r="B13" s="43" t="s">
        <v>7</v>
      </c>
      <c r="C13" s="8" t="s">
        <v>11</v>
      </c>
      <c r="D13" s="9"/>
      <c r="E13" s="10"/>
      <c r="F13" s="11"/>
      <c r="G13" s="11"/>
      <c r="H13" s="11"/>
      <c r="I13" s="11"/>
      <c r="J13" s="11"/>
      <c r="K13" s="11"/>
    </row>
    <row r="14" spans="1:11" ht="18" customHeight="1" x14ac:dyDescent="0.3">
      <c r="B14" s="43"/>
      <c r="C14" s="8" t="s">
        <v>12</v>
      </c>
      <c r="D14" s="9"/>
      <c r="E14" s="10"/>
      <c r="F14" s="11"/>
      <c r="G14" s="11"/>
      <c r="H14" s="11"/>
      <c r="I14" s="11"/>
      <c r="J14" s="11"/>
      <c r="K14" s="11"/>
    </row>
    <row r="15" spans="1:11" ht="18" customHeight="1" x14ac:dyDescent="0.3">
      <c r="B15" s="43"/>
      <c r="C15" s="8" t="s">
        <v>13</v>
      </c>
      <c r="D15" s="9"/>
      <c r="E15" s="10"/>
      <c r="F15" s="11"/>
      <c r="G15" s="11"/>
      <c r="H15" s="11"/>
      <c r="I15" s="11"/>
      <c r="J15" s="11"/>
      <c r="K15" s="11"/>
    </row>
    <row r="16" spans="1:11" ht="18" customHeight="1" x14ac:dyDescent="0.3">
      <c r="B16" s="43"/>
      <c r="C16" s="8" t="s">
        <v>14</v>
      </c>
      <c r="D16" s="9"/>
      <c r="E16" s="10"/>
      <c r="F16" s="11"/>
      <c r="G16" s="11"/>
      <c r="H16" s="11"/>
      <c r="I16" s="11"/>
      <c r="J16" s="11"/>
      <c r="K16" s="11"/>
    </row>
    <row r="17" spans="1:11" ht="18" customHeight="1" x14ac:dyDescent="0.3">
      <c r="B17" s="42" t="s">
        <v>8</v>
      </c>
      <c r="C17" s="8" t="s">
        <v>11</v>
      </c>
      <c r="D17" s="9"/>
      <c r="E17" s="10"/>
      <c r="F17" s="11"/>
      <c r="G17" s="11"/>
      <c r="H17" s="11"/>
      <c r="I17" s="11"/>
      <c r="J17" s="11"/>
      <c r="K17" s="11"/>
    </row>
    <row r="18" spans="1:11" ht="18" customHeight="1" x14ac:dyDescent="0.3">
      <c r="B18" s="42"/>
      <c r="C18" s="8" t="s">
        <v>15</v>
      </c>
      <c r="D18" s="9"/>
      <c r="E18" s="10"/>
      <c r="F18" s="11"/>
      <c r="G18" s="11"/>
      <c r="H18" s="11"/>
      <c r="I18" s="11"/>
      <c r="J18" s="11"/>
      <c r="K18" s="11"/>
    </row>
    <row r="19" spans="1:11" ht="18" customHeight="1" x14ac:dyDescent="0.3">
      <c r="B19" s="42"/>
      <c r="C19" s="8" t="s">
        <v>16</v>
      </c>
      <c r="D19" s="9"/>
      <c r="E19" s="10"/>
      <c r="F19" s="11"/>
      <c r="G19" s="11"/>
      <c r="H19" s="11"/>
      <c r="I19" s="11"/>
      <c r="J19" s="11"/>
      <c r="K19" s="11"/>
    </row>
    <row r="20" spans="1:11" ht="18" customHeight="1" x14ac:dyDescent="0.3">
      <c r="A20" s="15" t="s">
        <v>121</v>
      </c>
      <c r="B20" s="30" t="s">
        <v>23</v>
      </c>
      <c r="C20" s="31"/>
      <c r="D20" s="4"/>
      <c r="E20" s="4"/>
      <c r="F20" s="4"/>
      <c r="G20" s="4"/>
      <c r="H20" s="4"/>
      <c r="I20" s="3"/>
      <c r="J20" s="3"/>
      <c r="K20" s="3"/>
    </row>
    <row r="21" spans="1:11" ht="18" customHeight="1" x14ac:dyDescent="0.3">
      <c r="B21" s="42"/>
      <c r="C21" s="8" t="s">
        <v>24</v>
      </c>
      <c r="D21" s="9"/>
      <c r="E21" s="10"/>
      <c r="F21" s="11"/>
      <c r="G21" s="11"/>
      <c r="H21" s="11"/>
      <c r="I21" s="11"/>
      <c r="J21" s="11"/>
      <c r="K21" s="11"/>
    </row>
    <row r="22" spans="1:11" ht="18" customHeight="1" x14ac:dyDescent="0.3">
      <c r="B22" s="42"/>
      <c r="C22" s="8" t="s">
        <v>25</v>
      </c>
      <c r="D22" s="9"/>
      <c r="E22" s="10"/>
      <c r="F22" s="11"/>
      <c r="G22" s="11"/>
      <c r="H22" s="11"/>
      <c r="I22" s="11"/>
      <c r="J22" s="11"/>
      <c r="K22" s="11"/>
    </row>
    <row r="23" spans="1:11" ht="18" customHeight="1" x14ac:dyDescent="0.3">
      <c r="A23" s="15" t="s">
        <v>122</v>
      </c>
      <c r="B23" s="30" t="s">
        <v>26</v>
      </c>
      <c r="C23" s="31"/>
      <c r="D23" s="4"/>
      <c r="E23" s="4"/>
      <c r="F23" s="4"/>
      <c r="G23" s="4"/>
      <c r="H23" s="4"/>
      <c r="I23" s="3"/>
      <c r="J23" s="3"/>
      <c r="K23" s="3"/>
    </row>
    <row r="24" spans="1:11" ht="18" customHeight="1" x14ac:dyDescent="0.3">
      <c r="B24" s="38" t="s">
        <v>30</v>
      </c>
      <c r="C24" s="8" t="s">
        <v>27</v>
      </c>
      <c r="D24" s="9"/>
      <c r="E24" s="10"/>
      <c r="F24" s="11"/>
      <c r="G24" s="11"/>
      <c r="H24" s="11"/>
      <c r="I24" s="11"/>
      <c r="J24" s="11"/>
      <c r="K24" s="11"/>
    </row>
    <row r="25" spans="1:11" ht="18" customHeight="1" x14ac:dyDescent="0.3">
      <c r="B25" s="39"/>
      <c r="C25" s="8" t="s">
        <v>28</v>
      </c>
      <c r="D25" s="9"/>
      <c r="E25" s="10"/>
      <c r="F25" s="11"/>
      <c r="G25" s="11"/>
      <c r="H25" s="11"/>
      <c r="I25" s="11"/>
      <c r="J25" s="11"/>
      <c r="K25" s="11"/>
    </row>
    <row r="26" spans="1:11" ht="18" customHeight="1" x14ac:dyDescent="0.3">
      <c r="B26" s="40"/>
      <c r="C26" s="8" t="s">
        <v>29</v>
      </c>
      <c r="D26" s="9"/>
      <c r="E26" s="10"/>
      <c r="F26" s="11"/>
      <c r="G26" s="11"/>
      <c r="H26" s="11"/>
      <c r="I26" s="11"/>
      <c r="J26" s="11"/>
      <c r="K26" s="11"/>
    </row>
    <row r="27" spans="1:11" ht="18" customHeight="1" x14ac:dyDescent="0.3">
      <c r="B27" s="13" t="s">
        <v>31</v>
      </c>
      <c r="C27" s="148" t="s">
        <v>29</v>
      </c>
      <c r="D27" s="149"/>
      <c r="E27" s="150"/>
      <c r="F27" s="151"/>
      <c r="G27" s="151"/>
      <c r="H27" s="151"/>
      <c r="I27" s="151"/>
      <c r="J27" s="151"/>
      <c r="K27" s="151"/>
    </row>
    <row r="28" spans="1:11" ht="18" customHeight="1" x14ac:dyDescent="0.3">
      <c r="B28" s="46" t="s">
        <v>135</v>
      </c>
      <c r="C28" s="155" t="s">
        <v>136</v>
      </c>
      <c r="D28" s="156"/>
      <c r="E28" s="157"/>
      <c r="F28" s="158"/>
      <c r="G28" s="158"/>
      <c r="H28" s="158"/>
      <c r="I28" s="158"/>
      <c r="J28" s="158"/>
      <c r="K28" s="159"/>
    </row>
    <row r="29" spans="1:11" ht="18" customHeight="1" x14ac:dyDescent="0.3">
      <c r="B29" s="47"/>
      <c r="C29" s="26" t="s">
        <v>137</v>
      </c>
      <c r="D29" s="9"/>
      <c r="E29" s="10"/>
      <c r="F29" s="11"/>
      <c r="G29" s="11"/>
      <c r="H29" s="11"/>
      <c r="I29" s="11"/>
      <c r="J29" s="11"/>
      <c r="K29" s="160"/>
    </row>
    <row r="30" spans="1:11" ht="18" customHeight="1" x14ac:dyDescent="0.3">
      <c r="B30" s="47"/>
      <c r="C30" s="26" t="s">
        <v>138</v>
      </c>
      <c r="D30" s="9"/>
      <c r="E30" s="10"/>
      <c r="F30" s="11"/>
      <c r="G30" s="11"/>
      <c r="H30" s="11"/>
      <c r="I30" s="11"/>
      <c r="J30" s="11"/>
      <c r="K30" s="160"/>
    </row>
    <row r="31" spans="1:11" ht="18" customHeight="1" x14ac:dyDescent="0.3">
      <c r="B31" s="48"/>
      <c r="C31" s="161" t="s">
        <v>139</v>
      </c>
      <c r="D31" s="162"/>
      <c r="E31" s="163"/>
      <c r="F31" s="164"/>
      <c r="G31" s="164"/>
      <c r="H31" s="164"/>
      <c r="I31" s="164"/>
      <c r="J31" s="164"/>
      <c r="K31" s="165"/>
    </row>
    <row r="32" spans="1:11" ht="18" customHeight="1" x14ac:dyDescent="0.3">
      <c r="A32" s="15" t="s">
        <v>123</v>
      </c>
      <c r="B32" s="30" t="s">
        <v>26</v>
      </c>
      <c r="C32" s="152"/>
      <c r="D32" s="153"/>
      <c r="E32" s="153"/>
      <c r="F32" s="153"/>
      <c r="G32" s="153"/>
      <c r="H32" s="153"/>
      <c r="I32" s="154"/>
      <c r="J32" s="154"/>
      <c r="K32" s="154"/>
    </row>
    <row r="33" spans="1:11" ht="18" customHeight="1" x14ac:dyDescent="0.3">
      <c r="B33" s="38" t="s">
        <v>30</v>
      </c>
      <c r="C33" s="8" t="s">
        <v>32</v>
      </c>
      <c r="D33" s="9"/>
      <c r="E33" s="10"/>
      <c r="F33" s="11"/>
      <c r="G33" s="11"/>
      <c r="H33" s="11"/>
      <c r="I33" s="11"/>
      <c r="J33" s="11"/>
      <c r="K33" s="11"/>
    </row>
    <row r="34" spans="1:11" ht="18" customHeight="1" x14ac:dyDescent="0.3">
      <c r="B34" s="39"/>
      <c r="C34" s="8" t="s">
        <v>33</v>
      </c>
      <c r="D34" s="9"/>
      <c r="E34" s="10"/>
      <c r="F34" s="11"/>
      <c r="G34" s="11"/>
      <c r="H34" s="11"/>
      <c r="I34" s="11"/>
      <c r="J34" s="11"/>
      <c r="K34" s="11"/>
    </row>
    <row r="35" spans="1:11" ht="18" customHeight="1" x14ac:dyDescent="0.3">
      <c r="B35" s="39"/>
      <c r="C35" s="8" t="s">
        <v>34</v>
      </c>
      <c r="D35" s="9"/>
      <c r="E35" s="10"/>
      <c r="F35" s="11"/>
      <c r="G35" s="11"/>
      <c r="H35" s="11"/>
      <c r="I35" s="11"/>
      <c r="J35" s="11"/>
      <c r="K35" s="11"/>
    </row>
    <row r="36" spans="1:11" ht="18" customHeight="1" x14ac:dyDescent="0.3">
      <c r="B36" s="39"/>
      <c r="C36" s="8" t="s">
        <v>35</v>
      </c>
      <c r="D36" s="9"/>
      <c r="E36" s="10"/>
      <c r="F36" s="11"/>
      <c r="G36" s="11"/>
      <c r="H36" s="11"/>
      <c r="I36" s="11"/>
      <c r="J36" s="11"/>
      <c r="K36" s="11"/>
    </row>
    <row r="37" spans="1:11" ht="18" customHeight="1" x14ac:dyDescent="0.3">
      <c r="B37" s="39"/>
      <c r="C37" s="8" t="s">
        <v>36</v>
      </c>
      <c r="D37" s="9"/>
      <c r="E37" s="10"/>
      <c r="F37" s="11"/>
      <c r="G37" s="11"/>
      <c r="H37" s="11"/>
      <c r="I37" s="11"/>
      <c r="J37" s="11"/>
      <c r="K37" s="11"/>
    </row>
    <row r="38" spans="1:11" ht="16.8" x14ac:dyDescent="0.3">
      <c r="B38" s="38" t="s">
        <v>31</v>
      </c>
      <c r="C38" s="8" t="s">
        <v>32</v>
      </c>
      <c r="D38" s="9"/>
      <c r="E38" s="10"/>
      <c r="F38" s="11"/>
      <c r="G38" s="11"/>
      <c r="H38" s="11"/>
      <c r="I38" s="11"/>
      <c r="J38" s="11"/>
      <c r="K38" s="11"/>
    </row>
    <row r="39" spans="1:11" ht="16.8" x14ac:dyDescent="0.3">
      <c r="B39" s="39"/>
      <c r="C39" s="8" t="s">
        <v>33</v>
      </c>
      <c r="D39" s="9"/>
      <c r="E39" s="10"/>
      <c r="F39" s="11"/>
      <c r="G39" s="11"/>
      <c r="H39" s="11"/>
      <c r="I39" s="11"/>
      <c r="J39" s="11"/>
      <c r="K39" s="11"/>
    </row>
    <row r="40" spans="1:11" ht="16.8" x14ac:dyDescent="0.3">
      <c r="B40" s="39"/>
      <c r="C40" s="8" t="s">
        <v>37</v>
      </c>
      <c r="D40" s="9"/>
      <c r="E40" s="10"/>
      <c r="F40" s="11"/>
      <c r="G40" s="11"/>
      <c r="H40" s="11"/>
      <c r="I40" s="11"/>
      <c r="J40" s="11"/>
      <c r="K40" s="11"/>
    </row>
    <row r="41" spans="1:11" ht="16.8" x14ac:dyDescent="0.3">
      <c r="B41" s="39"/>
      <c r="C41" s="8" t="s">
        <v>38</v>
      </c>
      <c r="D41" s="9"/>
      <c r="E41" s="10"/>
      <c r="F41" s="11"/>
      <c r="G41" s="11"/>
      <c r="H41" s="11"/>
      <c r="I41" s="11"/>
      <c r="J41" s="11"/>
      <c r="K41" s="11"/>
    </row>
    <row r="42" spans="1:11" ht="16.8" x14ac:dyDescent="0.3">
      <c r="B42" s="39"/>
      <c r="C42" s="8" t="s">
        <v>39</v>
      </c>
      <c r="D42" s="9"/>
      <c r="E42" s="10"/>
      <c r="F42" s="11"/>
      <c r="G42" s="11"/>
      <c r="H42" s="11"/>
      <c r="I42" s="11"/>
      <c r="J42" s="11"/>
      <c r="K42" s="11"/>
    </row>
    <row r="43" spans="1:11" ht="18" customHeight="1" x14ac:dyDescent="0.3">
      <c r="B43" s="39"/>
      <c r="C43" s="8" t="s">
        <v>35</v>
      </c>
      <c r="D43" s="9"/>
      <c r="E43" s="10"/>
      <c r="F43" s="11"/>
      <c r="G43" s="11"/>
      <c r="H43" s="11"/>
      <c r="I43" s="11"/>
      <c r="J43" s="11"/>
      <c r="K43" s="11"/>
    </row>
    <row r="44" spans="1:11" ht="18" customHeight="1" x14ac:dyDescent="0.3">
      <c r="B44" s="40"/>
      <c r="C44" s="8" t="s">
        <v>36</v>
      </c>
      <c r="D44" s="9"/>
      <c r="E44" s="10"/>
      <c r="F44" s="11"/>
      <c r="G44" s="11"/>
      <c r="H44" s="11"/>
      <c r="I44" s="11"/>
      <c r="J44" s="11"/>
      <c r="K44" s="11"/>
    </row>
    <row r="45" spans="1:11" ht="18" customHeight="1" x14ac:dyDescent="0.3">
      <c r="A45" s="15" t="s">
        <v>124</v>
      </c>
      <c r="B45" s="30" t="s">
        <v>40</v>
      </c>
      <c r="C45" s="31"/>
      <c r="D45" s="4"/>
      <c r="E45" s="4"/>
      <c r="F45" s="4"/>
      <c r="G45" s="4"/>
      <c r="H45" s="4"/>
      <c r="I45" s="3"/>
      <c r="J45" s="3"/>
      <c r="K45" s="3"/>
    </row>
    <row r="46" spans="1:11" ht="18" customHeight="1" x14ac:dyDescent="0.3">
      <c r="B46" s="32"/>
      <c r="C46" s="8" t="s">
        <v>41</v>
      </c>
      <c r="D46" s="9"/>
      <c r="E46" s="10"/>
      <c r="F46" s="11"/>
      <c r="G46" s="11"/>
      <c r="H46" s="11"/>
      <c r="I46" s="11"/>
      <c r="J46" s="11"/>
      <c r="K46" s="11"/>
    </row>
    <row r="47" spans="1:11" ht="18" customHeight="1" x14ac:dyDescent="0.3">
      <c r="B47" s="33"/>
      <c r="C47" s="8" t="s">
        <v>42</v>
      </c>
      <c r="D47" s="9"/>
      <c r="E47" s="10"/>
      <c r="F47" s="11"/>
      <c r="G47" s="11"/>
      <c r="H47" s="11"/>
      <c r="I47" s="11"/>
      <c r="J47" s="11"/>
      <c r="K47" s="11"/>
    </row>
    <row r="48" spans="1:11" ht="18" customHeight="1" x14ac:dyDescent="0.3">
      <c r="B48" s="33"/>
      <c r="C48" s="8" t="s">
        <v>43</v>
      </c>
      <c r="D48" s="9"/>
      <c r="E48" s="10"/>
      <c r="F48" s="11"/>
      <c r="G48" s="11"/>
      <c r="H48" s="11"/>
      <c r="I48" s="11"/>
      <c r="J48" s="11"/>
      <c r="K48" s="11"/>
    </row>
    <row r="49" spans="1:11" ht="18" customHeight="1" x14ac:dyDescent="0.3">
      <c r="B49" s="33"/>
      <c r="C49" s="8" t="s">
        <v>44</v>
      </c>
      <c r="D49" s="9"/>
      <c r="E49" s="10"/>
      <c r="F49" s="11"/>
      <c r="G49" s="11"/>
      <c r="H49" s="11"/>
      <c r="I49" s="11"/>
      <c r="J49" s="11"/>
      <c r="K49" s="11"/>
    </row>
    <row r="50" spans="1:11" ht="18" customHeight="1" x14ac:dyDescent="0.3">
      <c r="B50" s="33"/>
      <c r="C50" s="8" t="s">
        <v>45</v>
      </c>
      <c r="D50" s="9"/>
      <c r="E50" s="10"/>
      <c r="F50" s="11"/>
      <c r="G50" s="11"/>
      <c r="H50" s="11"/>
      <c r="I50" s="11"/>
      <c r="J50" s="11"/>
      <c r="K50" s="11"/>
    </row>
    <row r="51" spans="1:11" ht="18" customHeight="1" x14ac:dyDescent="0.3">
      <c r="B51" s="34"/>
      <c r="C51" s="8" t="s">
        <v>46</v>
      </c>
      <c r="D51" s="9"/>
      <c r="E51" s="10"/>
      <c r="F51" s="11"/>
      <c r="G51" s="11"/>
      <c r="H51" s="11"/>
      <c r="I51" s="11"/>
      <c r="J51" s="11"/>
      <c r="K51" s="11"/>
    </row>
    <row r="52" spans="1:11" ht="18" customHeight="1" x14ac:dyDescent="0.3">
      <c r="A52" s="15" t="s">
        <v>22</v>
      </c>
      <c r="B52" s="30" t="s">
        <v>47</v>
      </c>
      <c r="C52" s="31"/>
      <c r="D52" s="4"/>
      <c r="E52" s="4"/>
      <c r="F52" s="4"/>
      <c r="G52" s="4"/>
      <c r="H52" s="4"/>
      <c r="I52" s="3"/>
      <c r="J52" s="3"/>
      <c r="K52" s="3"/>
    </row>
    <row r="53" spans="1:11" ht="18" customHeight="1" x14ac:dyDescent="0.3">
      <c r="B53" s="27" t="s">
        <v>85</v>
      </c>
      <c r="C53" s="8" t="s">
        <v>133</v>
      </c>
      <c r="D53" s="9"/>
      <c r="E53" s="10"/>
      <c r="F53" s="11"/>
      <c r="G53" s="11"/>
      <c r="H53" s="11"/>
      <c r="I53" s="11"/>
      <c r="J53" s="11"/>
      <c r="K53" s="11"/>
    </row>
    <row r="54" spans="1:11" ht="18" customHeight="1" x14ac:dyDescent="0.3">
      <c r="B54" s="28"/>
      <c r="C54" s="8" t="s">
        <v>134</v>
      </c>
      <c r="D54" s="9"/>
      <c r="E54" s="10"/>
      <c r="F54" s="11"/>
      <c r="G54" s="11"/>
      <c r="H54" s="11"/>
      <c r="I54" s="11"/>
      <c r="J54" s="11"/>
      <c r="K54" s="11"/>
    </row>
    <row r="55" spans="1:11" ht="18" customHeight="1" x14ac:dyDescent="0.3">
      <c r="A55" s="15" t="s">
        <v>125</v>
      </c>
      <c r="B55" s="30" t="s">
        <v>48</v>
      </c>
      <c r="C55" s="31"/>
      <c r="D55" s="4"/>
      <c r="E55" s="4"/>
      <c r="F55" s="4"/>
      <c r="G55" s="4"/>
      <c r="H55" s="4"/>
      <c r="I55" s="3"/>
      <c r="J55" s="3"/>
      <c r="K55" s="3"/>
    </row>
    <row r="56" spans="1:11" ht="18" customHeight="1" x14ac:dyDescent="0.3">
      <c r="B56" s="27" t="s">
        <v>86</v>
      </c>
      <c r="C56" s="16" t="s">
        <v>49</v>
      </c>
      <c r="D56" s="17"/>
      <c r="E56" s="18"/>
      <c r="F56" s="19"/>
      <c r="G56" s="19"/>
      <c r="H56" s="19"/>
      <c r="I56" s="19"/>
      <c r="J56" s="19"/>
      <c r="K56" s="20"/>
    </row>
    <row r="57" spans="1:11" ht="18" customHeight="1" x14ac:dyDescent="0.3">
      <c r="B57" s="29"/>
      <c r="C57" s="12" t="s">
        <v>89</v>
      </c>
      <c r="D57" s="9"/>
      <c r="E57" s="23"/>
      <c r="F57" s="11"/>
      <c r="G57" s="24"/>
      <c r="H57" s="11"/>
      <c r="I57" s="24"/>
      <c r="J57" s="11"/>
      <c r="K57" s="24"/>
    </row>
    <row r="58" spans="1:11" ht="18" customHeight="1" x14ac:dyDescent="0.3">
      <c r="B58" s="28"/>
      <c r="C58" s="12" t="s">
        <v>90</v>
      </c>
      <c r="D58" s="9"/>
      <c r="E58" s="23"/>
      <c r="F58" s="11"/>
      <c r="G58" s="24"/>
      <c r="H58" s="11"/>
      <c r="I58" s="24"/>
      <c r="J58" s="11"/>
      <c r="K58" s="24"/>
    </row>
    <row r="59" spans="1:11" ht="18" customHeight="1" x14ac:dyDescent="0.3">
      <c r="B59" s="27" t="s">
        <v>87</v>
      </c>
      <c r="C59" s="16" t="s">
        <v>50</v>
      </c>
      <c r="D59" s="17"/>
      <c r="E59" s="18"/>
      <c r="F59" s="19"/>
      <c r="G59" s="19"/>
      <c r="H59" s="19"/>
      <c r="I59" s="19"/>
      <c r="J59" s="19"/>
      <c r="K59" s="20"/>
    </row>
    <row r="60" spans="1:11" ht="18" customHeight="1" x14ac:dyDescent="0.3">
      <c r="B60" s="29"/>
      <c r="C60" s="12" t="s">
        <v>91</v>
      </c>
      <c r="D60" s="25"/>
      <c r="E60" s="10"/>
      <c r="F60" s="24"/>
      <c r="G60" s="11"/>
      <c r="H60" s="24"/>
      <c r="I60" s="11"/>
      <c r="J60" s="24"/>
      <c r="K60" s="11"/>
    </row>
    <row r="61" spans="1:11" ht="18" customHeight="1" x14ac:dyDescent="0.3">
      <c r="B61" s="29"/>
      <c r="C61" s="12" t="s">
        <v>92</v>
      </c>
      <c r="D61" s="25"/>
      <c r="E61" s="10"/>
      <c r="F61" s="24"/>
      <c r="G61" s="11"/>
      <c r="H61" s="24"/>
      <c r="I61" s="11"/>
      <c r="J61" s="24"/>
      <c r="K61" s="11"/>
    </row>
    <row r="62" spans="1:11" ht="18" customHeight="1" x14ac:dyDescent="0.3">
      <c r="B62" s="29"/>
      <c r="C62" s="16" t="s">
        <v>51</v>
      </c>
      <c r="D62" s="17"/>
      <c r="E62" s="18"/>
      <c r="F62" s="19"/>
      <c r="G62" s="19"/>
      <c r="H62" s="19"/>
      <c r="I62" s="19"/>
      <c r="J62" s="19"/>
      <c r="K62" s="20"/>
    </row>
    <row r="63" spans="1:11" ht="18" customHeight="1" x14ac:dyDescent="0.3">
      <c r="B63" s="29"/>
      <c r="C63" s="12" t="s">
        <v>93</v>
      </c>
      <c r="D63" s="25"/>
      <c r="E63" s="10"/>
      <c r="F63" s="24"/>
      <c r="G63" s="11"/>
      <c r="H63" s="24"/>
      <c r="I63" s="11"/>
      <c r="J63" s="24"/>
      <c r="K63" s="11"/>
    </row>
    <row r="64" spans="1:11" ht="18" customHeight="1" x14ac:dyDescent="0.3">
      <c r="B64" s="29"/>
      <c r="C64" s="12" t="s">
        <v>94</v>
      </c>
      <c r="D64" s="25"/>
      <c r="E64" s="10"/>
      <c r="F64" s="24"/>
      <c r="G64" s="11"/>
      <c r="H64" s="24"/>
      <c r="I64" s="11"/>
      <c r="J64" s="24"/>
      <c r="K64" s="11"/>
    </row>
    <row r="65" spans="1:11" ht="18" customHeight="1" x14ac:dyDescent="0.3">
      <c r="B65" s="29"/>
      <c r="C65" s="16" t="s">
        <v>52</v>
      </c>
      <c r="D65" s="17"/>
      <c r="E65" s="18"/>
      <c r="F65" s="19"/>
      <c r="G65" s="19"/>
      <c r="H65" s="19"/>
      <c r="I65" s="19"/>
      <c r="J65" s="19"/>
      <c r="K65" s="20"/>
    </row>
    <row r="66" spans="1:11" ht="18" customHeight="1" x14ac:dyDescent="0.3">
      <c r="B66" s="29"/>
      <c r="C66" s="12" t="s">
        <v>93</v>
      </c>
      <c r="D66" s="25"/>
      <c r="E66" s="10"/>
      <c r="F66" s="24"/>
      <c r="G66" s="11"/>
      <c r="H66" s="24"/>
      <c r="I66" s="11"/>
      <c r="J66" s="24"/>
      <c r="K66" s="11"/>
    </row>
    <row r="67" spans="1:11" ht="18" customHeight="1" x14ac:dyDescent="0.3">
      <c r="B67" s="28"/>
      <c r="C67" s="12" t="s">
        <v>94</v>
      </c>
      <c r="D67" s="25"/>
      <c r="E67" s="10"/>
      <c r="F67" s="24"/>
      <c r="G67" s="11"/>
      <c r="H67" s="24"/>
      <c r="I67" s="11"/>
      <c r="J67" s="24"/>
      <c r="K67" s="11"/>
    </row>
    <row r="68" spans="1:11" ht="18" customHeight="1" x14ac:dyDescent="0.3">
      <c r="B68" s="29" t="s">
        <v>88</v>
      </c>
      <c r="C68" s="16" t="s">
        <v>53</v>
      </c>
      <c r="D68" s="17"/>
      <c r="E68" s="18"/>
      <c r="F68" s="19"/>
      <c r="G68" s="19"/>
      <c r="H68" s="19"/>
      <c r="I68" s="19"/>
      <c r="J68" s="19"/>
      <c r="K68" s="20"/>
    </row>
    <row r="69" spans="1:11" ht="18" customHeight="1" x14ac:dyDescent="0.3">
      <c r="B69" s="29"/>
      <c r="C69" s="12" t="s">
        <v>95</v>
      </c>
      <c r="D69" s="9"/>
      <c r="E69" s="10"/>
      <c r="F69" s="11"/>
      <c r="G69" s="11"/>
      <c r="H69" s="11"/>
      <c r="I69" s="11"/>
      <c r="J69" s="11"/>
      <c r="K69" s="11"/>
    </row>
    <row r="70" spans="1:11" ht="18" customHeight="1" x14ac:dyDescent="0.3">
      <c r="B70" s="28"/>
      <c r="C70" s="12" t="s">
        <v>96</v>
      </c>
      <c r="D70" s="9"/>
      <c r="E70" s="10"/>
      <c r="F70" s="11"/>
      <c r="G70" s="11"/>
      <c r="H70" s="11"/>
      <c r="I70" s="11"/>
      <c r="J70" s="11"/>
      <c r="K70" s="11"/>
    </row>
    <row r="71" spans="1:11" ht="18" customHeight="1" x14ac:dyDescent="0.3">
      <c r="A71" s="15" t="s">
        <v>126</v>
      </c>
      <c r="B71" s="30" t="s">
        <v>54</v>
      </c>
      <c r="C71" s="31"/>
      <c r="D71" s="4"/>
      <c r="E71" s="4"/>
      <c r="F71" s="4"/>
      <c r="G71" s="4"/>
      <c r="H71" s="4"/>
      <c r="I71" s="3"/>
      <c r="J71" s="3"/>
      <c r="K71" s="3"/>
    </row>
    <row r="72" spans="1:11" ht="18" customHeight="1" x14ac:dyDescent="0.3">
      <c r="B72" s="35" t="s">
        <v>97</v>
      </c>
      <c r="C72" s="8" t="s">
        <v>55</v>
      </c>
      <c r="D72" s="9"/>
      <c r="E72" s="10"/>
      <c r="F72" s="11"/>
      <c r="G72" s="11"/>
      <c r="H72" s="11"/>
      <c r="I72" s="11"/>
      <c r="J72" s="11"/>
      <c r="K72" s="11"/>
    </row>
    <row r="73" spans="1:11" ht="18" customHeight="1" x14ac:dyDescent="0.3">
      <c r="B73" s="36"/>
      <c r="C73" s="8" t="s">
        <v>56</v>
      </c>
      <c r="D73" s="9"/>
      <c r="E73" s="10"/>
      <c r="F73" s="11"/>
      <c r="G73" s="11"/>
      <c r="H73" s="11"/>
      <c r="I73" s="11"/>
      <c r="J73" s="11"/>
      <c r="K73" s="11"/>
    </row>
    <row r="74" spans="1:11" ht="18" customHeight="1" x14ac:dyDescent="0.3">
      <c r="B74" s="37"/>
      <c r="C74" s="8" t="s">
        <v>57</v>
      </c>
      <c r="D74" s="9"/>
      <c r="E74" s="10"/>
      <c r="F74" s="11"/>
      <c r="G74" s="11"/>
      <c r="H74" s="11"/>
      <c r="I74" s="11"/>
      <c r="J74" s="11"/>
      <c r="K74" s="11"/>
    </row>
    <row r="75" spans="1:11" ht="22.05" customHeight="1" x14ac:dyDescent="0.3">
      <c r="B75" s="14" t="s">
        <v>98</v>
      </c>
      <c r="C75" s="8" t="s">
        <v>58</v>
      </c>
      <c r="D75" s="9"/>
      <c r="E75" s="10"/>
      <c r="F75" s="11"/>
      <c r="G75" s="11"/>
      <c r="H75" s="11"/>
      <c r="I75" s="11"/>
      <c r="J75" s="11"/>
      <c r="K75" s="11"/>
    </row>
    <row r="76" spans="1:11" ht="18" customHeight="1" x14ac:dyDescent="0.3">
      <c r="A76" s="15" t="s">
        <v>127</v>
      </c>
      <c r="B76" s="30" t="s">
        <v>59</v>
      </c>
      <c r="C76" s="31"/>
      <c r="D76" s="4"/>
      <c r="E76" s="4"/>
      <c r="F76" s="4"/>
      <c r="G76" s="4"/>
      <c r="H76" s="4"/>
      <c r="I76" s="3"/>
      <c r="J76" s="3"/>
      <c r="K76" s="3"/>
    </row>
    <row r="77" spans="1:11" ht="18" customHeight="1" x14ac:dyDescent="0.3">
      <c r="B77" s="27" t="s">
        <v>85</v>
      </c>
      <c r="C77" s="8" t="s">
        <v>56</v>
      </c>
      <c r="D77" s="9"/>
      <c r="E77" s="10"/>
      <c r="F77" s="11"/>
      <c r="G77" s="11"/>
      <c r="H77" s="11"/>
      <c r="I77" s="11"/>
      <c r="J77" s="11"/>
      <c r="K77" s="11"/>
    </row>
    <row r="78" spans="1:11" ht="18" customHeight="1" x14ac:dyDescent="0.3">
      <c r="B78" s="29"/>
      <c r="C78" s="8" t="s">
        <v>57</v>
      </c>
      <c r="D78" s="9"/>
      <c r="E78" s="10"/>
      <c r="F78" s="11"/>
      <c r="G78" s="11"/>
      <c r="H78" s="11"/>
      <c r="I78" s="11"/>
      <c r="J78" s="11"/>
      <c r="K78" s="11"/>
    </row>
    <row r="79" spans="1:11" ht="18" customHeight="1" x14ac:dyDescent="0.3">
      <c r="B79" s="28"/>
      <c r="C79" s="8" t="s">
        <v>58</v>
      </c>
      <c r="D79" s="9"/>
      <c r="E79" s="10"/>
      <c r="F79" s="11"/>
      <c r="G79" s="11"/>
      <c r="H79" s="11"/>
      <c r="I79" s="11"/>
      <c r="J79" s="11"/>
      <c r="K79" s="11"/>
    </row>
    <row r="80" spans="1:11" ht="18" customHeight="1" x14ac:dyDescent="0.3">
      <c r="A80" s="15" t="s">
        <v>128</v>
      </c>
      <c r="B80" s="30" t="s">
        <v>60</v>
      </c>
      <c r="C80" s="31"/>
      <c r="D80" s="4"/>
      <c r="E80" s="4"/>
      <c r="F80" s="4"/>
      <c r="G80" s="4"/>
      <c r="H80" s="4"/>
      <c r="I80" s="3"/>
      <c r="J80" s="3"/>
      <c r="K80" s="3"/>
    </row>
    <row r="81" spans="1:11" ht="18" customHeight="1" x14ac:dyDescent="0.3">
      <c r="B81" s="27" t="s">
        <v>85</v>
      </c>
      <c r="C81" s="8" t="s">
        <v>61</v>
      </c>
      <c r="D81" s="9"/>
      <c r="E81" s="10"/>
      <c r="F81" s="11"/>
      <c r="G81" s="11"/>
      <c r="H81" s="11"/>
      <c r="I81" s="11"/>
      <c r="J81" s="11"/>
      <c r="K81" s="11"/>
    </row>
    <row r="82" spans="1:11" ht="18" customHeight="1" x14ac:dyDescent="0.3">
      <c r="B82" s="28"/>
      <c r="C82" s="21" t="s">
        <v>62</v>
      </c>
      <c r="D82" s="9"/>
      <c r="E82" s="10"/>
      <c r="F82" s="11"/>
      <c r="G82" s="11"/>
      <c r="H82" s="11"/>
      <c r="I82" s="11"/>
      <c r="J82" s="11"/>
      <c r="K82" s="11"/>
    </row>
    <row r="83" spans="1:11" ht="18" customHeight="1" x14ac:dyDescent="0.3">
      <c r="A83" s="15" t="s">
        <v>129</v>
      </c>
      <c r="B83" s="30" t="s">
        <v>63</v>
      </c>
      <c r="C83" s="31"/>
      <c r="D83" s="22" t="s">
        <v>64</v>
      </c>
      <c r="E83" s="22" t="s">
        <v>65</v>
      </c>
    </row>
    <row r="84" spans="1:11" ht="18" customHeight="1" x14ac:dyDescent="0.3">
      <c r="B84" s="27" t="s">
        <v>85</v>
      </c>
      <c r="C84" s="8" t="s">
        <v>66</v>
      </c>
      <c r="D84" s="9"/>
      <c r="E84" s="10"/>
    </row>
    <row r="85" spans="1:11" ht="18" customHeight="1" x14ac:dyDescent="0.3">
      <c r="B85" s="29"/>
      <c r="C85" s="8" t="s">
        <v>67</v>
      </c>
      <c r="D85" s="9"/>
      <c r="E85" s="10"/>
    </row>
    <row r="86" spans="1:11" ht="18" customHeight="1" x14ac:dyDescent="0.3">
      <c r="B86" s="29"/>
      <c r="C86" s="8" t="s">
        <v>68</v>
      </c>
      <c r="D86" s="9"/>
      <c r="E86" s="10"/>
    </row>
    <row r="87" spans="1:11" ht="18" customHeight="1" x14ac:dyDescent="0.3">
      <c r="B87" s="28"/>
      <c r="C87" s="8" t="s">
        <v>69</v>
      </c>
      <c r="D87" s="9"/>
      <c r="E87" s="10"/>
    </row>
    <row r="88" spans="1:11" ht="18" customHeight="1" x14ac:dyDescent="0.3">
      <c r="A88" s="15" t="s">
        <v>130</v>
      </c>
      <c r="B88" s="30" t="s">
        <v>70</v>
      </c>
      <c r="C88" s="31"/>
      <c r="D88" s="4"/>
      <c r="E88" s="4"/>
      <c r="F88" s="4"/>
      <c r="G88" s="4"/>
      <c r="H88" s="4"/>
      <c r="I88" s="3"/>
      <c r="J88" s="3"/>
      <c r="K88" s="3"/>
    </row>
    <row r="89" spans="1:11" ht="18" customHeight="1" x14ac:dyDescent="0.3">
      <c r="B89" s="27" t="s">
        <v>85</v>
      </c>
      <c r="C89" s="16" t="s">
        <v>71</v>
      </c>
      <c r="D89" s="17"/>
      <c r="E89" s="18"/>
      <c r="F89" s="19"/>
      <c r="G89" s="19"/>
      <c r="H89" s="19"/>
      <c r="I89" s="19"/>
      <c r="J89" s="19"/>
      <c r="K89" s="20"/>
    </row>
    <row r="90" spans="1:11" ht="18" customHeight="1" x14ac:dyDescent="0.3">
      <c r="B90" s="29"/>
      <c r="C90" s="12" t="s">
        <v>99</v>
      </c>
      <c r="D90" s="9"/>
      <c r="E90" s="10"/>
      <c r="F90" s="11"/>
      <c r="G90" s="11"/>
      <c r="H90" s="11"/>
      <c r="I90" s="11"/>
      <c r="J90" s="11"/>
      <c r="K90" s="11"/>
    </row>
    <row r="91" spans="1:11" ht="18" customHeight="1" x14ac:dyDescent="0.3">
      <c r="B91" s="29"/>
      <c r="C91" s="16" t="s">
        <v>72</v>
      </c>
      <c r="D91" s="17"/>
      <c r="E91" s="18"/>
      <c r="F91" s="19"/>
      <c r="G91" s="19"/>
      <c r="H91" s="19"/>
      <c r="I91" s="19"/>
      <c r="J91" s="19"/>
      <c r="K91" s="20"/>
    </row>
    <row r="92" spans="1:11" ht="18" customHeight="1" x14ac:dyDescent="0.3">
      <c r="B92" s="29"/>
      <c r="C92" s="12" t="s">
        <v>100</v>
      </c>
      <c r="D92" s="9"/>
      <c r="E92" s="10"/>
      <c r="F92" s="11"/>
      <c r="G92" s="11"/>
      <c r="H92" s="11"/>
      <c r="I92" s="11"/>
      <c r="J92" s="11"/>
      <c r="K92" s="11"/>
    </row>
    <row r="93" spans="1:11" ht="18" customHeight="1" x14ac:dyDescent="0.3">
      <c r="B93" s="29"/>
      <c r="C93" s="12" t="s">
        <v>101</v>
      </c>
      <c r="D93" s="9"/>
      <c r="E93" s="10"/>
      <c r="F93" s="11"/>
      <c r="G93" s="11"/>
      <c r="H93" s="11"/>
      <c r="I93" s="11"/>
      <c r="J93" s="11"/>
      <c r="K93" s="11"/>
    </row>
    <row r="94" spans="1:11" ht="18" customHeight="1" x14ac:dyDescent="0.3">
      <c r="B94" s="29"/>
      <c r="C94" s="16" t="s">
        <v>73</v>
      </c>
      <c r="D94" s="17"/>
      <c r="E94" s="18"/>
      <c r="F94" s="19"/>
      <c r="G94" s="19"/>
      <c r="H94" s="19"/>
      <c r="I94" s="19"/>
      <c r="J94" s="19"/>
      <c r="K94" s="20"/>
    </row>
    <row r="95" spans="1:11" ht="18" customHeight="1" x14ac:dyDescent="0.3">
      <c r="B95" s="29"/>
      <c r="C95" s="12" t="s">
        <v>102</v>
      </c>
      <c r="D95" s="9"/>
      <c r="E95" s="10"/>
      <c r="F95" s="11"/>
      <c r="G95" s="11"/>
      <c r="H95" s="11"/>
      <c r="I95" s="11"/>
      <c r="J95" s="11"/>
      <c r="K95" s="11"/>
    </row>
    <row r="96" spans="1:11" ht="18" customHeight="1" x14ac:dyDescent="0.3">
      <c r="B96" s="29"/>
      <c r="C96" s="12" t="s">
        <v>103</v>
      </c>
      <c r="D96" s="9"/>
      <c r="E96" s="10"/>
      <c r="F96" s="11"/>
      <c r="G96" s="11"/>
      <c r="H96" s="11"/>
      <c r="I96" s="11"/>
      <c r="J96" s="11"/>
      <c r="K96" s="11"/>
    </row>
    <row r="97" spans="1:11" ht="18" customHeight="1" x14ac:dyDescent="0.3">
      <c r="B97" s="28"/>
      <c r="C97" s="12" t="s">
        <v>104</v>
      </c>
      <c r="D97" s="9"/>
      <c r="E97" s="10"/>
      <c r="F97" s="11"/>
      <c r="G97" s="11"/>
      <c r="H97" s="11"/>
      <c r="I97" s="11"/>
      <c r="J97" s="11"/>
      <c r="K97" s="11"/>
    </row>
    <row r="98" spans="1:11" ht="18" customHeight="1" x14ac:dyDescent="0.3">
      <c r="A98" s="15" t="s">
        <v>21</v>
      </c>
      <c r="B98" s="30" t="s">
        <v>74</v>
      </c>
      <c r="C98" s="31"/>
      <c r="D98" s="4"/>
      <c r="E98" s="4"/>
      <c r="F98" s="4"/>
      <c r="G98" s="4"/>
      <c r="H98" s="4"/>
      <c r="I98" s="3"/>
      <c r="J98" s="3"/>
      <c r="K98" s="3"/>
    </row>
    <row r="99" spans="1:11" ht="18" customHeight="1" x14ac:dyDescent="0.3">
      <c r="B99" s="27" t="s">
        <v>85</v>
      </c>
      <c r="C99" s="8" t="s">
        <v>75</v>
      </c>
      <c r="D99" s="9"/>
      <c r="E99" s="10"/>
      <c r="F99" s="11"/>
      <c r="G99" s="11"/>
      <c r="H99" s="11"/>
      <c r="I99" s="11"/>
      <c r="J99" s="11"/>
      <c r="K99" s="11"/>
    </row>
    <row r="100" spans="1:11" ht="18" customHeight="1" x14ac:dyDescent="0.3">
      <c r="B100" s="29"/>
      <c r="C100" s="8" t="s">
        <v>76</v>
      </c>
      <c r="D100" s="9"/>
      <c r="E100" s="10"/>
      <c r="F100" s="11"/>
      <c r="G100" s="11"/>
      <c r="H100" s="11"/>
      <c r="I100" s="11"/>
      <c r="J100" s="11"/>
      <c r="K100" s="11"/>
    </row>
    <row r="101" spans="1:11" ht="18" customHeight="1" x14ac:dyDescent="0.3">
      <c r="B101" s="29"/>
      <c r="C101" s="8" t="s">
        <v>77</v>
      </c>
      <c r="D101" s="9"/>
      <c r="E101" s="10"/>
      <c r="F101" s="11"/>
      <c r="G101" s="11"/>
      <c r="H101" s="11"/>
      <c r="I101" s="11"/>
      <c r="J101" s="11"/>
      <c r="K101" s="11"/>
    </row>
    <row r="102" spans="1:11" ht="18" customHeight="1" x14ac:dyDescent="0.3">
      <c r="B102" s="29"/>
      <c r="C102" s="8" t="s">
        <v>78</v>
      </c>
      <c r="D102" s="9"/>
      <c r="E102" s="10"/>
      <c r="F102" s="11"/>
      <c r="G102" s="11"/>
      <c r="H102" s="11"/>
      <c r="I102" s="11"/>
      <c r="J102" s="11"/>
      <c r="K102" s="11"/>
    </row>
    <row r="103" spans="1:11" ht="18" customHeight="1" x14ac:dyDescent="0.3">
      <c r="B103" s="29"/>
      <c r="C103" s="8" t="s">
        <v>79</v>
      </c>
      <c r="D103" s="9"/>
      <c r="E103" s="10"/>
      <c r="F103" s="11"/>
      <c r="G103" s="11"/>
      <c r="H103" s="11"/>
      <c r="I103" s="11"/>
      <c r="J103" s="11"/>
      <c r="K103" s="11"/>
    </row>
    <row r="104" spans="1:11" ht="18" customHeight="1" x14ac:dyDescent="0.3">
      <c r="B104" s="28"/>
      <c r="C104" s="8" t="s">
        <v>80</v>
      </c>
      <c r="D104" s="9"/>
      <c r="E104" s="10"/>
      <c r="F104" s="11"/>
      <c r="G104" s="11"/>
      <c r="H104" s="11"/>
      <c r="I104" s="11"/>
      <c r="J104" s="11"/>
      <c r="K104" s="11"/>
    </row>
    <row r="105" spans="1:11" ht="18" customHeight="1" x14ac:dyDescent="0.3">
      <c r="A105" s="15" t="s">
        <v>131</v>
      </c>
      <c r="B105" s="30" t="s">
        <v>132</v>
      </c>
      <c r="C105" s="31"/>
      <c r="D105" s="4"/>
      <c r="E105" s="4"/>
      <c r="F105" s="4"/>
      <c r="G105" s="4"/>
      <c r="H105" s="4"/>
      <c r="I105" s="3"/>
      <c r="J105" s="3"/>
      <c r="K105" s="3"/>
    </row>
    <row r="106" spans="1:11" ht="18" customHeight="1" x14ac:dyDescent="0.3">
      <c r="B106" s="27" t="s">
        <v>85</v>
      </c>
      <c r="C106" s="16" t="s">
        <v>81</v>
      </c>
      <c r="D106" s="17"/>
      <c r="E106" s="18"/>
      <c r="F106" s="19"/>
      <c r="G106" s="19"/>
      <c r="H106" s="19"/>
      <c r="I106" s="19"/>
      <c r="J106" s="19"/>
      <c r="K106" s="20"/>
    </row>
    <row r="107" spans="1:11" ht="18" customHeight="1" x14ac:dyDescent="0.3">
      <c r="B107" s="29"/>
      <c r="C107" s="12" t="s">
        <v>105</v>
      </c>
      <c r="D107" s="9"/>
      <c r="E107" s="10"/>
      <c r="F107" s="11"/>
      <c r="G107" s="11"/>
      <c r="H107" s="11"/>
      <c r="I107" s="11"/>
      <c r="J107" s="11"/>
      <c r="K107" s="11"/>
    </row>
    <row r="108" spans="1:11" ht="18" customHeight="1" x14ac:dyDescent="0.3">
      <c r="B108" s="29"/>
      <c r="C108" s="12" t="s">
        <v>106</v>
      </c>
      <c r="D108" s="9"/>
      <c r="E108" s="10"/>
      <c r="F108" s="11"/>
      <c r="G108" s="11"/>
      <c r="H108" s="11"/>
      <c r="I108" s="11"/>
      <c r="J108" s="11"/>
      <c r="K108" s="11"/>
    </row>
    <row r="109" spans="1:11" ht="18" customHeight="1" x14ac:dyDescent="0.3">
      <c r="B109" s="29"/>
      <c r="C109" s="12" t="s">
        <v>107</v>
      </c>
      <c r="D109" s="9"/>
      <c r="E109" s="10"/>
      <c r="F109" s="11"/>
      <c r="G109" s="11"/>
      <c r="H109" s="11"/>
      <c r="I109" s="11"/>
      <c r="J109" s="11"/>
      <c r="K109" s="11"/>
    </row>
    <row r="110" spans="1:11" ht="18" customHeight="1" x14ac:dyDescent="0.3">
      <c r="B110" s="29"/>
      <c r="C110" s="12" t="s">
        <v>108</v>
      </c>
      <c r="D110" s="9"/>
      <c r="E110" s="10"/>
      <c r="F110" s="11"/>
      <c r="G110" s="11"/>
      <c r="H110" s="11"/>
      <c r="I110" s="11"/>
      <c r="J110" s="11"/>
      <c r="K110" s="11"/>
    </row>
    <row r="111" spans="1:11" ht="18" customHeight="1" x14ac:dyDescent="0.3">
      <c r="B111" s="29"/>
      <c r="C111" s="16" t="s">
        <v>82</v>
      </c>
      <c r="D111" s="17"/>
      <c r="E111" s="18"/>
      <c r="F111" s="19"/>
      <c r="G111" s="19"/>
      <c r="H111" s="19"/>
      <c r="I111" s="19"/>
      <c r="J111" s="19"/>
      <c r="K111" s="20"/>
    </row>
    <row r="112" spans="1:11" ht="18" customHeight="1" x14ac:dyDescent="0.3">
      <c r="B112" s="29"/>
      <c r="C112" s="12" t="s">
        <v>109</v>
      </c>
      <c r="D112" s="9"/>
      <c r="E112" s="10"/>
      <c r="F112" s="11"/>
      <c r="G112" s="11"/>
      <c r="H112" s="11"/>
      <c r="I112" s="11"/>
      <c r="J112" s="11"/>
      <c r="K112" s="11"/>
    </row>
    <row r="113" spans="2:11" ht="18" customHeight="1" x14ac:dyDescent="0.3">
      <c r="B113" s="29"/>
      <c r="C113" s="12" t="s">
        <v>110</v>
      </c>
      <c r="D113" s="9"/>
      <c r="E113" s="10"/>
      <c r="F113" s="11"/>
      <c r="G113" s="11"/>
      <c r="H113" s="11"/>
      <c r="I113" s="11"/>
      <c r="J113" s="11"/>
      <c r="K113" s="11"/>
    </row>
    <row r="114" spans="2:11" ht="18" customHeight="1" x14ac:dyDescent="0.3">
      <c r="B114" s="29"/>
      <c r="C114" s="12" t="s">
        <v>111</v>
      </c>
      <c r="D114" s="9"/>
      <c r="E114" s="10"/>
      <c r="F114" s="11"/>
      <c r="G114" s="11"/>
      <c r="H114" s="11"/>
      <c r="I114" s="11"/>
      <c r="J114" s="11"/>
      <c r="K114" s="11"/>
    </row>
    <row r="115" spans="2:11" ht="18" customHeight="1" x14ac:dyDescent="0.3">
      <c r="B115" s="29"/>
      <c r="C115" s="16" t="s">
        <v>83</v>
      </c>
      <c r="D115" s="17"/>
      <c r="E115" s="18"/>
      <c r="F115" s="19"/>
      <c r="G115" s="19"/>
      <c r="H115" s="19"/>
      <c r="I115" s="19"/>
      <c r="J115" s="19"/>
      <c r="K115" s="20"/>
    </row>
    <row r="116" spans="2:11" ht="18" customHeight="1" x14ac:dyDescent="0.3">
      <c r="B116" s="29"/>
      <c r="C116" s="12" t="s">
        <v>112</v>
      </c>
      <c r="D116" s="9"/>
      <c r="E116" s="10"/>
      <c r="F116" s="11"/>
      <c r="G116" s="11"/>
      <c r="H116" s="11"/>
      <c r="I116" s="11"/>
      <c r="J116" s="11"/>
      <c r="K116" s="11"/>
    </row>
    <row r="117" spans="2:11" ht="18" customHeight="1" x14ac:dyDescent="0.3">
      <c r="B117" s="29"/>
      <c r="C117" s="12" t="s">
        <v>113</v>
      </c>
      <c r="D117" s="9"/>
      <c r="E117" s="10"/>
      <c r="F117" s="11"/>
      <c r="G117" s="11"/>
      <c r="H117" s="11"/>
      <c r="I117" s="11"/>
      <c r="J117" s="11"/>
      <c r="K117" s="11"/>
    </row>
    <row r="118" spans="2:11" ht="18" customHeight="1" x14ac:dyDescent="0.3">
      <c r="B118" s="29"/>
      <c r="C118" s="12" t="s">
        <v>114</v>
      </c>
      <c r="D118" s="9"/>
      <c r="E118" s="10"/>
      <c r="F118" s="11"/>
      <c r="G118" s="11"/>
      <c r="H118" s="11"/>
      <c r="I118" s="11"/>
      <c r="J118" s="11"/>
      <c r="K118" s="11"/>
    </row>
    <row r="119" spans="2:11" ht="18" customHeight="1" x14ac:dyDescent="0.3">
      <c r="B119" s="29"/>
      <c r="C119" s="12" t="s">
        <v>115</v>
      </c>
      <c r="D119" s="9"/>
      <c r="E119" s="10"/>
      <c r="F119" s="11"/>
      <c r="G119" s="11"/>
      <c r="H119" s="11"/>
      <c r="I119" s="11"/>
      <c r="J119" s="11"/>
      <c r="K119" s="11"/>
    </row>
    <row r="120" spans="2:11" ht="18" customHeight="1" x14ac:dyDescent="0.3">
      <c r="B120" s="29"/>
      <c r="C120" s="16" t="s">
        <v>84</v>
      </c>
      <c r="D120" s="17"/>
      <c r="E120" s="18"/>
      <c r="F120" s="19"/>
      <c r="G120" s="19"/>
      <c r="H120" s="19"/>
      <c r="I120" s="19"/>
      <c r="J120" s="19"/>
      <c r="K120" s="20"/>
    </row>
    <row r="121" spans="2:11" ht="18" customHeight="1" x14ac:dyDescent="0.3">
      <c r="B121" s="29"/>
      <c r="C121" s="12" t="s">
        <v>116</v>
      </c>
      <c r="D121" s="9"/>
      <c r="E121" s="10"/>
      <c r="F121" s="11"/>
      <c r="G121" s="11"/>
      <c r="H121" s="11"/>
      <c r="I121" s="11"/>
      <c r="J121" s="11"/>
      <c r="K121" s="11"/>
    </row>
    <row r="122" spans="2:11" ht="18" customHeight="1" x14ac:dyDescent="0.3">
      <c r="B122" s="29"/>
      <c r="C122" s="12" t="s">
        <v>117</v>
      </c>
      <c r="D122" s="9"/>
      <c r="E122" s="10"/>
      <c r="F122" s="11"/>
      <c r="G122" s="11"/>
      <c r="H122" s="11"/>
      <c r="I122" s="11"/>
      <c r="J122" s="11"/>
      <c r="K122" s="11"/>
    </row>
    <row r="123" spans="2:11" ht="18" customHeight="1" x14ac:dyDescent="0.3">
      <c r="B123" s="29"/>
      <c r="C123" s="12" t="s">
        <v>118</v>
      </c>
      <c r="D123" s="9"/>
      <c r="E123" s="10"/>
      <c r="F123" s="11"/>
      <c r="G123" s="11"/>
      <c r="H123" s="11"/>
      <c r="I123" s="11"/>
      <c r="J123" s="11"/>
      <c r="K123" s="11"/>
    </row>
    <row r="124" spans="2:11" ht="18" customHeight="1" x14ac:dyDescent="0.3">
      <c r="B124" s="29"/>
      <c r="C124" s="12" t="s">
        <v>119</v>
      </c>
      <c r="D124" s="9"/>
      <c r="E124" s="10"/>
      <c r="F124" s="11"/>
      <c r="G124" s="11"/>
      <c r="H124" s="11"/>
      <c r="I124" s="11"/>
      <c r="J124" s="11"/>
      <c r="K124" s="11"/>
    </row>
  </sheetData>
  <mergeCells count="40">
    <mergeCell ref="A8:A9"/>
    <mergeCell ref="B6:K6"/>
    <mergeCell ref="B21:B22"/>
    <mergeCell ref="B10:C10"/>
    <mergeCell ref="B20:C20"/>
    <mergeCell ref="B23:C23"/>
    <mergeCell ref="D8:E8"/>
    <mergeCell ref="F8:G8"/>
    <mergeCell ref="H8:I8"/>
    <mergeCell ref="J8:K8"/>
    <mergeCell ref="B11:B12"/>
    <mergeCell ref="B13:B16"/>
    <mergeCell ref="B17:B19"/>
    <mergeCell ref="B33:B37"/>
    <mergeCell ref="B38:B44"/>
    <mergeCell ref="B45:C45"/>
    <mergeCell ref="B24:B26"/>
    <mergeCell ref="B32:C32"/>
    <mergeCell ref="B28:B31"/>
    <mergeCell ref="B71:C71"/>
    <mergeCell ref="B76:C76"/>
    <mergeCell ref="B80:C80"/>
    <mergeCell ref="B72:B74"/>
    <mergeCell ref="B77:B79"/>
    <mergeCell ref="B46:B51"/>
    <mergeCell ref="B53:B54"/>
    <mergeCell ref="B56:B58"/>
    <mergeCell ref="B59:B67"/>
    <mergeCell ref="B68:B70"/>
    <mergeCell ref="B52:C52"/>
    <mergeCell ref="B55:C55"/>
    <mergeCell ref="B81:B82"/>
    <mergeCell ref="B84:B87"/>
    <mergeCell ref="B89:B97"/>
    <mergeCell ref="B99:B104"/>
    <mergeCell ref="B106:B124"/>
    <mergeCell ref="B83:C83"/>
    <mergeCell ref="B88:C88"/>
    <mergeCell ref="B98:C98"/>
    <mergeCell ref="B105:C10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BW120"/>
  <sheetViews>
    <sheetView workbookViewId="0">
      <selection activeCell="F10" sqref="F10"/>
    </sheetView>
  </sheetViews>
  <sheetFormatPr baseColWidth="10" defaultRowHeight="14.4" x14ac:dyDescent="0.3"/>
  <cols>
    <col min="6" max="6" width="10.109375" customWidth="1"/>
    <col min="7" max="7" width="10.5546875" customWidth="1"/>
    <col min="8" max="8" width="38.33203125" customWidth="1"/>
    <col min="9" max="9" width="35.33203125" customWidth="1"/>
    <col min="10" max="10" width="34.44140625" customWidth="1"/>
    <col min="11" max="11" width="34.5546875" customWidth="1"/>
    <col min="12" max="12" width="39.88671875" customWidth="1"/>
    <col min="13" max="13" width="42" customWidth="1"/>
  </cols>
  <sheetData>
    <row r="2" spans="1:75" s="49" customFormat="1" x14ac:dyDescent="0.3"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</row>
    <row r="3" spans="1:75" s="49" customFormat="1" x14ac:dyDescent="0.3">
      <c r="M3" s="5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1"/>
      <c r="BC3" s="51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</row>
    <row r="4" spans="1:75" s="54" customFormat="1" ht="23.4" x14ac:dyDescent="0.3">
      <c r="A4" s="52" t="s">
        <v>4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</row>
    <row r="5" spans="1:75" s="49" customFormat="1" x14ac:dyDescent="0.3">
      <c r="A5" s="55" t="s">
        <v>140</v>
      </c>
      <c r="B5" s="56"/>
      <c r="C5" s="57"/>
      <c r="D5" s="57"/>
      <c r="E5" s="58"/>
      <c r="J5" s="59" t="s">
        <v>141</v>
      </c>
      <c r="M5" s="50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</row>
    <row r="6" spans="1:75" s="49" customFormat="1" x14ac:dyDescent="0.3">
      <c r="A6" s="55" t="s">
        <v>142</v>
      </c>
      <c r="B6" s="56"/>
      <c r="C6" s="57"/>
      <c r="D6" s="57"/>
      <c r="E6" s="58"/>
      <c r="J6" s="59" t="s">
        <v>143</v>
      </c>
      <c r="M6" s="50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</row>
    <row r="7" spans="1:75" s="49" customFormat="1" x14ac:dyDescent="0.3">
      <c r="B7" s="56"/>
      <c r="C7" s="57"/>
      <c r="D7" s="57"/>
      <c r="E7" s="58"/>
      <c r="M7" s="50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</row>
    <row r="8" spans="1:75" s="49" customFormat="1" ht="18.899999999999999" customHeight="1" x14ac:dyDescent="0.3">
      <c r="B8" s="56"/>
      <c r="C8" s="57"/>
      <c r="D8" s="57"/>
      <c r="E8" s="58"/>
      <c r="F8" s="60" t="s">
        <v>17</v>
      </c>
      <c r="G8" s="60"/>
      <c r="H8" s="60" t="s">
        <v>18</v>
      </c>
      <c r="I8" s="60"/>
      <c r="J8" s="60" t="s">
        <v>19</v>
      </c>
      <c r="K8" s="60"/>
      <c r="L8" s="60" t="s">
        <v>20</v>
      </c>
      <c r="M8" s="60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1"/>
      <c r="BO8" s="51"/>
      <c r="BP8" s="51"/>
      <c r="BQ8" s="51"/>
      <c r="BR8" s="51"/>
      <c r="BS8" s="51"/>
      <c r="BT8" s="51"/>
      <c r="BU8" s="51"/>
      <c r="BV8" s="51"/>
      <c r="BW8" s="51"/>
    </row>
    <row r="9" spans="1:75" s="49" customFormat="1" ht="18.899999999999999" customHeight="1" x14ac:dyDescent="0.3">
      <c r="B9" s="56"/>
      <c r="C9" s="57"/>
      <c r="D9" s="57"/>
      <c r="E9" s="58"/>
      <c r="F9" s="61" t="s">
        <v>144</v>
      </c>
      <c r="G9" s="61" t="s">
        <v>145</v>
      </c>
      <c r="H9" s="61" t="s">
        <v>144</v>
      </c>
      <c r="I9" s="61" t="s">
        <v>145</v>
      </c>
      <c r="J9" s="61" t="s">
        <v>144</v>
      </c>
      <c r="K9" s="61" t="s">
        <v>145</v>
      </c>
      <c r="L9" s="61" t="s">
        <v>144</v>
      </c>
      <c r="M9" s="62" t="s">
        <v>145</v>
      </c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1"/>
      <c r="BO9" s="51"/>
      <c r="BP9" s="51"/>
      <c r="BQ9" s="51"/>
      <c r="BR9" s="51"/>
      <c r="BS9" s="51"/>
      <c r="BT9" s="51"/>
      <c r="BU9" s="51"/>
      <c r="BV9" s="51"/>
      <c r="BW9" s="51"/>
    </row>
    <row r="10" spans="1:75" ht="15.6" x14ac:dyDescent="0.3">
      <c r="A10" s="63" t="s">
        <v>5</v>
      </c>
      <c r="B10" s="63"/>
      <c r="C10" s="63"/>
      <c r="D10" s="63"/>
      <c r="E10" s="63"/>
      <c r="F10" s="49">
        <f t="array" aca="1" ref="F10" ca="1">F10:K36</f>
        <v>0</v>
      </c>
      <c r="G10" s="49"/>
      <c r="H10" s="49"/>
      <c r="I10" s="49"/>
      <c r="J10" s="49"/>
      <c r="K10" s="49"/>
      <c r="L10" s="49"/>
      <c r="M10" s="50"/>
    </row>
    <row r="11" spans="1:75" ht="15.6" x14ac:dyDescent="0.3">
      <c r="A11" s="64"/>
      <c r="B11" s="65" t="s">
        <v>9</v>
      </c>
      <c r="C11" s="66"/>
      <c r="D11" s="66"/>
      <c r="E11" s="66"/>
      <c r="F11" s="49"/>
      <c r="G11" s="49"/>
      <c r="H11" s="49" t="s">
        <v>146</v>
      </c>
      <c r="I11" s="49" t="s">
        <v>147</v>
      </c>
      <c r="J11" s="49" t="s">
        <v>146</v>
      </c>
      <c r="K11" s="49" t="s">
        <v>147</v>
      </c>
      <c r="L11" s="49" t="s">
        <v>146</v>
      </c>
      <c r="M11" s="49" t="s">
        <v>147</v>
      </c>
    </row>
    <row r="12" spans="1:75" ht="15.6" x14ac:dyDescent="0.3">
      <c r="A12" s="64"/>
      <c r="B12" s="67" t="s">
        <v>10</v>
      </c>
      <c r="C12" s="68"/>
      <c r="D12" s="68"/>
      <c r="E12" s="69"/>
      <c r="F12" s="49"/>
      <c r="G12" s="49"/>
      <c r="H12" s="49" t="s">
        <v>148</v>
      </c>
      <c r="I12" s="49" t="s">
        <v>149</v>
      </c>
      <c r="J12" s="49" t="s">
        <v>148</v>
      </c>
      <c r="K12" s="49" t="s">
        <v>149</v>
      </c>
      <c r="L12" s="49" t="s">
        <v>148</v>
      </c>
      <c r="M12" s="49" t="s">
        <v>149</v>
      </c>
    </row>
    <row r="13" spans="1:75" x14ac:dyDescent="0.3">
      <c r="A13" s="70" t="s">
        <v>7</v>
      </c>
      <c r="B13" s="71" t="s">
        <v>150</v>
      </c>
      <c r="C13" s="72"/>
      <c r="D13" s="72"/>
      <c r="E13" s="73"/>
      <c r="F13" s="74" t="e">
        <f>H13+J13+L13</f>
        <v>#VALUE!</v>
      </c>
      <c r="G13" s="74" t="e">
        <f>I13+K13+M13</f>
        <v>#VALUE!</v>
      </c>
      <c r="H13" s="75" t="s">
        <v>151</v>
      </c>
      <c r="I13" s="74" t="s">
        <v>152</v>
      </c>
      <c r="J13" s="74" t="s">
        <v>151</v>
      </c>
      <c r="K13" s="74" t="s">
        <v>152</v>
      </c>
      <c r="L13" s="74" t="s">
        <v>151</v>
      </c>
      <c r="M13" s="76" t="s">
        <v>152</v>
      </c>
    </row>
    <row r="14" spans="1:75" x14ac:dyDescent="0.3">
      <c r="A14" s="70"/>
      <c r="B14" s="71" t="s">
        <v>12</v>
      </c>
      <c r="C14" s="72"/>
      <c r="D14" s="72"/>
      <c r="E14" s="73"/>
      <c r="F14" s="74" t="e">
        <f t="shared" ref="F14:G19" si="0">H14+J14+L14</f>
        <v>#VALUE!</v>
      </c>
      <c r="G14" s="74" t="e">
        <f t="shared" si="0"/>
        <v>#VALUE!</v>
      </c>
      <c r="H14" s="74" t="s">
        <v>153</v>
      </c>
      <c r="I14" s="74" t="s">
        <v>154</v>
      </c>
      <c r="J14" s="74" t="s">
        <v>153</v>
      </c>
      <c r="K14" s="74" t="s">
        <v>154</v>
      </c>
      <c r="L14" s="74" t="s">
        <v>153</v>
      </c>
      <c r="M14" s="76" t="s">
        <v>154</v>
      </c>
    </row>
    <row r="15" spans="1:75" x14ac:dyDescent="0.3">
      <c r="A15" s="70"/>
      <c r="B15" s="71" t="s">
        <v>13</v>
      </c>
      <c r="C15" s="72"/>
      <c r="D15" s="72"/>
      <c r="E15" s="73"/>
      <c r="F15" s="74" t="e">
        <f t="shared" si="0"/>
        <v>#VALUE!</v>
      </c>
      <c r="G15" s="74" t="e">
        <f t="shared" si="0"/>
        <v>#VALUE!</v>
      </c>
      <c r="H15" s="74" t="s">
        <v>155</v>
      </c>
      <c r="I15" s="74" t="s">
        <v>156</v>
      </c>
      <c r="J15" s="74" t="s">
        <v>155</v>
      </c>
      <c r="K15" s="74" t="s">
        <v>156</v>
      </c>
      <c r="L15" s="74" t="s">
        <v>155</v>
      </c>
      <c r="M15" s="76" t="s">
        <v>156</v>
      </c>
    </row>
    <row r="16" spans="1:75" x14ac:dyDescent="0.3">
      <c r="A16" s="70"/>
      <c r="B16" s="71" t="s">
        <v>14</v>
      </c>
      <c r="C16" s="72"/>
      <c r="D16" s="72"/>
      <c r="E16" s="73"/>
      <c r="F16" s="74" t="e">
        <f t="shared" si="0"/>
        <v>#VALUE!</v>
      </c>
      <c r="G16" s="74" t="e">
        <f t="shared" si="0"/>
        <v>#VALUE!</v>
      </c>
      <c r="H16" s="74" t="s">
        <v>157</v>
      </c>
      <c r="I16" s="74" t="s">
        <v>158</v>
      </c>
      <c r="J16" s="74" t="s">
        <v>157</v>
      </c>
      <c r="K16" s="74" t="s">
        <v>158</v>
      </c>
      <c r="L16" s="74" t="s">
        <v>157</v>
      </c>
      <c r="M16" s="76" t="s">
        <v>158</v>
      </c>
    </row>
    <row r="17" spans="1:13" x14ac:dyDescent="0.3">
      <c r="A17" s="70" t="s">
        <v>159</v>
      </c>
      <c r="B17" s="71" t="s">
        <v>160</v>
      </c>
      <c r="C17" s="72"/>
      <c r="D17" s="72"/>
      <c r="E17" s="73"/>
      <c r="F17" s="74" t="e">
        <f>H17+J17+L17</f>
        <v>#VALUE!</v>
      </c>
      <c r="G17" s="74" t="e">
        <f t="shared" si="0"/>
        <v>#VALUE!</v>
      </c>
      <c r="H17" s="74" t="s">
        <v>161</v>
      </c>
      <c r="I17" s="74" t="s">
        <v>162</v>
      </c>
      <c r="J17" s="74" t="s">
        <v>161</v>
      </c>
      <c r="K17" s="74" t="s">
        <v>162</v>
      </c>
      <c r="L17" s="74" t="s">
        <v>161</v>
      </c>
      <c r="M17" s="76" t="s">
        <v>162</v>
      </c>
    </row>
    <row r="18" spans="1:13" x14ac:dyDescent="0.3">
      <c r="A18" s="70"/>
      <c r="B18" s="71" t="s">
        <v>15</v>
      </c>
      <c r="C18" s="72"/>
      <c r="D18" s="72"/>
      <c r="E18" s="73"/>
      <c r="F18" s="74" t="e">
        <f>H18+J18+L18</f>
        <v>#VALUE!</v>
      </c>
      <c r="G18" s="74" t="e">
        <f t="shared" si="0"/>
        <v>#VALUE!</v>
      </c>
      <c r="H18" s="74" t="s">
        <v>163</v>
      </c>
      <c r="I18" s="74" t="s">
        <v>164</v>
      </c>
      <c r="J18" s="74" t="s">
        <v>163</v>
      </c>
      <c r="K18" s="74" t="s">
        <v>164</v>
      </c>
      <c r="L18" s="74" t="s">
        <v>163</v>
      </c>
      <c r="M18" s="76" t="s">
        <v>164</v>
      </c>
    </row>
    <row r="19" spans="1:13" x14ac:dyDescent="0.3">
      <c r="A19" s="70"/>
      <c r="B19" s="71" t="s">
        <v>16</v>
      </c>
      <c r="C19" s="72"/>
      <c r="D19" s="72"/>
      <c r="E19" s="73"/>
      <c r="F19" s="74" t="e">
        <f>H19+J19+L19</f>
        <v>#VALUE!</v>
      </c>
      <c r="G19" s="74" t="e">
        <f t="shared" si="0"/>
        <v>#VALUE!</v>
      </c>
      <c r="H19" s="74" t="s">
        <v>165</v>
      </c>
      <c r="I19" s="74" t="s">
        <v>166</v>
      </c>
      <c r="J19" s="74" t="s">
        <v>165</v>
      </c>
      <c r="K19" s="74" t="s">
        <v>166</v>
      </c>
      <c r="L19" s="74" t="s">
        <v>165</v>
      </c>
      <c r="M19" s="76" t="s">
        <v>166</v>
      </c>
    </row>
    <row r="20" spans="1:13" ht="15.6" x14ac:dyDescent="0.3">
      <c r="A20" s="63" t="s">
        <v>23</v>
      </c>
      <c r="B20" s="63"/>
      <c r="C20" s="63"/>
      <c r="D20" s="63"/>
      <c r="E20" s="63"/>
    </row>
    <row r="21" spans="1:13" x14ac:dyDescent="0.3">
      <c r="A21" s="77"/>
      <c r="B21" s="78" t="s">
        <v>24</v>
      </c>
      <c r="C21" s="78"/>
      <c r="D21" s="78"/>
      <c r="E21" s="78"/>
      <c r="F21" s="74" t="e">
        <f>H21+J21+L21</f>
        <v>#VALUE!</v>
      </c>
      <c r="G21" s="74" t="e">
        <f>I21+K21+M21</f>
        <v>#VALUE!</v>
      </c>
      <c r="H21" s="74" t="s">
        <v>167</v>
      </c>
      <c r="I21" s="74" t="s">
        <v>168</v>
      </c>
      <c r="J21" s="74" t="s">
        <v>167</v>
      </c>
      <c r="K21" s="74" t="s">
        <v>168</v>
      </c>
      <c r="L21" s="74" t="s">
        <v>167</v>
      </c>
      <c r="M21" s="74" t="s">
        <v>168</v>
      </c>
    </row>
    <row r="22" spans="1:13" x14ac:dyDescent="0.3">
      <c r="A22" s="77"/>
      <c r="B22" s="78" t="s">
        <v>25</v>
      </c>
      <c r="C22" s="78"/>
      <c r="D22" s="78"/>
      <c r="E22" s="78"/>
      <c r="F22" s="74" t="e">
        <f>H22+J22+L22</f>
        <v>#VALUE!</v>
      </c>
      <c r="G22" s="74" t="e">
        <f>I22+K22+M22</f>
        <v>#VALUE!</v>
      </c>
      <c r="H22" s="74" t="s">
        <v>169</v>
      </c>
      <c r="I22" s="74" t="s">
        <v>170</v>
      </c>
      <c r="J22" s="74" t="s">
        <v>169</v>
      </c>
      <c r="K22" s="74" t="s">
        <v>170</v>
      </c>
      <c r="L22" s="74" t="s">
        <v>169</v>
      </c>
      <c r="M22" s="74" t="s">
        <v>170</v>
      </c>
    </row>
    <row r="23" spans="1:13" ht="15.6" x14ac:dyDescent="0.3">
      <c r="A23" s="79" t="s">
        <v>171</v>
      </c>
      <c r="B23" s="80"/>
      <c r="C23" s="80"/>
      <c r="D23" s="80"/>
      <c r="E23" s="80"/>
    </row>
    <row r="24" spans="1:13" x14ac:dyDescent="0.3">
      <c r="A24" s="70" t="s">
        <v>30</v>
      </c>
      <c r="B24" s="81" t="s">
        <v>27</v>
      </c>
      <c r="C24" s="82"/>
      <c r="D24" s="82"/>
      <c r="E24" s="83"/>
      <c r="F24" s="74" t="e">
        <f t="shared" ref="F24:G27" si="1">H24+J24+L24</f>
        <v>#VALUE!</v>
      </c>
      <c r="G24" s="74" t="e">
        <f t="shared" si="1"/>
        <v>#VALUE!</v>
      </c>
      <c r="H24" s="74" t="s">
        <v>172</v>
      </c>
      <c r="I24" s="74" t="s">
        <v>173</v>
      </c>
      <c r="J24" s="74" t="s">
        <v>172</v>
      </c>
      <c r="K24" s="74" t="s">
        <v>173</v>
      </c>
      <c r="L24" s="74" t="s">
        <v>174</v>
      </c>
      <c r="M24" s="76" t="s">
        <v>175</v>
      </c>
    </row>
    <row r="25" spans="1:13" x14ac:dyDescent="0.3">
      <c r="A25" s="70"/>
      <c r="B25" s="81" t="s">
        <v>28</v>
      </c>
      <c r="C25" s="82"/>
      <c r="D25" s="82"/>
      <c r="E25" s="83"/>
      <c r="F25" s="74" t="e">
        <f t="shared" si="1"/>
        <v>#VALUE!</v>
      </c>
      <c r="G25" s="74" t="e">
        <f t="shared" si="1"/>
        <v>#VALUE!</v>
      </c>
      <c r="H25" s="74" t="s">
        <v>176</v>
      </c>
      <c r="I25" s="74" t="s">
        <v>177</v>
      </c>
      <c r="J25" s="74" t="s">
        <v>176</v>
      </c>
      <c r="K25" s="74" t="s">
        <v>177</v>
      </c>
      <c r="L25" s="74" t="s">
        <v>176</v>
      </c>
      <c r="M25" s="76" t="s">
        <v>177</v>
      </c>
    </row>
    <row r="26" spans="1:13" x14ac:dyDescent="0.3">
      <c r="A26" s="70"/>
      <c r="B26" s="84" t="s">
        <v>29</v>
      </c>
      <c r="C26" s="85"/>
      <c r="D26" s="85"/>
      <c r="E26" s="86"/>
      <c r="F26" s="74" t="e">
        <f t="shared" si="1"/>
        <v>#VALUE!</v>
      </c>
      <c r="G26" s="74" t="e">
        <f t="shared" si="1"/>
        <v>#VALUE!</v>
      </c>
      <c r="H26" s="75" t="s">
        <v>178</v>
      </c>
      <c r="I26" s="74" t="s">
        <v>179</v>
      </c>
      <c r="J26" s="74" t="s">
        <v>178</v>
      </c>
      <c r="K26" s="74" t="s">
        <v>179</v>
      </c>
      <c r="L26" s="74" t="s">
        <v>178</v>
      </c>
      <c r="M26" s="76" t="s">
        <v>179</v>
      </c>
    </row>
    <row r="27" spans="1:13" x14ac:dyDescent="0.3">
      <c r="A27" s="87" t="s">
        <v>180</v>
      </c>
      <c r="B27" s="84" t="s">
        <v>29</v>
      </c>
      <c r="C27" s="85"/>
      <c r="D27" s="85"/>
      <c r="E27" s="86"/>
      <c r="F27" s="74" t="e">
        <f t="shared" si="1"/>
        <v>#VALUE!</v>
      </c>
      <c r="G27" s="74" t="e">
        <f t="shared" si="1"/>
        <v>#VALUE!</v>
      </c>
      <c r="H27" s="74" t="s">
        <v>181</v>
      </c>
      <c r="I27" s="74" t="s">
        <v>182</v>
      </c>
      <c r="J27" s="74" t="s">
        <v>181</v>
      </c>
      <c r="K27" s="74" t="s">
        <v>182</v>
      </c>
      <c r="L27" s="74" t="s">
        <v>181</v>
      </c>
      <c r="M27" s="76" t="s">
        <v>182</v>
      </c>
    </row>
    <row r="28" spans="1:13" ht="15.6" x14ac:dyDescent="0.3">
      <c r="A28" s="88" t="s">
        <v>183</v>
      </c>
      <c r="B28" s="89"/>
      <c r="C28" s="89"/>
      <c r="D28" s="89"/>
      <c r="E28" s="89"/>
    </row>
    <row r="29" spans="1:13" x14ac:dyDescent="0.3">
      <c r="A29" s="70" t="s">
        <v>30</v>
      </c>
      <c r="B29" s="71" t="s">
        <v>32</v>
      </c>
      <c r="C29" s="72"/>
      <c r="D29" s="72"/>
      <c r="E29" s="73"/>
      <c r="F29" s="74" t="e">
        <f t="shared" ref="F29:G44" si="2">H29+J29+L29</f>
        <v>#VALUE!</v>
      </c>
      <c r="G29" s="74" t="e">
        <f t="shared" si="2"/>
        <v>#VALUE!</v>
      </c>
      <c r="H29" s="74" t="s">
        <v>184</v>
      </c>
      <c r="I29" s="74" t="s">
        <v>185</v>
      </c>
      <c r="J29" s="74" t="s">
        <v>186</v>
      </c>
      <c r="K29" s="74" t="s">
        <v>187</v>
      </c>
      <c r="L29" s="74" t="s">
        <v>186</v>
      </c>
      <c r="M29" s="76" t="s">
        <v>187</v>
      </c>
    </row>
    <row r="30" spans="1:13" x14ac:dyDescent="0.3">
      <c r="A30" s="70"/>
      <c r="B30" s="71" t="s">
        <v>188</v>
      </c>
      <c r="C30" s="72"/>
      <c r="D30" s="72"/>
      <c r="E30" s="73"/>
      <c r="F30" s="74" t="e">
        <f t="shared" si="2"/>
        <v>#VALUE!</v>
      </c>
      <c r="G30" s="74" t="e">
        <f t="shared" si="2"/>
        <v>#VALUE!</v>
      </c>
      <c r="H30" s="74" t="s">
        <v>189</v>
      </c>
      <c r="I30" s="74" t="s">
        <v>190</v>
      </c>
      <c r="J30" s="74" t="s">
        <v>191</v>
      </c>
      <c r="K30" s="74" t="s">
        <v>192</v>
      </c>
      <c r="L30" s="74" t="s">
        <v>191</v>
      </c>
      <c r="M30" s="76" t="s">
        <v>190</v>
      </c>
    </row>
    <row r="31" spans="1:13" x14ac:dyDescent="0.3">
      <c r="A31" s="70"/>
      <c r="B31" s="71" t="s">
        <v>34</v>
      </c>
      <c r="C31" s="72"/>
      <c r="D31" s="72"/>
      <c r="E31" s="73"/>
      <c r="F31" s="74" t="e">
        <f t="shared" si="2"/>
        <v>#VALUE!</v>
      </c>
      <c r="G31" s="74" t="e">
        <f t="shared" si="2"/>
        <v>#VALUE!</v>
      </c>
      <c r="H31" s="74" t="s">
        <v>193</v>
      </c>
      <c r="I31" s="74" t="s">
        <v>194</v>
      </c>
      <c r="J31" s="74" t="s">
        <v>193</v>
      </c>
      <c r="K31" s="74" t="s">
        <v>194</v>
      </c>
      <c r="L31" s="74" t="s">
        <v>193</v>
      </c>
      <c r="M31" s="76" t="s">
        <v>194</v>
      </c>
    </row>
    <row r="32" spans="1:13" x14ac:dyDescent="0.3">
      <c r="A32" s="70"/>
      <c r="B32" s="71" t="s">
        <v>35</v>
      </c>
      <c r="C32" s="72"/>
      <c r="D32" s="72"/>
      <c r="E32" s="73"/>
      <c r="F32" s="74" t="e">
        <f t="shared" si="2"/>
        <v>#VALUE!</v>
      </c>
      <c r="G32" s="74" t="e">
        <f t="shared" si="2"/>
        <v>#VALUE!</v>
      </c>
      <c r="H32" s="74" t="s">
        <v>195</v>
      </c>
      <c r="I32" s="74" t="s">
        <v>196</v>
      </c>
      <c r="J32" s="74" t="s">
        <v>195</v>
      </c>
      <c r="K32" s="74" t="s">
        <v>196</v>
      </c>
      <c r="L32" s="74" t="s">
        <v>195</v>
      </c>
      <c r="M32" s="76" t="s">
        <v>196</v>
      </c>
    </row>
    <row r="33" spans="1:13" x14ac:dyDescent="0.3">
      <c r="A33" s="70"/>
      <c r="B33" s="81" t="s">
        <v>197</v>
      </c>
      <c r="C33" s="82"/>
      <c r="D33" s="82"/>
      <c r="E33" s="83"/>
      <c r="F33" s="74" t="e">
        <f t="shared" si="2"/>
        <v>#VALUE!</v>
      </c>
      <c r="G33" s="74" t="e">
        <f t="shared" si="2"/>
        <v>#VALUE!</v>
      </c>
      <c r="H33" s="74" t="s">
        <v>198</v>
      </c>
      <c r="I33" s="74" t="s">
        <v>199</v>
      </c>
      <c r="J33" s="74" t="s">
        <v>200</v>
      </c>
      <c r="K33" s="74" t="s">
        <v>199</v>
      </c>
      <c r="L33" s="74" t="s">
        <v>200</v>
      </c>
      <c r="M33" s="76" t="s">
        <v>199</v>
      </c>
    </row>
    <row r="34" spans="1:13" x14ac:dyDescent="0.3">
      <c r="A34" s="90" t="s">
        <v>31</v>
      </c>
      <c r="B34" s="81" t="s">
        <v>32</v>
      </c>
      <c r="C34" s="82"/>
      <c r="D34" s="82"/>
      <c r="E34" s="83"/>
      <c r="F34" s="74" t="e">
        <f t="shared" si="2"/>
        <v>#VALUE!</v>
      </c>
      <c r="G34" s="74" t="e">
        <f t="shared" si="2"/>
        <v>#VALUE!</v>
      </c>
      <c r="H34" s="74" t="s">
        <v>201</v>
      </c>
      <c r="I34" s="74" t="s">
        <v>202</v>
      </c>
      <c r="J34" s="74" t="s">
        <v>201</v>
      </c>
      <c r="K34" s="74" t="s">
        <v>202</v>
      </c>
      <c r="L34" s="74" t="s">
        <v>201</v>
      </c>
      <c r="M34" s="76" t="s">
        <v>202</v>
      </c>
    </row>
    <row r="35" spans="1:13" x14ac:dyDescent="0.3">
      <c r="A35" s="91"/>
      <c r="B35" s="81" t="s">
        <v>188</v>
      </c>
      <c r="C35" s="82"/>
      <c r="D35" s="82"/>
      <c r="E35" s="83"/>
      <c r="F35" s="74" t="e">
        <f t="shared" si="2"/>
        <v>#VALUE!</v>
      </c>
      <c r="G35" s="74" t="e">
        <f t="shared" si="2"/>
        <v>#VALUE!</v>
      </c>
      <c r="H35" s="74" t="s">
        <v>203</v>
      </c>
      <c r="I35" s="74" t="s">
        <v>204</v>
      </c>
      <c r="J35" s="74" t="s">
        <v>203</v>
      </c>
      <c r="K35" s="74" t="s">
        <v>204</v>
      </c>
      <c r="L35" s="74" t="s">
        <v>203</v>
      </c>
      <c r="M35" s="76" t="s">
        <v>204</v>
      </c>
    </row>
    <row r="36" spans="1:13" x14ac:dyDescent="0.3">
      <c r="A36" s="91"/>
      <c r="B36" s="81" t="s">
        <v>34</v>
      </c>
      <c r="C36" s="82"/>
      <c r="D36" s="82"/>
      <c r="E36" s="83"/>
      <c r="F36" s="49"/>
      <c r="G36" s="49"/>
      <c r="H36" s="49"/>
      <c r="I36" s="49"/>
      <c r="J36" s="49"/>
      <c r="K36" s="49"/>
      <c r="L36" s="49"/>
      <c r="M36" s="50"/>
    </row>
    <row r="37" spans="1:13" x14ac:dyDescent="0.3">
      <c r="A37" s="91"/>
      <c r="B37" s="81" t="s">
        <v>37</v>
      </c>
      <c r="C37" s="82"/>
      <c r="D37" s="82"/>
      <c r="E37" s="83"/>
      <c r="F37" s="74" t="e">
        <f t="shared" si="2"/>
        <v>#VALUE!</v>
      </c>
      <c r="G37" s="74" t="e">
        <f t="shared" si="2"/>
        <v>#VALUE!</v>
      </c>
      <c r="H37" s="74" t="s">
        <v>205</v>
      </c>
      <c r="I37" s="74" t="s">
        <v>206</v>
      </c>
      <c r="J37" s="74" t="s">
        <v>205</v>
      </c>
      <c r="K37" s="74" t="s">
        <v>206</v>
      </c>
      <c r="L37" s="74" t="s">
        <v>205</v>
      </c>
      <c r="M37" s="76" t="s">
        <v>206</v>
      </c>
    </row>
    <row r="38" spans="1:13" x14ac:dyDescent="0.3">
      <c r="A38" s="91"/>
      <c r="B38" s="81" t="s">
        <v>207</v>
      </c>
      <c r="C38" s="82"/>
      <c r="D38" s="82"/>
      <c r="E38" s="83"/>
      <c r="F38" s="74" t="e">
        <f t="shared" si="2"/>
        <v>#VALUE!</v>
      </c>
      <c r="G38" s="74" t="e">
        <f t="shared" si="2"/>
        <v>#VALUE!</v>
      </c>
      <c r="H38" s="74" t="s">
        <v>208</v>
      </c>
      <c r="I38" s="74" t="s">
        <v>209</v>
      </c>
      <c r="J38" s="74" t="s">
        <v>210</v>
      </c>
      <c r="K38" s="74" t="s">
        <v>211</v>
      </c>
      <c r="L38" s="74" t="s">
        <v>210</v>
      </c>
      <c r="M38" s="76" t="s">
        <v>211</v>
      </c>
    </row>
    <row r="39" spans="1:13" x14ac:dyDescent="0.3">
      <c r="A39" s="91"/>
      <c r="B39" s="81" t="s">
        <v>39</v>
      </c>
      <c r="C39" s="82"/>
      <c r="D39" s="82"/>
      <c r="E39" s="83"/>
      <c r="F39" s="74" t="e">
        <f t="shared" si="2"/>
        <v>#VALUE!</v>
      </c>
      <c r="G39" s="74" t="e">
        <f t="shared" si="2"/>
        <v>#VALUE!</v>
      </c>
      <c r="H39" s="74" t="s">
        <v>212</v>
      </c>
      <c r="I39" s="74" t="s">
        <v>213</v>
      </c>
      <c r="J39" s="74" t="s">
        <v>212</v>
      </c>
      <c r="K39" s="74" t="s">
        <v>213</v>
      </c>
      <c r="L39" s="74" t="s">
        <v>212</v>
      </c>
      <c r="M39" s="76" t="s">
        <v>213</v>
      </c>
    </row>
    <row r="40" spans="1:13" x14ac:dyDescent="0.3">
      <c r="A40" s="91"/>
      <c r="B40" s="81" t="s">
        <v>35</v>
      </c>
      <c r="C40" s="82"/>
      <c r="D40" s="82"/>
      <c r="E40" s="83"/>
      <c r="F40" s="74" t="e">
        <f t="shared" si="2"/>
        <v>#VALUE!</v>
      </c>
      <c r="G40" s="74" t="e">
        <f t="shared" si="2"/>
        <v>#VALUE!</v>
      </c>
      <c r="H40" s="74" t="s">
        <v>214</v>
      </c>
      <c r="I40" s="74" t="s">
        <v>215</v>
      </c>
      <c r="J40" s="74" t="s">
        <v>214</v>
      </c>
      <c r="K40" s="74" t="s">
        <v>215</v>
      </c>
      <c r="L40" s="74" t="s">
        <v>214</v>
      </c>
      <c r="M40" s="76" t="s">
        <v>215</v>
      </c>
    </row>
    <row r="41" spans="1:13" x14ac:dyDescent="0.3">
      <c r="A41" s="92"/>
      <c r="B41" s="81" t="s">
        <v>197</v>
      </c>
      <c r="C41" s="82"/>
      <c r="D41" s="82"/>
      <c r="E41" s="83"/>
      <c r="F41" s="74" t="e">
        <f t="shared" si="2"/>
        <v>#VALUE!</v>
      </c>
      <c r="G41" s="74" t="e">
        <f t="shared" si="2"/>
        <v>#VALUE!</v>
      </c>
      <c r="H41" s="74" t="s">
        <v>216</v>
      </c>
      <c r="I41" s="74" t="s">
        <v>217</v>
      </c>
      <c r="J41" s="74" t="s">
        <v>216</v>
      </c>
      <c r="K41" s="74" t="s">
        <v>217</v>
      </c>
      <c r="L41" s="74" t="s">
        <v>216</v>
      </c>
      <c r="M41" s="76" t="s">
        <v>217</v>
      </c>
    </row>
    <row r="42" spans="1:13" ht="15.6" x14ac:dyDescent="0.3">
      <c r="A42" s="93" t="s">
        <v>40</v>
      </c>
      <c r="B42" s="93"/>
      <c r="C42" s="93"/>
      <c r="D42" s="93"/>
      <c r="E42" s="93"/>
      <c r="F42" s="74">
        <f t="shared" si="2"/>
        <v>0</v>
      </c>
      <c r="G42" s="74">
        <f t="shared" si="2"/>
        <v>0</v>
      </c>
    </row>
    <row r="43" spans="1:13" ht="15.6" x14ac:dyDescent="0.3">
      <c r="A43" s="94"/>
      <c r="B43" s="95" t="s">
        <v>41</v>
      </c>
      <c r="C43" s="95"/>
      <c r="D43" s="95"/>
      <c r="E43" s="95"/>
      <c r="F43" s="74" t="e">
        <f t="shared" si="2"/>
        <v>#VALUE!</v>
      </c>
      <c r="G43" s="74" t="e">
        <f t="shared" si="2"/>
        <v>#VALUE!</v>
      </c>
      <c r="H43" s="74" t="s">
        <v>218</v>
      </c>
      <c r="I43" s="74" t="s">
        <v>219</v>
      </c>
      <c r="J43" s="74" t="s">
        <v>218</v>
      </c>
      <c r="K43" s="74" t="s">
        <v>219</v>
      </c>
      <c r="L43" s="74" t="s">
        <v>218</v>
      </c>
      <c r="M43" s="76" t="s">
        <v>219</v>
      </c>
    </row>
    <row r="44" spans="1:13" ht="15.6" x14ac:dyDescent="0.3">
      <c r="A44" s="94"/>
      <c r="B44" s="95" t="s">
        <v>220</v>
      </c>
      <c r="C44" s="95"/>
      <c r="D44" s="95"/>
      <c r="E44" s="95"/>
      <c r="F44" s="74" t="e">
        <f t="shared" si="2"/>
        <v>#VALUE!</v>
      </c>
      <c r="G44" s="74" t="e">
        <f t="shared" si="2"/>
        <v>#VALUE!</v>
      </c>
      <c r="H44" s="74" t="s">
        <v>221</v>
      </c>
      <c r="I44" s="74" t="s">
        <v>222</v>
      </c>
      <c r="J44" s="74" t="s">
        <v>223</v>
      </c>
      <c r="K44" s="74" t="s">
        <v>222</v>
      </c>
      <c r="L44" s="74" t="s">
        <v>223</v>
      </c>
      <c r="M44" s="76" t="s">
        <v>222</v>
      </c>
    </row>
    <row r="45" spans="1:13" ht="35.25" customHeight="1" x14ac:dyDescent="0.3">
      <c r="A45" s="94"/>
      <c r="B45" s="96" t="s">
        <v>224</v>
      </c>
      <c r="C45" s="96"/>
      <c r="D45" s="96"/>
      <c r="E45" s="96"/>
      <c r="F45" s="74" t="e">
        <f t="shared" ref="F45:G48" si="3">H45+J45+L45</f>
        <v>#VALUE!</v>
      </c>
      <c r="G45" s="74" t="e">
        <f t="shared" si="3"/>
        <v>#VALUE!</v>
      </c>
      <c r="H45" s="74" t="s">
        <v>225</v>
      </c>
      <c r="I45" s="74" t="s">
        <v>226</v>
      </c>
      <c r="J45" s="74" t="s">
        <v>227</v>
      </c>
      <c r="K45" s="74" t="s">
        <v>226</v>
      </c>
      <c r="L45" s="74" t="s">
        <v>227</v>
      </c>
      <c r="M45" s="76" t="s">
        <v>226</v>
      </c>
    </row>
    <row r="46" spans="1:13" ht="15.6" x14ac:dyDescent="0.3">
      <c r="A46" s="94"/>
      <c r="B46" s="95" t="s">
        <v>228</v>
      </c>
      <c r="C46" s="95"/>
      <c r="D46" s="95"/>
      <c r="E46" s="95"/>
      <c r="F46" s="74" t="e">
        <f t="shared" si="3"/>
        <v>#VALUE!</v>
      </c>
      <c r="G46" s="74" t="e">
        <f t="shared" si="3"/>
        <v>#VALUE!</v>
      </c>
      <c r="H46" s="74" t="s">
        <v>229</v>
      </c>
      <c r="I46" s="74" t="s">
        <v>230</v>
      </c>
      <c r="J46" s="74" t="s">
        <v>229</v>
      </c>
      <c r="K46" s="74" t="s">
        <v>230</v>
      </c>
      <c r="L46" s="74" t="s">
        <v>229</v>
      </c>
      <c r="M46" s="76" t="s">
        <v>230</v>
      </c>
    </row>
    <row r="47" spans="1:13" ht="15.6" x14ac:dyDescent="0.3">
      <c r="A47" s="94"/>
      <c r="B47" s="97" t="s">
        <v>231</v>
      </c>
      <c r="C47" s="98"/>
      <c r="D47" s="98"/>
      <c r="E47" s="98"/>
      <c r="F47" s="74" t="e">
        <f t="shared" si="3"/>
        <v>#VALUE!</v>
      </c>
      <c r="G47" s="74" t="e">
        <f t="shared" si="3"/>
        <v>#VALUE!</v>
      </c>
      <c r="H47" s="74" t="s">
        <v>232</v>
      </c>
      <c r="I47" s="74" t="s">
        <v>233</v>
      </c>
      <c r="J47" s="74" t="s">
        <v>232</v>
      </c>
      <c r="K47" s="74" t="s">
        <v>233</v>
      </c>
      <c r="L47" s="74" t="s">
        <v>232</v>
      </c>
      <c r="M47" s="76" t="s">
        <v>233</v>
      </c>
    </row>
    <row r="48" spans="1:13" ht="15.6" x14ac:dyDescent="0.3">
      <c r="A48" s="94"/>
      <c r="B48" s="99" t="s">
        <v>234</v>
      </c>
      <c r="C48" s="95"/>
      <c r="D48" s="95"/>
      <c r="E48" s="95"/>
      <c r="F48" s="74" t="e">
        <f t="shared" si="3"/>
        <v>#VALUE!</v>
      </c>
      <c r="G48" s="74" t="e">
        <f t="shared" si="3"/>
        <v>#VALUE!</v>
      </c>
      <c r="H48" s="74" t="s">
        <v>235</v>
      </c>
      <c r="I48" s="74" t="s">
        <v>236</v>
      </c>
      <c r="J48" s="74" t="s">
        <v>235</v>
      </c>
      <c r="K48" s="74" t="s">
        <v>236</v>
      </c>
      <c r="L48" s="74" t="s">
        <v>235</v>
      </c>
      <c r="M48" s="76" t="s">
        <v>236</v>
      </c>
    </row>
    <row r="49" spans="1:13" ht="15.6" x14ac:dyDescent="0.3">
      <c r="A49" s="100" t="s">
        <v>47</v>
      </c>
      <c r="B49" s="101"/>
      <c r="C49" s="101"/>
      <c r="D49" s="101"/>
      <c r="E49" s="101"/>
    </row>
    <row r="50" spans="1:13" x14ac:dyDescent="0.3">
      <c r="A50" s="102" t="s">
        <v>85</v>
      </c>
      <c r="B50" s="103" t="s">
        <v>133</v>
      </c>
      <c r="C50" s="103"/>
      <c r="D50" s="103"/>
      <c r="E50" s="103"/>
      <c r="F50" s="74" t="e">
        <f>H50+J50+L50</f>
        <v>#VALUE!</v>
      </c>
      <c r="G50" s="74" t="e">
        <f>I50+K50+M50</f>
        <v>#VALUE!</v>
      </c>
      <c r="H50" s="74" t="s">
        <v>237</v>
      </c>
      <c r="I50" s="74" t="s">
        <v>238</v>
      </c>
      <c r="J50" s="74" t="s">
        <v>237</v>
      </c>
      <c r="K50" s="74" t="s">
        <v>238</v>
      </c>
      <c r="L50" s="74" t="s">
        <v>239</v>
      </c>
      <c r="M50" s="76" t="s">
        <v>240</v>
      </c>
    </row>
    <row r="51" spans="1:13" x14ac:dyDescent="0.3">
      <c r="A51" s="102"/>
      <c r="B51" s="103" t="s">
        <v>134</v>
      </c>
      <c r="C51" s="103"/>
      <c r="D51" s="103"/>
      <c r="E51" s="103"/>
      <c r="F51" s="74" t="e">
        <f>H51+J51+L51</f>
        <v>#VALUE!</v>
      </c>
      <c r="G51" s="74" t="e">
        <f>I51+K51+M51</f>
        <v>#VALUE!</v>
      </c>
      <c r="H51" s="74" t="s">
        <v>239</v>
      </c>
      <c r="I51" s="74" t="s">
        <v>240</v>
      </c>
      <c r="J51" s="74" t="s">
        <v>239</v>
      </c>
      <c r="K51" s="74" t="s">
        <v>240</v>
      </c>
      <c r="L51" s="74" t="s">
        <v>239</v>
      </c>
      <c r="M51" s="76" t="s">
        <v>240</v>
      </c>
    </row>
    <row r="52" spans="1:13" ht="15.6" x14ac:dyDescent="0.3">
      <c r="A52" s="63" t="s">
        <v>48</v>
      </c>
      <c r="B52" s="63"/>
      <c r="C52" s="63"/>
      <c r="D52" s="63"/>
      <c r="E52" s="63"/>
    </row>
    <row r="53" spans="1:13" x14ac:dyDescent="0.3">
      <c r="A53" s="104" t="s">
        <v>241</v>
      </c>
      <c r="B53" s="105" t="s">
        <v>49</v>
      </c>
      <c r="C53" s="106"/>
      <c r="D53" s="106"/>
      <c r="E53" s="107"/>
      <c r="F53" s="74">
        <f>H53+J53+L53</f>
        <v>0</v>
      </c>
      <c r="G53" s="108"/>
      <c r="H53" s="74">
        <f>SUM(H54:H55)</f>
        <v>0</v>
      </c>
      <c r="I53" s="108"/>
      <c r="J53" s="74">
        <f>SUM(J54:J55)</f>
        <v>0</v>
      </c>
      <c r="K53" s="108"/>
      <c r="L53" s="74">
        <f>SUM(L54:L55)</f>
        <v>0</v>
      </c>
      <c r="M53" s="109"/>
    </row>
    <row r="54" spans="1:13" x14ac:dyDescent="0.3">
      <c r="A54" s="110"/>
      <c r="B54" s="81" t="s">
        <v>242</v>
      </c>
      <c r="C54" s="82"/>
      <c r="D54" s="82"/>
      <c r="E54" s="83"/>
      <c r="F54" s="74" t="e">
        <f>H54+J54+L54</f>
        <v>#VALUE!</v>
      </c>
      <c r="G54" s="108"/>
      <c r="H54" s="74" t="s">
        <v>243</v>
      </c>
      <c r="I54" s="108"/>
      <c r="J54" s="74" t="s">
        <v>243</v>
      </c>
      <c r="K54" s="108"/>
      <c r="L54" s="74" t="s">
        <v>243</v>
      </c>
      <c r="M54" s="109"/>
    </row>
    <row r="55" spans="1:13" x14ac:dyDescent="0.3">
      <c r="A55" s="110"/>
      <c r="B55" s="81" t="s">
        <v>244</v>
      </c>
      <c r="C55" s="82"/>
      <c r="D55" s="82"/>
      <c r="E55" s="83"/>
      <c r="F55" s="74" t="e">
        <f>H55+J55+L55</f>
        <v>#VALUE!</v>
      </c>
      <c r="G55" s="108"/>
      <c r="H55" s="74" t="s">
        <v>245</v>
      </c>
      <c r="I55" s="108"/>
      <c r="J55" s="74" t="s">
        <v>245</v>
      </c>
      <c r="K55" s="108"/>
      <c r="L55" s="74" t="s">
        <v>245</v>
      </c>
      <c r="M55" s="109"/>
    </row>
    <row r="56" spans="1:13" x14ac:dyDescent="0.3">
      <c r="A56" s="110" t="s">
        <v>87</v>
      </c>
      <c r="B56" s="105" t="s">
        <v>50</v>
      </c>
      <c r="C56" s="106"/>
      <c r="D56" s="106"/>
      <c r="E56" s="107"/>
      <c r="F56" s="108"/>
      <c r="G56" s="74"/>
      <c r="H56" s="108"/>
      <c r="I56" s="74"/>
      <c r="J56" s="108"/>
      <c r="K56" s="74"/>
      <c r="L56" s="108"/>
      <c r="M56" s="76"/>
    </row>
    <row r="57" spans="1:13" x14ac:dyDescent="0.3">
      <c r="A57" s="110"/>
      <c r="B57" s="81" t="s">
        <v>246</v>
      </c>
      <c r="C57" s="82"/>
      <c r="D57" s="82"/>
      <c r="E57" s="83"/>
      <c r="F57" s="108"/>
      <c r="G57" s="74" t="e">
        <f>I57+K57+M57</f>
        <v>#VALUE!</v>
      </c>
      <c r="H57" s="108"/>
      <c r="I57" s="74" t="s">
        <v>247</v>
      </c>
      <c r="J57" s="108"/>
      <c r="K57" s="74" t="s">
        <v>247</v>
      </c>
      <c r="L57" s="108"/>
      <c r="M57" s="76" t="s">
        <v>247</v>
      </c>
    </row>
    <row r="58" spans="1:13" x14ac:dyDescent="0.3">
      <c r="A58" s="110"/>
      <c r="B58" s="81" t="s">
        <v>248</v>
      </c>
      <c r="C58" s="82"/>
      <c r="D58" s="82"/>
      <c r="E58" s="83"/>
      <c r="F58" s="108"/>
      <c r="G58" s="74" t="e">
        <f>I58+K58+M58</f>
        <v>#VALUE!</v>
      </c>
      <c r="H58" s="108"/>
      <c r="I58" s="74" t="s">
        <v>249</v>
      </c>
      <c r="J58" s="108"/>
      <c r="K58" s="74" t="s">
        <v>249</v>
      </c>
      <c r="L58" s="108"/>
      <c r="M58" s="76" t="s">
        <v>249</v>
      </c>
    </row>
    <row r="59" spans="1:13" x14ac:dyDescent="0.3">
      <c r="A59" s="110"/>
      <c r="B59" s="105" t="s">
        <v>51</v>
      </c>
      <c r="C59" s="106"/>
      <c r="D59" s="106"/>
      <c r="E59" s="107"/>
      <c r="F59" s="108"/>
      <c r="G59" s="74">
        <f t="shared" ref="G59:G64" si="4">I59+K59+M59</f>
        <v>0</v>
      </c>
      <c r="H59" s="108"/>
      <c r="I59" s="74">
        <f>SUM(I60:I61)</f>
        <v>0</v>
      </c>
      <c r="J59" s="108"/>
      <c r="K59" s="74">
        <f>SUM(K60:K61)</f>
        <v>0</v>
      </c>
      <c r="L59" s="108"/>
      <c r="M59" s="76">
        <f>SUM(M60:M61)</f>
        <v>0</v>
      </c>
    </row>
    <row r="60" spans="1:13" x14ac:dyDescent="0.3">
      <c r="A60" s="110"/>
      <c r="B60" s="81" t="s">
        <v>250</v>
      </c>
      <c r="C60" s="82"/>
      <c r="D60" s="82"/>
      <c r="E60" s="83"/>
      <c r="F60" s="108"/>
      <c r="G60" s="74" t="e">
        <f t="shared" si="4"/>
        <v>#VALUE!</v>
      </c>
      <c r="H60" s="108"/>
      <c r="I60" s="74" t="s">
        <v>251</v>
      </c>
      <c r="J60" s="108"/>
      <c r="K60" s="74" t="s">
        <v>251</v>
      </c>
      <c r="L60" s="108"/>
      <c r="M60" s="76" t="s">
        <v>251</v>
      </c>
    </row>
    <row r="61" spans="1:13" x14ac:dyDescent="0.3">
      <c r="A61" s="110"/>
      <c r="B61" s="81" t="s">
        <v>252</v>
      </c>
      <c r="C61" s="82"/>
      <c r="D61" s="82"/>
      <c r="E61" s="83"/>
      <c r="F61" s="108"/>
      <c r="G61" s="74" t="e">
        <f t="shared" si="4"/>
        <v>#VALUE!</v>
      </c>
      <c r="H61" s="108"/>
      <c r="I61" s="74" t="s">
        <v>253</v>
      </c>
      <c r="J61" s="108"/>
      <c r="K61" s="74" t="s">
        <v>253</v>
      </c>
      <c r="L61" s="108"/>
      <c r="M61" s="76" t="s">
        <v>253</v>
      </c>
    </row>
    <row r="62" spans="1:13" x14ac:dyDescent="0.3">
      <c r="A62" s="110"/>
      <c r="B62" s="105" t="s">
        <v>52</v>
      </c>
      <c r="C62" s="106"/>
      <c r="D62" s="106"/>
      <c r="E62" s="107"/>
      <c r="F62" s="108"/>
      <c r="G62" s="49">
        <f t="shared" si="4"/>
        <v>0</v>
      </c>
      <c r="H62" s="108"/>
      <c r="I62" s="49">
        <f>SUM(I63:I64)</f>
        <v>0</v>
      </c>
      <c r="J62" s="108"/>
      <c r="K62" s="49">
        <f>SUM(K63:K64)</f>
        <v>0</v>
      </c>
      <c r="L62" s="108"/>
      <c r="M62" s="50">
        <f>SUM(M63:M64)</f>
        <v>0</v>
      </c>
    </row>
    <row r="63" spans="1:13" x14ac:dyDescent="0.3">
      <c r="A63" s="110"/>
      <c r="B63" s="81" t="s">
        <v>93</v>
      </c>
      <c r="C63" s="82"/>
      <c r="D63" s="82"/>
      <c r="E63" s="83"/>
      <c r="F63" s="108"/>
      <c r="G63" s="74" t="e">
        <f t="shared" si="4"/>
        <v>#VALUE!</v>
      </c>
      <c r="H63" s="108"/>
      <c r="I63" s="74" t="s">
        <v>254</v>
      </c>
      <c r="J63" s="108"/>
      <c r="K63" s="74" t="s">
        <v>254</v>
      </c>
      <c r="L63" s="108"/>
      <c r="M63" s="76" t="s">
        <v>254</v>
      </c>
    </row>
    <row r="64" spans="1:13" x14ac:dyDescent="0.3">
      <c r="A64" s="110"/>
      <c r="B64" s="81" t="s">
        <v>94</v>
      </c>
      <c r="C64" s="82"/>
      <c r="D64" s="82"/>
      <c r="E64" s="83"/>
      <c r="F64" s="108"/>
      <c r="G64" s="74" t="e">
        <f t="shared" si="4"/>
        <v>#VALUE!</v>
      </c>
      <c r="H64" s="108"/>
      <c r="I64" s="74" t="s">
        <v>255</v>
      </c>
      <c r="J64" s="108"/>
      <c r="K64" s="74" t="s">
        <v>255</v>
      </c>
      <c r="L64" s="108"/>
      <c r="M64" s="76" t="s">
        <v>255</v>
      </c>
    </row>
    <row r="65" spans="1:13" x14ac:dyDescent="0.3">
      <c r="A65" s="110" t="s">
        <v>256</v>
      </c>
      <c r="B65" s="105" t="s">
        <v>53</v>
      </c>
      <c r="C65" s="106"/>
      <c r="D65" s="106"/>
      <c r="E65" s="107"/>
      <c r="F65" s="49"/>
      <c r="G65" s="49"/>
      <c r="H65" s="49"/>
      <c r="I65" s="49"/>
      <c r="J65" s="49"/>
      <c r="K65" s="49"/>
      <c r="L65" s="49"/>
      <c r="M65" s="50"/>
    </row>
    <row r="66" spans="1:13" x14ac:dyDescent="0.3">
      <c r="A66" s="110"/>
      <c r="B66" s="81" t="s">
        <v>257</v>
      </c>
      <c r="C66" s="82"/>
      <c r="D66" s="82"/>
      <c r="E66" s="83"/>
      <c r="F66" s="74" t="e">
        <f>H66+J66+L66</f>
        <v>#VALUE!</v>
      </c>
      <c r="G66" s="74" t="e">
        <f>I66+K66+M66</f>
        <v>#VALUE!</v>
      </c>
      <c r="H66" s="74" t="s">
        <v>258</v>
      </c>
      <c r="I66" s="74" t="s">
        <v>259</v>
      </c>
      <c r="J66" s="74" t="s">
        <v>258</v>
      </c>
      <c r="K66" s="74" t="s">
        <v>259</v>
      </c>
      <c r="L66" s="74" t="s">
        <v>258</v>
      </c>
      <c r="M66" s="76" t="s">
        <v>259</v>
      </c>
    </row>
    <row r="67" spans="1:13" x14ac:dyDescent="0.3">
      <c r="A67" s="110" t="s">
        <v>260</v>
      </c>
      <c r="B67" s="81" t="s">
        <v>261</v>
      </c>
      <c r="C67" s="82"/>
      <c r="D67" s="82"/>
      <c r="E67" s="83"/>
      <c r="F67" s="74" t="e">
        <f>H67+J67+L67</f>
        <v>#VALUE!</v>
      </c>
      <c r="G67" s="74" t="e">
        <f>I67+K67+M67</f>
        <v>#VALUE!</v>
      </c>
      <c r="H67" s="74" t="s">
        <v>262</v>
      </c>
      <c r="I67" s="74" t="s">
        <v>263</v>
      </c>
      <c r="J67" s="74" t="s">
        <v>262</v>
      </c>
      <c r="K67" s="74" t="s">
        <v>263</v>
      </c>
      <c r="L67" s="74" t="s">
        <v>262</v>
      </c>
      <c r="M67" s="76" t="s">
        <v>263</v>
      </c>
    </row>
    <row r="68" spans="1:13" x14ac:dyDescent="0.3">
      <c r="A68" s="111" t="s">
        <v>54</v>
      </c>
      <c r="B68" s="111"/>
      <c r="C68" s="111"/>
      <c r="D68" s="111"/>
      <c r="E68" s="111"/>
      <c r="F68" s="49"/>
      <c r="G68" s="49"/>
      <c r="H68" s="49"/>
      <c r="I68" s="49"/>
      <c r="J68" s="49"/>
      <c r="K68" s="49"/>
      <c r="L68" s="49"/>
      <c r="M68" s="50"/>
    </row>
    <row r="69" spans="1:13" x14ac:dyDescent="0.3">
      <c r="A69" s="112" t="s">
        <v>264</v>
      </c>
      <c r="B69" s="81" t="s">
        <v>55</v>
      </c>
      <c r="C69" s="82"/>
      <c r="D69" s="82"/>
      <c r="E69" s="83"/>
      <c r="F69" s="113" t="e">
        <f t="shared" ref="F69:G72" si="5">H69+J69+L69</f>
        <v>#VALUE!</v>
      </c>
      <c r="G69" s="113" t="e">
        <f t="shared" si="5"/>
        <v>#VALUE!</v>
      </c>
      <c r="H69" s="113" t="s">
        <v>265</v>
      </c>
      <c r="I69" s="113" t="s">
        <v>266</v>
      </c>
      <c r="J69" s="113" t="s">
        <v>265</v>
      </c>
      <c r="K69" s="113" t="s">
        <v>266</v>
      </c>
      <c r="L69" s="113" t="s">
        <v>265</v>
      </c>
      <c r="M69" s="114" t="s">
        <v>266</v>
      </c>
    </row>
    <row r="70" spans="1:13" x14ac:dyDescent="0.3">
      <c r="A70" s="115"/>
      <c r="B70" s="81" t="s">
        <v>267</v>
      </c>
      <c r="C70" s="82"/>
      <c r="D70" s="82"/>
      <c r="E70" s="83"/>
      <c r="F70" s="113" t="e">
        <f t="shared" si="5"/>
        <v>#VALUE!</v>
      </c>
      <c r="G70" s="113" t="e">
        <f t="shared" si="5"/>
        <v>#VALUE!</v>
      </c>
      <c r="H70" s="113" t="s">
        <v>268</v>
      </c>
      <c r="I70" s="113" t="s">
        <v>269</v>
      </c>
      <c r="J70" s="113" t="s">
        <v>268</v>
      </c>
      <c r="K70" s="113" t="s">
        <v>269</v>
      </c>
      <c r="L70" s="113" t="s">
        <v>268</v>
      </c>
      <c r="M70" s="114" t="s">
        <v>269</v>
      </c>
    </row>
    <row r="71" spans="1:13" ht="28.8" x14ac:dyDescent="0.3">
      <c r="A71" s="116"/>
      <c r="B71" s="81" t="s">
        <v>270</v>
      </c>
      <c r="C71" s="82"/>
      <c r="D71" s="82"/>
      <c r="E71" s="83"/>
      <c r="F71" s="113" t="e">
        <f t="shared" si="5"/>
        <v>#VALUE!</v>
      </c>
      <c r="G71" s="113" t="e">
        <f t="shared" si="5"/>
        <v>#VALUE!</v>
      </c>
      <c r="H71" s="113" t="s">
        <v>271</v>
      </c>
      <c r="I71" s="113" t="s">
        <v>272</v>
      </c>
      <c r="J71" s="113" t="s">
        <v>271</v>
      </c>
      <c r="K71" s="113" t="s">
        <v>272</v>
      </c>
      <c r="L71" s="113" t="s">
        <v>271</v>
      </c>
      <c r="M71" s="114" t="s">
        <v>272</v>
      </c>
    </row>
    <row r="72" spans="1:13" ht="27.6" x14ac:dyDescent="0.3">
      <c r="A72" s="117" t="s">
        <v>98</v>
      </c>
      <c r="B72" s="81" t="s">
        <v>273</v>
      </c>
      <c r="C72" s="82"/>
      <c r="D72" s="82"/>
      <c r="E72" s="83"/>
      <c r="F72" s="113" t="e">
        <f t="shared" si="5"/>
        <v>#VALUE!</v>
      </c>
      <c r="G72" s="113" t="e">
        <f t="shared" si="5"/>
        <v>#VALUE!</v>
      </c>
      <c r="H72" s="113" t="s">
        <v>274</v>
      </c>
      <c r="I72" s="113" t="s">
        <v>275</v>
      </c>
      <c r="J72" s="113" t="s">
        <v>274</v>
      </c>
      <c r="K72" s="113" t="s">
        <v>275</v>
      </c>
      <c r="L72" s="113" t="s">
        <v>274</v>
      </c>
      <c r="M72" s="114" t="s">
        <v>275</v>
      </c>
    </row>
    <row r="73" spans="1:13" x14ac:dyDescent="0.3">
      <c r="A73" s="111" t="s">
        <v>59</v>
      </c>
      <c r="B73" s="111"/>
      <c r="C73" s="111"/>
      <c r="D73" s="111"/>
      <c r="E73" s="111"/>
      <c r="F73" s="49"/>
      <c r="G73" s="49"/>
      <c r="H73" s="49"/>
      <c r="I73" s="49"/>
      <c r="J73" s="49"/>
      <c r="K73" s="49"/>
      <c r="L73" s="49"/>
      <c r="M73" s="50"/>
    </row>
    <row r="74" spans="1:13" x14ac:dyDescent="0.3">
      <c r="A74" s="118" t="s">
        <v>85</v>
      </c>
      <c r="B74" s="78" t="s">
        <v>276</v>
      </c>
      <c r="C74" s="78"/>
      <c r="D74" s="78"/>
      <c r="E74" s="78"/>
      <c r="F74" s="113" t="e">
        <f t="shared" ref="F74:G74" si="6">H74+J74+L74</f>
        <v>#VALUE!</v>
      </c>
      <c r="G74" s="113" t="e">
        <f t="shared" si="6"/>
        <v>#VALUE!</v>
      </c>
      <c r="H74" s="113" t="s">
        <v>277</v>
      </c>
      <c r="I74" s="113" t="s">
        <v>278</v>
      </c>
      <c r="J74" s="113" t="s">
        <v>277</v>
      </c>
      <c r="K74" s="113" t="s">
        <v>278</v>
      </c>
      <c r="L74" s="113" t="s">
        <v>277</v>
      </c>
      <c r="M74" s="114" t="s">
        <v>278</v>
      </c>
    </row>
    <row r="75" spans="1:13" x14ac:dyDescent="0.3">
      <c r="A75" s="119"/>
      <c r="B75" s="81" t="s">
        <v>279</v>
      </c>
      <c r="C75" s="82"/>
      <c r="D75" s="82"/>
      <c r="E75" s="83"/>
      <c r="F75" s="113" t="e">
        <f>H75+J75+L75</f>
        <v>#VALUE!</v>
      </c>
      <c r="G75" s="113" t="e">
        <f>I75+K75+M75</f>
        <v>#VALUE!</v>
      </c>
      <c r="H75" s="113" t="s">
        <v>280</v>
      </c>
      <c r="I75" s="113" t="s">
        <v>281</v>
      </c>
      <c r="J75" s="113" t="s">
        <v>280</v>
      </c>
      <c r="K75" s="113" t="s">
        <v>281</v>
      </c>
      <c r="L75" s="113" t="s">
        <v>280</v>
      </c>
      <c r="M75" s="114" t="s">
        <v>281</v>
      </c>
    </row>
    <row r="76" spans="1:13" x14ac:dyDescent="0.3">
      <c r="A76" s="120"/>
      <c r="B76" s="81" t="s">
        <v>282</v>
      </c>
      <c r="C76" s="82"/>
      <c r="D76" s="82"/>
      <c r="E76" s="83"/>
      <c r="F76" s="113" t="e">
        <f>H76+J76+L76</f>
        <v>#VALUE!</v>
      </c>
      <c r="G76" s="113" t="e">
        <f>I76+K76+M76</f>
        <v>#VALUE!</v>
      </c>
      <c r="H76" s="113" t="s">
        <v>283</v>
      </c>
      <c r="I76" s="113" t="s">
        <v>284</v>
      </c>
      <c r="J76" s="113" t="s">
        <v>283</v>
      </c>
      <c r="K76" s="113" t="s">
        <v>284</v>
      </c>
      <c r="L76" s="113" t="s">
        <v>283</v>
      </c>
      <c r="M76" s="114" t="s">
        <v>284</v>
      </c>
    </row>
    <row r="77" spans="1:13" x14ac:dyDescent="0.3">
      <c r="A77" s="111" t="s">
        <v>285</v>
      </c>
      <c r="B77" s="111"/>
      <c r="C77" s="111"/>
      <c r="D77" s="111"/>
      <c r="E77" s="111"/>
      <c r="F77" s="49"/>
      <c r="G77" s="49"/>
      <c r="H77" s="49"/>
      <c r="I77" s="49"/>
      <c r="J77" s="49"/>
      <c r="K77" s="49"/>
      <c r="L77" s="49"/>
      <c r="M77" s="50"/>
    </row>
    <row r="78" spans="1:13" x14ac:dyDescent="0.3">
      <c r="A78" s="121" t="s">
        <v>85</v>
      </c>
      <c r="B78" s="81" t="s">
        <v>286</v>
      </c>
      <c r="C78" s="82"/>
      <c r="D78" s="82"/>
      <c r="E78" s="83"/>
      <c r="F78" s="113" t="e">
        <f>H78+J78+L78</f>
        <v>#VALUE!</v>
      </c>
      <c r="G78" s="113" t="e">
        <f>I78+K78+M78</f>
        <v>#VALUE!</v>
      </c>
      <c r="H78" s="113" t="s">
        <v>287</v>
      </c>
      <c r="I78" s="113" t="s">
        <v>288</v>
      </c>
      <c r="J78" s="113" t="s">
        <v>287</v>
      </c>
      <c r="K78" s="113" t="s">
        <v>288</v>
      </c>
      <c r="L78" s="113" t="s">
        <v>287</v>
      </c>
      <c r="M78" s="114" t="s">
        <v>288</v>
      </c>
    </row>
    <row r="79" spans="1:13" ht="37.5" customHeight="1" x14ac:dyDescent="0.3">
      <c r="A79" s="121"/>
      <c r="B79" s="81" t="s">
        <v>62</v>
      </c>
      <c r="C79" s="82"/>
      <c r="D79" s="82"/>
      <c r="E79" s="83"/>
      <c r="F79" s="113" t="e">
        <f>H79+J79+L79</f>
        <v>#VALUE!</v>
      </c>
      <c r="G79" s="113" t="e">
        <f>I79+K79+M79</f>
        <v>#VALUE!</v>
      </c>
      <c r="H79" s="113" t="s">
        <v>289</v>
      </c>
      <c r="I79" s="113" t="s">
        <v>290</v>
      </c>
      <c r="J79" s="113" t="s">
        <v>289</v>
      </c>
      <c r="K79" s="113" t="s">
        <v>290</v>
      </c>
      <c r="L79" s="113" t="s">
        <v>289</v>
      </c>
      <c r="M79" s="114" t="s">
        <v>290</v>
      </c>
    </row>
    <row r="80" spans="1:13" x14ac:dyDescent="0.3">
      <c r="A80" s="122" t="s">
        <v>63</v>
      </c>
      <c r="B80" s="123"/>
      <c r="C80" s="123"/>
      <c r="D80" s="123"/>
      <c r="E80" s="123"/>
      <c r="F80" s="124"/>
      <c r="G80" s="124"/>
      <c r="H80" s="124"/>
      <c r="I80" s="124"/>
      <c r="J80" s="124"/>
      <c r="K80" s="124"/>
      <c r="L80" s="124"/>
      <c r="M80" s="125"/>
    </row>
    <row r="81" spans="1:13" x14ac:dyDescent="0.3">
      <c r="A81" s="121" t="s">
        <v>85</v>
      </c>
      <c r="B81" s="81" t="s">
        <v>66</v>
      </c>
      <c r="C81" s="82"/>
      <c r="D81" s="82"/>
      <c r="E81" s="83"/>
      <c r="F81" s="49"/>
      <c r="G81" s="49"/>
      <c r="H81" s="74" t="s">
        <v>291</v>
      </c>
      <c r="I81" s="49"/>
      <c r="J81" s="49"/>
      <c r="K81" s="49"/>
      <c r="L81" s="49"/>
      <c r="M81" s="50"/>
    </row>
    <row r="82" spans="1:13" x14ac:dyDescent="0.3">
      <c r="A82" s="121"/>
      <c r="B82" s="81" t="s">
        <v>292</v>
      </c>
      <c r="C82" s="82"/>
      <c r="D82" s="82"/>
      <c r="E82" s="83"/>
      <c r="F82" s="49"/>
      <c r="G82" s="49"/>
      <c r="H82" s="74" t="s">
        <v>293</v>
      </c>
      <c r="I82" s="49"/>
      <c r="J82" s="49"/>
      <c r="K82" s="49"/>
      <c r="L82" s="49"/>
      <c r="M82" s="50"/>
    </row>
    <row r="83" spans="1:13" x14ac:dyDescent="0.3">
      <c r="A83" s="121" t="s">
        <v>85</v>
      </c>
      <c r="B83" s="81" t="s">
        <v>68</v>
      </c>
      <c r="C83" s="82"/>
      <c r="D83" s="82"/>
      <c r="E83" s="83"/>
      <c r="F83" s="124"/>
      <c r="G83" s="124"/>
      <c r="H83" s="74" t="s">
        <v>294</v>
      </c>
      <c r="I83" s="124"/>
      <c r="J83" s="124"/>
      <c r="K83" s="124"/>
      <c r="L83" s="124"/>
      <c r="M83" s="125"/>
    </row>
    <row r="84" spans="1:13" x14ac:dyDescent="0.3">
      <c r="A84" s="121"/>
      <c r="B84" s="81" t="s">
        <v>295</v>
      </c>
      <c r="C84" s="82"/>
      <c r="D84" s="82"/>
      <c r="E84" s="83"/>
      <c r="F84" s="124"/>
      <c r="G84" s="124"/>
      <c r="H84" s="74" t="s">
        <v>296</v>
      </c>
      <c r="I84" s="124"/>
      <c r="J84" s="124"/>
      <c r="K84" s="124"/>
      <c r="L84" s="124"/>
      <c r="M84" s="125"/>
    </row>
    <row r="85" spans="1:13" ht="15.6" x14ac:dyDescent="0.3">
      <c r="A85" s="100" t="s">
        <v>70</v>
      </c>
      <c r="B85" s="101"/>
      <c r="C85" s="101"/>
      <c r="D85" s="101"/>
      <c r="E85" s="101"/>
    </row>
    <row r="86" spans="1:13" ht="15.6" x14ac:dyDescent="0.3">
      <c r="A86" s="126" t="s">
        <v>85</v>
      </c>
      <c r="B86" s="127" t="s">
        <v>297</v>
      </c>
      <c r="C86" s="128"/>
      <c r="D86" s="128"/>
      <c r="E86" s="128"/>
      <c r="F86" s="113" t="e">
        <f t="shared" ref="F86:G93" si="7">H86+J86+L86</f>
        <v>#VALUE!</v>
      </c>
      <c r="G86" s="113" t="e">
        <f t="shared" si="7"/>
        <v>#VALUE!</v>
      </c>
      <c r="H86" s="113" t="s">
        <v>298</v>
      </c>
      <c r="I86" s="113" t="s">
        <v>299</v>
      </c>
      <c r="J86" s="113" t="s">
        <v>298</v>
      </c>
      <c r="K86" s="113" t="s">
        <v>299</v>
      </c>
      <c r="L86" s="113" t="s">
        <v>298</v>
      </c>
      <c r="M86" s="114" t="s">
        <v>299</v>
      </c>
    </row>
    <row r="87" spans="1:13" x14ac:dyDescent="0.3">
      <c r="A87" s="126"/>
      <c r="B87" s="129" t="s">
        <v>72</v>
      </c>
      <c r="C87" s="129"/>
      <c r="D87" s="129"/>
      <c r="E87" s="129"/>
      <c r="F87" s="130">
        <f t="shared" si="7"/>
        <v>0</v>
      </c>
      <c r="G87" s="130">
        <f t="shared" si="7"/>
        <v>0</v>
      </c>
      <c r="H87" s="49"/>
      <c r="I87" s="49"/>
      <c r="J87" s="49"/>
      <c r="K87" s="49"/>
      <c r="L87" s="49"/>
      <c r="M87" s="50"/>
    </row>
    <row r="88" spans="1:13" x14ac:dyDescent="0.3">
      <c r="A88" s="126"/>
      <c r="B88" s="81" t="s">
        <v>300</v>
      </c>
      <c r="C88" s="82"/>
      <c r="D88" s="82"/>
      <c r="E88" s="83"/>
      <c r="F88" s="113" t="e">
        <f t="shared" si="7"/>
        <v>#VALUE!</v>
      </c>
      <c r="G88" s="113" t="e">
        <f t="shared" si="7"/>
        <v>#VALUE!</v>
      </c>
      <c r="H88" s="113" t="s">
        <v>301</v>
      </c>
      <c r="I88" s="113" t="s">
        <v>302</v>
      </c>
      <c r="J88" s="113" t="s">
        <v>301</v>
      </c>
      <c r="K88" s="113" t="s">
        <v>302</v>
      </c>
      <c r="L88" s="113" t="s">
        <v>301</v>
      </c>
      <c r="M88" s="114" t="s">
        <v>302</v>
      </c>
    </row>
    <row r="89" spans="1:13" x14ac:dyDescent="0.3">
      <c r="A89" s="126"/>
      <c r="B89" s="81" t="s">
        <v>303</v>
      </c>
      <c r="C89" s="82"/>
      <c r="D89" s="82"/>
      <c r="E89" s="83"/>
      <c r="F89" s="113" t="e">
        <f t="shared" si="7"/>
        <v>#VALUE!</v>
      </c>
      <c r="G89" s="113" t="e">
        <f t="shared" si="7"/>
        <v>#VALUE!</v>
      </c>
      <c r="H89" s="113" t="s">
        <v>304</v>
      </c>
      <c r="I89" s="113" t="s">
        <v>305</v>
      </c>
      <c r="J89" s="113" t="s">
        <v>304</v>
      </c>
      <c r="K89" s="113" t="s">
        <v>305</v>
      </c>
      <c r="L89" s="113" t="s">
        <v>304</v>
      </c>
      <c r="M89" s="114" t="s">
        <v>305</v>
      </c>
    </row>
    <row r="90" spans="1:13" x14ac:dyDescent="0.3">
      <c r="A90" s="126"/>
      <c r="B90" s="129" t="s">
        <v>73</v>
      </c>
      <c r="C90" s="129"/>
      <c r="D90" s="129"/>
      <c r="E90" s="129"/>
      <c r="F90" s="130">
        <f t="shared" si="7"/>
        <v>0</v>
      </c>
      <c r="G90" s="130">
        <f t="shared" si="7"/>
        <v>0</v>
      </c>
      <c r="H90" s="49"/>
      <c r="I90" s="49"/>
      <c r="J90" s="49"/>
      <c r="K90" s="49"/>
      <c r="L90" s="49"/>
      <c r="M90" s="50"/>
    </row>
    <row r="91" spans="1:13" x14ac:dyDescent="0.3">
      <c r="A91" s="126"/>
      <c r="B91" s="81" t="s">
        <v>306</v>
      </c>
      <c r="C91" s="82"/>
      <c r="D91" s="82"/>
      <c r="E91" s="83"/>
      <c r="F91" s="113" t="e">
        <f t="shared" si="7"/>
        <v>#VALUE!</v>
      </c>
      <c r="G91" s="113" t="e">
        <f t="shared" si="7"/>
        <v>#VALUE!</v>
      </c>
      <c r="H91" s="113" t="s">
        <v>307</v>
      </c>
      <c r="I91" s="113" t="s">
        <v>308</v>
      </c>
      <c r="J91" s="113" t="s">
        <v>307</v>
      </c>
      <c r="K91" s="113" t="s">
        <v>308</v>
      </c>
      <c r="L91" s="113" t="s">
        <v>307</v>
      </c>
      <c r="M91" s="114" t="s">
        <v>308</v>
      </c>
    </row>
    <row r="92" spans="1:13" x14ac:dyDescent="0.3">
      <c r="A92" s="126"/>
      <c r="B92" s="81" t="s">
        <v>309</v>
      </c>
      <c r="C92" s="82"/>
      <c r="D92" s="82"/>
      <c r="E92" s="83"/>
      <c r="F92" s="113" t="e">
        <f t="shared" si="7"/>
        <v>#VALUE!</v>
      </c>
      <c r="G92" s="113" t="e">
        <f t="shared" si="7"/>
        <v>#VALUE!</v>
      </c>
      <c r="H92" s="113" t="s">
        <v>310</v>
      </c>
      <c r="I92" s="113" t="s">
        <v>311</v>
      </c>
      <c r="J92" s="113" t="s">
        <v>310</v>
      </c>
      <c r="K92" s="113" t="s">
        <v>311</v>
      </c>
      <c r="L92" s="113" t="s">
        <v>310</v>
      </c>
      <c r="M92" s="114" t="s">
        <v>311</v>
      </c>
    </row>
    <row r="93" spans="1:13" x14ac:dyDescent="0.3">
      <c r="A93" s="126"/>
      <c r="B93" s="81" t="s">
        <v>104</v>
      </c>
      <c r="C93" s="82"/>
      <c r="D93" s="82"/>
      <c r="E93" s="83"/>
      <c r="F93" s="113" t="e">
        <f t="shared" si="7"/>
        <v>#VALUE!</v>
      </c>
      <c r="G93" s="113" t="e">
        <f t="shared" si="7"/>
        <v>#VALUE!</v>
      </c>
      <c r="H93" s="113" t="s">
        <v>312</v>
      </c>
      <c r="I93" s="113" t="s">
        <v>313</v>
      </c>
      <c r="J93" s="113" t="s">
        <v>312</v>
      </c>
      <c r="K93" s="113" t="s">
        <v>313</v>
      </c>
      <c r="L93" s="113" t="s">
        <v>312</v>
      </c>
      <c r="M93" s="114" t="s">
        <v>313</v>
      </c>
    </row>
    <row r="94" spans="1:13" ht="15.6" x14ac:dyDescent="0.3">
      <c r="A94" s="100" t="s">
        <v>314</v>
      </c>
      <c r="B94" s="101"/>
      <c r="C94" s="101"/>
      <c r="D94" s="101"/>
      <c r="E94" s="101"/>
    </row>
    <row r="95" spans="1:13" x14ac:dyDescent="0.3">
      <c r="A95" s="102" t="s">
        <v>85</v>
      </c>
      <c r="B95" s="81" t="s">
        <v>75</v>
      </c>
      <c r="C95" s="82"/>
      <c r="D95" s="82"/>
      <c r="E95" s="83"/>
      <c r="F95" s="49" t="e">
        <f t="shared" ref="F95:G100" si="8">H95+J95+L95</f>
        <v>#VALUE!</v>
      </c>
      <c r="G95" s="49" t="e">
        <f t="shared" si="8"/>
        <v>#VALUE!</v>
      </c>
      <c r="H95" s="49" t="s">
        <v>315</v>
      </c>
      <c r="I95" s="49" t="s">
        <v>316</v>
      </c>
      <c r="J95" s="49" t="s">
        <v>317</v>
      </c>
      <c r="K95" s="49" t="s">
        <v>318</v>
      </c>
      <c r="L95" s="49" t="s">
        <v>315</v>
      </c>
      <c r="M95" s="50" t="s">
        <v>316</v>
      </c>
    </row>
    <row r="96" spans="1:13" x14ac:dyDescent="0.3">
      <c r="A96" s="102"/>
      <c r="B96" s="81" t="s">
        <v>319</v>
      </c>
      <c r="C96" s="82"/>
      <c r="D96" s="82"/>
      <c r="E96" s="83"/>
      <c r="F96" s="74" t="e">
        <f t="shared" si="8"/>
        <v>#VALUE!</v>
      </c>
      <c r="G96" s="74" t="e">
        <f t="shared" si="8"/>
        <v>#VALUE!</v>
      </c>
      <c r="H96" s="74" t="s">
        <v>320</v>
      </c>
      <c r="I96" s="74" t="s">
        <v>321</v>
      </c>
      <c r="J96" s="74" t="s">
        <v>320</v>
      </c>
      <c r="K96" s="74" t="s">
        <v>321</v>
      </c>
      <c r="L96" s="74" t="s">
        <v>320</v>
      </c>
      <c r="M96" s="76" t="s">
        <v>321</v>
      </c>
    </row>
    <row r="97" spans="1:13" x14ac:dyDescent="0.3">
      <c r="A97" s="102"/>
      <c r="B97" s="81" t="s">
        <v>77</v>
      </c>
      <c r="C97" s="82"/>
      <c r="D97" s="82"/>
      <c r="E97" s="83"/>
      <c r="F97" s="74" t="e">
        <f t="shared" si="8"/>
        <v>#VALUE!</v>
      </c>
      <c r="G97" s="74" t="e">
        <f t="shared" si="8"/>
        <v>#VALUE!</v>
      </c>
      <c r="H97" s="74" t="s">
        <v>322</v>
      </c>
      <c r="I97" s="74" t="s">
        <v>323</v>
      </c>
      <c r="J97" s="74" t="s">
        <v>322</v>
      </c>
      <c r="K97" s="74" t="s">
        <v>323</v>
      </c>
      <c r="L97" s="74" t="s">
        <v>322</v>
      </c>
      <c r="M97" s="76" t="s">
        <v>323</v>
      </c>
    </row>
    <row r="98" spans="1:13" x14ac:dyDescent="0.3">
      <c r="A98" s="102"/>
      <c r="B98" s="81" t="s">
        <v>324</v>
      </c>
      <c r="C98" s="82"/>
      <c r="D98" s="82"/>
      <c r="E98" s="83"/>
      <c r="F98" s="74" t="e">
        <f t="shared" si="8"/>
        <v>#VALUE!</v>
      </c>
      <c r="G98" s="74" t="e">
        <f t="shared" si="8"/>
        <v>#VALUE!</v>
      </c>
      <c r="H98" s="74" t="s">
        <v>325</v>
      </c>
      <c r="I98" s="74" t="s">
        <v>326</v>
      </c>
      <c r="J98" s="74" t="s">
        <v>325</v>
      </c>
      <c r="K98" s="74" t="s">
        <v>326</v>
      </c>
      <c r="L98" s="74" t="s">
        <v>325</v>
      </c>
      <c r="M98" s="76" t="s">
        <v>326</v>
      </c>
    </row>
    <row r="99" spans="1:13" x14ac:dyDescent="0.3">
      <c r="A99" s="102"/>
      <c r="B99" s="103" t="s">
        <v>79</v>
      </c>
      <c r="C99" s="103"/>
      <c r="D99" s="103"/>
      <c r="E99" s="103"/>
      <c r="F99" s="74" t="e">
        <f t="shared" si="8"/>
        <v>#VALUE!</v>
      </c>
      <c r="G99" s="74" t="e">
        <f t="shared" si="8"/>
        <v>#VALUE!</v>
      </c>
      <c r="H99" s="74" t="s">
        <v>327</v>
      </c>
      <c r="I99" s="74" t="s">
        <v>328</v>
      </c>
      <c r="J99" s="74" t="s">
        <v>327</v>
      </c>
      <c r="K99" s="74" t="s">
        <v>328</v>
      </c>
      <c r="L99" s="74" t="s">
        <v>327</v>
      </c>
      <c r="M99" s="76" t="s">
        <v>328</v>
      </c>
    </row>
    <row r="100" spans="1:13" x14ac:dyDescent="0.3">
      <c r="A100" s="102"/>
      <c r="B100" s="103" t="s">
        <v>80</v>
      </c>
      <c r="C100" s="103"/>
      <c r="D100" s="103"/>
      <c r="E100" s="103"/>
      <c r="F100" s="74" t="e">
        <f t="shared" si="8"/>
        <v>#VALUE!</v>
      </c>
      <c r="G100" s="74" t="e">
        <f t="shared" si="8"/>
        <v>#VALUE!</v>
      </c>
      <c r="H100" s="74" t="s">
        <v>329</v>
      </c>
      <c r="I100" s="74" t="s">
        <v>330</v>
      </c>
      <c r="J100" s="74" t="s">
        <v>329</v>
      </c>
      <c r="K100" s="74" t="s">
        <v>330</v>
      </c>
      <c r="L100" s="74" t="s">
        <v>329</v>
      </c>
      <c r="M100" s="76" t="s">
        <v>330</v>
      </c>
    </row>
    <row r="101" spans="1:13" s="131" customFormat="1" x14ac:dyDescent="0.3"/>
    <row r="102" spans="1:13" ht="45.75" customHeight="1" x14ac:dyDescent="0.3">
      <c r="A102" s="132" t="s">
        <v>132</v>
      </c>
      <c r="B102" s="132"/>
      <c r="C102" s="132"/>
      <c r="D102" s="132"/>
      <c r="E102" s="132"/>
      <c r="F102" s="124"/>
      <c r="G102" s="124"/>
      <c r="H102" s="124"/>
      <c r="I102" s="124"/>
      <c r="J102" s="124"/>
      <c r="K102" s="124"/>
      <c r="L102" s="124"/>
      <c r="M102" s="125"/>
    </row>
    <row r="103" spans="1:13" x14ac:dyDescent="0.3">
      <c r="A103" s="133" t="s">
        <v>81</v>
      </c>
      <c r="B103" s="133"/>
      <c r="C103" s="133"/>
      <c r="D103" s="133"/>
      <c r="E103" s="133"/>
      <c r="F103" s="124"/>
      <c r="G103" s="124"/>
      <c r="H103" s="124"/>
      <c r="I103" s="124"/>
      <c r="J103" s="124"/>
      <c r="K103" s="124"/>
      <c r="L103" s="124"/>
      <c r="M103" s="125"/>
    </row>
    <row r="104" spans="1:13" x14ac:dyDescent="0.3">
      <c r="A104" s="134" t="s">
        <v>331</v>
      </c>
      <c r="B104" s="81" t="s">
        <v>105</v>
      </c>
      <c r="C104" s="82"/>
      <c r="D104" s="82"/>
      <c r="E104" s="83"/>
      <c r="F104" s="135" t="e">
        <f t="shared" ref="F104:G106" si="9">H104+J104+L104</f>
        <v>#VALUE!</v>
      </c>
      <c r="G104" s="135" t="e">
        <f t="shared" si="9"/>
        <v>#VALUE!</v>
      </c>
      <c r="H104" s="135" t="s">
        <v>332</v>
      </c>
      <c r="I104" s="135" t="s">
        <v>333</v>
      </c>
      <c r="J104" s="135" t="s">
        <v>332</v>
      </c>
      <c r="K104" s="135" t="s">
        <v>333</v>
      </c>
      <c r="L104" s="135" t="s">
        <v>332</v>
      </c>
      <c r="M104" s="136" t="s">
        <v>333</v>
      </c>
    </row>
    <row r="105" spans="1:13" x14ac:dyDescent="0.3">
      <c r="A105" s="137"/>
      <c r="B105" s="81" t="s">
        <v>334</v>
      </c>
      <c r="C105" s="82"/>
      <c r="D105" s="82"/>
      <c r="E105" s="83"/>
      <c r="F105" s="135" t="e">
        <f t="shared" si="9"/>
        <v>#VALUE!</v>
      </c>
      <c r="G105" s="135" t="e">
        <f t="shared" si="9"/>
        <v>#VALUE!</v>
      </c>
      <c r="H105" s="135" t="s">
        <v>335</v>
      </c>
      <c r="I105" s="135" t="s">
        <v>336</v>
      </c>
      <c r="J105" s="135" t="s">
        <v>335</v>
      </c>
      <c r="K105" s="135" t="s">
        <v>336</v>
      </c>
      <c r="L105" s="135" t="s">
        <v>335</v>
      </c>
      <c r="M105" s="136" t="s">
        <v>336</v>
      </c>
    </row>
    <row r="106" spans="1:13" x14ac:dyDescent="0.3">
      <c r="A106" s="104"/>
      <c r="B106" s="81" t="s">
        <v>108</v>
      </c>
      <c r="C106" s="82"/>
      <c r="D106" s="82"/>
      <c r="E106" s="83"/>
      <c r="F106" s="135" t="e">
        <f t="shared" si="9"/>
        <v>#VALUE!</v>
      </c>
      <c r="G106" s="135" t="e">
        <f t="shared" si="9"/>
        <v>#VALUE!</v>
      </c>
      <c r="H106" s="135" t="s">
        <v>337</v>
      </c>
      <c r="I106" s="135" t="s">
        <v>338</v>
      </c>
      <c r="J106" s="135" t="s">
        <v>337</v>
      </c>
      <c r="K106" s="135" t="s">
        <v>338</v>
      </c>
      <c r="L106" s="135" t="s">
        <v>337</v>
      </c>
      <c r="M106" s="136" t="s">
        <v>338</v>
      </c>
    </row>
    <row r="107" spans="1:13" x14ac:dyDescent="0.3">
      <c r="A107" s="138" t="s">
        <v>82</v>
      </c>
      <c r="B107" s="139"/>
      <c r="C107" s="139"/>
      <c r="D107" s="139"/>
      <c r="E107" s="139"/>
      <c r="F107" s="140"/>
      <c r="G107" s="140"/>
      <c r="H107" s="140"/>
      <c r="I107" s="140"/>
      <c r="J107" s="140"/>
      <c r="K107" s="140"/>
      <c r="L107" s="140"/>
      <c r="M107" s="141"/>
    </row>
    <row r="108" spans="1:13" x14ac:dyDescent="0.3">
      <c r="A108" s="110" t="s">
        <v>339</v>
      </c>
      <c r="B108" s="81" t="s">
        <v>109</v>
      </c>
      <c r="C108" s="82"/>
      <c r="D108" s="82"/>
      <c r="E108" s="83"/>
      <c r="F108" s="135" t="e">
        <f t="shared" ref="F108:G110" si="10">H108+J108+L108</f>
        <v>#VALUE!</v>
      </c>
      <c r="G108" s="135" t="e">
        <f t="shared" si="10"/>
        <v>#VALUE!</v>
      </c>
      <c r="H108" s="135" t="s">
        <v>340</v>
      </c>
      <c r="I108" s="135" t="s">
        <v>340</v>
      </c>
      <c r="J108" s="135" t="s">
        <v>340</v>
      </c>
      <c r="K108" s="135" t="s">
        <v>340</v>
      </c>
      <c r="L108" s="135" t="s">
        <v>340</v>
      </c>
      <c r="M108" s="136" t="s">
        <v>340</v>
      </c>
    </row>
    <row r="109" spans="1:13" x14ac:dyDescent="0.3">
      <c r="A109" s="110"/>
      <c r="B109" s="81" t="s">
        <v>110</v>
      </c>
      <c r="C109" s="82"/>
      <c r="D109" s="82"/>
      <c r="E109" s="83"/>
      <c r="F109" s="135" t="e">
        <f t="shared" si="10"/>
        <v>#VALUE!</v>
      </c>
      <c r="G109" s="135" t="e">
        <f t="shared" si="10"/>
        <v>#VALUE!</v>
      </c>
      <c r="H109" s="135" t="s">
        <v>341</v>
      </c>
      <c r="I109" s="135" t="s">
        <v>341</v>
      </c>
      <c r="J109" s="135" t="s">
        <v>341</v>
      </c>
      <c r="K109" s="135" t="s">
        <v>341</v>
      </c>
      <c r="L109" s="135" t="s">
        <v>341</v>
      </c>
      <c r="M109" s="136" t="s">
        <v>341</v>
      </c>
    </row>
    <row r="110" spans="1:13" x14ac:dyDescent="0.3">
      <c r="A110" s="110"/>
      <c r="B110" s="81" t="s">
        <v>111</v>
      </c>
      <c r="C110" s="82"/>
      <c r="D110" s="82"/>
      <c r="E110" s="83"/>
      <c r="F110" s="135" t="e">
        <f t="shared" si="10"/>
        <v>#VALUE!</v>
      </c>
      <c r="G110" s="135" t="e">
        <f t="shared" si="10"/>
        <v>#VALUE!</v>
      </c>
      <c r="H110" s="135" t="s">
        <v>342</v>
      </c>
      <c r="I110" s="135" t="s">
        <v>342</v>
      </c>
      <c r="J110" s="135" t="s">
        <v>342</v>
      </c>
      <c r="K110" s="135" t="s">
        <v>342</v>
      </c>
      <c r="L110" s="135" t="s">
        <v>342</v>
      </c>
      <c r="M110" s="136" t="s">
        <v>342</v>
      </c>
    </row>
    <row r="111" spans="1:13" x14ac:dyDescent="0.3">
      <c r="A111" s="142" t="s">
        <v>83</v>
      </c>
      <c r="B111" s="143"/>
      <c r="C111" s="143"/>
      <c r="D111" s="143"/>
      <c r="E111" s="143"/>
      <c r="F111" s="140"/>
      <c r="G111" s="140"/>
      <c r="H111" s="140"/>
      <c r="I111" s="140"/>
      <c r="J111" s="140"/>
      <c r="K111" s="140"/>
      <c r="L111" s="140"/>
      <c r="M111" s="141"/>
    </row>
    <row r="112" spans="1:13" x14ac:dyDescent="0.3">
      <c r="A112" s="110"/>
      <c r="B112" s="81" t="s">
        <v>112</v>
      </c>
      <c r="C112" s="82"/>
      <c r="D112" s="82"/>
      <c r="E112" s="83"/>
      <c r="F112" s="135" t="e">
        <f t="shared" ref="F112:G115" si="11">H112+J112+L112</f>
        <v>#VALUE!</v>
      </c>
      <c r="G112" s="135" t="e">
        <f t="shared" si="11"/>
        <v>#VALUE!</v>
      </c>
      <c r="H112" s="135" t="s">
        <v>343</v>
      </c>
      <c r="I112" s="135" t="s">
        <v>343</v>
      </c>
      <c r="J112" s="135" t="s">
        <v>343</v>
      </c>
      <c r="K112" s="135" t="s">
        <v>343</v>
      </c>
      <c r="L112" s="135" t="s">
        <v>343</v>
      </c>
      <c r="M112" s="136" t="s">
        <v>343</v>
      </c>
    </row>
    <row r="113" spans="1:13" x14ac:dyDescent="0.3">
      <c r="A113" s="110"/>
      <c r="B113" s="81" t="s">
        <v>113</v>
      </c>
      <c r="C113" s="82"/>
      <c r="D113" s="82"/>
      <c r="E113" s="83"/>
      <c r="F113" s="135" t="e">
        <f t="shared" si="11"/>
        <v>#VALUE!</v>
      </c>
      <c r="G113" s="135" t="e">
        <f t="shared" si="11"/>
        <v>#VALUE!</v>
      </c>
      <c r="H113" s="135" t="s">
        <v>344</v>
      </c>
      <c r="I113" s="135" t="s">
        <v>344</v>
      </c>
      <c r="J113" s="135" t="s">
        <v>344</v>
      </c>
      <c r="K113" s="135" t="s">
        <v>344</v>
      </c>
      <c r="L113" s="135" t="s">
        <v>344</v>
      </c>
      <c r="M113" s="136" t="s">
        <v>344</v>
      </c>
    </row>
    <row r="114" spans="1:13" x14ac:dyDescent="0.3">
      <c r="A114" s="110"/>
      <c r="B114" s="81" t="s">
        <v>114</v>
      </c>
      <c r="C114" s="82"/>
      <c r="D114" s="82"/>
      <c r="E114" s="83"/>
      <c r="F114" s="135" t="e">
        <f t="shared" si="11"/>
        <v>#VALUE!</v>
      </c>
      <c r="G114" s="135" t="e">
        <f t="shared" si="11"/>
        <v>#VALUE!</v>
      </c>
      <c r="H114" s="135" t="s">
        <v>345</v>
      </c>
      <c r="I114" s="135" t="s">
        <v>345</v>
      </c>
      <c r="J114" s="135" t="s">
        <v>345</v>
      </c>
      <c r="K114" s="135" t="s">
        <v>345</v>
      </c>
      <c r="L114" s="135" t="s">
        <v>345</v>
      </c>
      <c r="M114" s="136" t="s">
        <v>345</v>
      </c>
    </row>
    <row r="115" spans="1:13" x14ac:dyDescent="0.3">
      <c r="A115" s="110"/>
      <c r="B115" s="81" t="s">
        <v>115</v>
      </c>
      <c r="C115" s="82"/>
      <c r="D115" s="82"/>
      <c r="E115" s="83"/>
      <c r="F115" s="135" t="e">
        <f t="shared" si="11"/>
        <v>#VALUE!</v>
      </c>
      <c r="G115" s="135" t="e">
        <f t="shared" si="11"/>
        <v>#VALUE!</v>
      </c>
      <c r="H115" s="135" t="s">
        <v>346</v>
      </c>
      <c r="I115" s="135" t="s">
        <v>346</v>
      </c>
      <c r="J115" s="135" t="s">
        <v>346</v>
      </c>
      <c r="K115" s="135" t="s">
        <v>346</v>
      </c>
      <c r="L115" s="135" t="s">
        <v>346</v>
      </c>
      <c r="M115" s="136" t="s">
        <v>346</v>
      </c>
    </row>
    <row r="116" spans="1:13" x14ac:dyDescent="0.3">
      <c r="A116" s="144" t="s">
        <v>84</v>
      </c>
      <c r="B116" s="145"/>
      <c r="C116" s="145"/>
      <c r="D116" s="145"/>
      <c r="E116" s="145"/>
      <c r="F116" s="146"/>
      <c r="G116" s="146"/>
      <c r="H116" s="146"/>
      <c r="I116" s="146"/>
      <c r="J116" s="146"/>
      <c r="K116" s="146"/>
      <c r="L116" s="146"/>
      <c r="M116" s="147"/>
    </row>
    <row r="117" spans="1:13" x14ac:dyDescent="0.3">
      <c r="A117" s="110"/>
      <c r="B117" s="81" t="s">
        <v>116</v>
      </c>
      <c r="C117" s="82"/>
      <c r="D117" s="82"/>
      <c r="E117" s="83"/>
      <c r="F117" s="135" t="e">
        <f t="shared" ref="F117:G120" si="12">H117+J117+L117</f>
        <v>#VALUE!</v>
      </c>
      <c r="G117" s="135" t="e">
        <f t="shared" si="12"/>
        <v>#VALUE!</v>
      </c>
      <c r="H117" s="135" t="s">
        <v>347</v>
      </c>
      <c r="I117" s="135" t="s">
        <v>347</v>
      </c>
      <c r="J117" s="135"/>
      <c r="K117" s="135"/>
      <c r="L117" s="135"/>
      <c r="M117" s="136"/>
    </row>
    <row r="118" spans="1:13" x14ac:dyDescent="0.3">
      <c r="A118" s="110"/>
      <c r="B118" s="81" t="s">
        <v>117</v>
      </c>
      <c r="C118" s="82"/>
      <c r="D118" s="82"/>
      <c r="E118" s="83"/>
      <c r="F118" s="135" t="e">
        <f t="shared" si="12"/>
        <v>#VALUE!</v>
      </c>
      <c r="G118" s="135" t="e">
        <f t="shared" si="12"/>
        <v>#VALUE!</v>
      </c>
      <c r="H118" s="135" t="s">
        <v>348</v>
      </c>
      <c r="I118" s="135" t="s">
        <v>348</v>
      </c>
      <c r="J118" s="135"/>
      <c r="K118" s="135"/>
      <c r="L118" s="135"/>
      <c r="M118" s="136"/>
    </row>
    <row r="119" spans="1:13" x14ac:dyDescent="0.3">
      <c r="A119" s="110"/>
      <c r="B119" s="81" t="s">
        <v>118</v>
      </c>
      <c r="C119" s="82"/>
      <c r="D119" s="82"/>
      <c r="E119" s="83"/>
      <c r="F119" s="135" t="e">
        <f t="shared" si="12"/>
        <v>#VALUE!</v>
      </c>
      <c r="G119" s="135" t="e">
        <f t="shared" si="12"/>
        <v>#VALUE!</v>
      </c>
      <c r="H119" s="135" t="s">
        <v>349</v>
      </c>
      <c r="I119" s="135" t="s">
        <v>349</v>
      </c>
      <c r="J119" s="135"/>
      <c r="K119" s="135"/>
      <c r="L119" s="135"/>
      <c r="M119" s="136"/>
    </row>
    <row r="120" spans="1:13" x14ac:dyDescent="0.3">
      <c r="A120" s="110"/>
      <c r="B120" s="81" t="s">
        <v>119</v>
      </c>
      <c r="C120" s="82"/>
      <c r="D120" s="82"/>
      <c r="E120" s="83"/>
      <c r="F120" s="135" t="e">
        <f t="shared" si="12"/>
        <v>#VALUE!</v>
      </c>
      <c r="G120" s="135" t="e">
        <f t="shared" si="12"/>
        <v>#VALUE!</v>
      </c>
      <c r="H120" s="135" t="s">
        <v>350</v>
      </c>
      <c r="I120" s="135" t="s">
        <v>350</v>
      </c>
      <c r="J120" s="135"/>
      <c r="K120" s="135"/>
      <c r="L120" s="135"/>
      <c r="M120" s="136"/>
    </row>
  </sheetData>
  <mergeCells count="141">
    <mergeCell ref="A117:A120"/>
    <mergeCell ref="B117:E117"/>
    <mergeCell ref="B118:E118"/>
    <mergeCell ref="B119:E119"/>
    <mergeCell ref="B120:E120"/>
    <mergeCell ref="A112:A115"/>
    <mergeCell ref="B112:E112"/>
    <mergeCell ref="B113:E113"/>
    <mergeCell ref="B114:E114"/>
    <mergeCell ref="B115:E115"/>
    <mergeCell ref="A116:E116"/>
    <mergeCell ref="A107:E107"/>
    <mergeCell ref="A108:A110"/>
    <mergeCell ref="B108:E108"/>
    <mergeCell ref="B109:E109"/>
    <mergeCell ref="B110:E110"/>
    <mergeCell ref="A111:E111"/>
    <mergeCell ref="B100:E100"/>
    <mergeCell ref="A101:XFD101"/>
    <mergeCell ref="A102:E102"/>
    <mergeCell ref="A103:E103"/>
    <mergeCell ref="A104:A106"/>
    <mergeCell ref="B104:E104"/>
    <mergeCell ref="B105:E105"/>
    <mergeCell ref="B106:E106"/>
    <mergeCell ref="B91:E91"/>
    <mergeCell ref="B92:E92"/>
    <mergeCell ref="B93:E93"/>
    <mergeCell ref="A94:E94"/>
    <mergeCell ref="A95:A100"/>
    <mergeCell ref="B95:E95"/>
    <mergeCell ref="B96:E96"/>
    <mergeCell ref="B97:E97"/>
    <mergeCell ref="B98:E98"/>
    <mergeCell ref="B99:E99"/>
    <mergeCell ref="A83:A84"/>
    <mergeCell ref="B83:E83"/>
    <mergeCell ref="B84:E84"/>
    <mergeCell ref="A85:E85"/>
    <mergeCell ref="A86:A93"/>
    <mergeCell ref="B86:E86"/>
    <mergeCell ref="B87:E87"/>
    <mergeCell ref="B88:E88"/>
    <mergeCell ref="B89:E89"/>
    <mergeCell ref="B90:E90"/>
    <mergeCell ref="A77:E77"/>
    <mergeCell ref="A78:A79"/>
    <mergeCell ref="B78:E78"/>
    <mergeCell ref="B79:E79"/>
    <mergeCell ref="A80:E80"/>
    <mergeCell ref="A81:A82"/>
    <mergeCell ref="B81:E81"/>
    <mergeCell ref="B82:E82"/>
    <mergeCell ref="B72:E72"/>
    <mergeCell ref="A73:E73"/>
    <mergeCell ref="A74:A76"/>
    <mergeCell ref="B74:E74"/>
    <mergeCell ref="B75:E75"/>
    <mergeCell ref="B76:E76"/>
    <mergeCell ref="A65:A67"/>
    <mergeCell ref="B65:E65"/>
    <mergeCell ref="B66:E66"/>
    <mergeCell ref="B67:E67"/>
    <mergeCell ref="A68:E68"/>
    <mergeCell ref="A69:A71"/>
    <mergeCell ref="B69:E69"/>
    <mergeCell ref="B70:E70"/>
    <mergeCell ref="B71:E71"/>
    <mergeCell ref="A56:A64"/>
    <mergeCell ref="B56:E56"/>
    <mergeCell ref="B57:E57"/>
    <mergeCell ref="B58:E58"/>
    <mergeCell ref="B59:E59"/>
    <mergeCell ref="B60:E60"/>
    <mergeCell ref="B61:E61"/>
    <mergeCell ref="B62:E62"/>
    <mergeCell ref="B63:E63"/>
    <mergeCell ref="B64:E64"/>
    <mergeCell ref="A49:E49"/>
    <mergeCell ref="A50:A51"/>
    <mergeCell ref="B50:E50"/>
    <mergeCell ref="B51:E51"/>
    <mergeCell ref="A52:E52"/>
    <mergeCell ref="A53:A55"/>
    <mergeCell ref="B53:E53"/>
    <mergeCell ref="B54:E54"/>
    <mergeCell ref="B55:E55"/>
    <mergeCell ref="A42:E42"/>
    <mergeCell ref="B43:E43"/>
    <mergeCell ref="B44:E44"/>
    <mergeCell ref="B45:E45"/>
    <mergeCell ref="B46:E46"/>
    <mergeCell ref="B48:E48"/>
    <mergeCell ref="A34:A41"/>
    <mergeCell ref="B34:E34"/>
    <mergeCell ref="B35:E35"/>
    <mergeCell ref="B36:E36"/>
    <mergeCell ref="B37:E37"/>
    <mergeCell ref="B38:E38"/>
    <mergeCell ref="B39:E39"/>
    <mergeCell ref="B40:E40"/>
    <mergeCell ref="B41:E41"/>
    <mergeCell ref="A28:E28"/>
    <mergeCell ref="A29:A33"/>
    <mergeCell ref="B29:E29"/>
    <mergeCell ref="B30:E30"/>
    <mergeCell ref="B31:E31"/>
    <mergeCell ref="B32:E32"/>
    <mergeCell ref="B33:E33"/>
    <mergeCell ref="A23:E23"/>
    <mergeCell ref="A24:A26"/>
    <mergeCell ref="B24:E24"/>
    <mergeCell ref="B25:E25"/>
    <mergeCell ref="B26:E26"/>
    <mergeCell ref="B27:E27"/>
    <mergeCell ref="A17:A19"/>
    <mergeCell ref="B17:E17"/>
    <mergeCell ref="B18:E18"/>
    <mergeCell ref="B19:E19"/>
    <mergeCell ref="A20:E20"/>
    <mergeCell ref="A21:A22"/>
    <mergeCell ref="B21:E21"/>
    <mergeCell ref="B22:E22"/>
    <mergeCell ref="B9:E9"/>
    <mergeCell ref="A10:E10"/>
    <mergeCell ref="B11:E11"/>
    <mergeCell ref="B12:E12"/>
    <mergeCell ref="A13:A16"/>
    <mergeCell ref="B13:E13"/>
    <mergeCell ref="B14:E14"/>
    <mergeCell ref="B15:E15"/>
    <mergeCell ref="B16:E16"/>
    <mergeCell ref="A4:M4"/>
    <mergeCell ref="B5:E5"/>
    <mergeCell ref="B6:E6"/>
    <mergeCell ref="B7:E7"/>
    <mergeCell ref="B8:E8"/>
    <mergeCell ref="F8:G8"/>
    <mergeCell ref="H8:I8"/>
    <mergeCell ref="J8:K8"/>
    <mergeCell ref="L8:M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Adulto_Mayor</vt:lpstr>
      <vt:lpstr>sintaxis</vt:lpstr>
    </vt:vector>
  </TitlesOfParts>
  <Company>TuSoft.org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TuSoft</dc:creator>
  <cp:lastModifiedBy>TuSoft</cp:lastModifiedBy>
  <dcterms:created xsi:type="dcterms:W3CDTF">2025-06-04T16:48:43Z</dcterms:created>
  <dcterms:modified xsi:type="dcterms:W3CDTF">2025-06-12T20:29:27Z</dcterms:modified>
</cp:coreProperties>
</file>