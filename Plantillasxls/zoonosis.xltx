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4950" yWindow="1200" windowWidth="15600" windowHeight="8070" tabRatio="859"/>
  </bookViews>
  <sheets>
    <sheet name="ZOONOSIS" sheetId="1" r:id="rId1"/>
    <sheet name="BRUCELOSIS" sheetId="4" r:id="rId2"/>
    <sheet name="PESTE" sheetId="6" r:id="rId3"/>
    <sheet name="CARBUNCO" sheetId="7" r:id="rId4"/>
    <sheet name="EQUINOCOCOSIS" sheetId="8" r:id="rId5"/>
    <sheet name="LEPTOSPIROSIS" sheetId="9" r:id="rId6"/>
    <sheet name=" FASCIOLIASIS" sheetId="10" r:id="rId7"/>
    <sheet name="APPS" sheetId="11" r:id="rId8"/>
  </sheets>
  <definedNames>
    <definedName name="_xlnm.Print_Area" localSheetId="6">' FASCIOLIASIS'!$A$1:$I$36</definedName>
    <definedName name="_xlnm.Print_Area" localSheetId="7">APPS!$A$1:$H$64</definedName>
    <definedName name="_xlnm.Print_Area" localSheetId="1">BRUCELOSIS!$A$1:$I$77</definedName>
    <definedName name="_xlnm.Print_Area" localSheetId="3">CARBUNCO!$A$1:$I$63</definedName>
    <definedName name="_xlnm.Print_Area" localSheetId="4">EQUINOCOCOSIS!$A$1:$I$73</definedName>
    <definedName name="_xlnm.Print_Area" localSheetId="5">LEPTOSPIROSIS!$A$1:$I$63</definedName>
    <definedName name="_xlnm.Print_Area" localSheetId="2">PESTE!$A$1:$I$87</definedName>
    <definedName name="_xlnm.Print_Area" localSheetId="0">ZOONOSIS!$B$1:$J$446</definedName>
  </definedNames>
  <calcPr calcId="171027"/>
</workbook>
</file>

<file path=xl/calcChain.xml><?xml version="1.0" encoding="utf-8"?>
<calcChain xmlns="http://schemas.openxmlformats.org/spreadsheetml/2006/main">
  <c r="D20" i="7" l="1"/>
  <c r="D19" i="6"/>
  <c r="D34" i="4"/>
  <c r="E33" i="4"/>
  <c r="F33" i="4"/>
  <c r="G33" i="4"/>
  <c r="H33" i="4"/>
  <c r="D33" i="4"/>
  <c r="D25" i="6"/>
  <c r="C17" i="11"/>
  <c r="D166" i="1" l="1"/>
  <c r="D165" i="1"/>
  <c r="J164" i="1"/>
  <c r="I164" i="1"/>
  <c r="H164" i="1"/>
  <c r="G164" i="1"/>
  <c r="F164" i="1"/>
  <c r="E164" i="1"/>
  <c r="D164" i="1" s="1"/>
  <c r="D163" i="1"/>
  <c r="D162" i="1"/>
  <c r="J161" i="1"/>
  <c r="I161" i="1"/>
  <c r="H161" i="1"/>
  <c r="G161" i="1"/>
  <c r="F161" i="1"/>
  <c r="E161" i="1"/>
  <c r="D160" i="1"/>
  <c r="D159" i="1"/>
  <c r="J158" i="1"/>
  <c r="I158" i="1"/>
  <c r="H158" i="1"/>
  <c r="G158" i="1"/>
  <c r="F158" i="1"/>
  <c r="E158" i="1"/>
  <c r="D158" i="1" s="1"/>
  <c r="D157" i="1"/>
  <c r="D156" i="1"/>
  <c r="J155" i="1"/>
  <c r="I155" i="1"/>
  <c r="H155" i="1"/>
  <c r="G155" i="1"/>
  <c r="F155" i="1"/>
  <c r="E155" i="1"/>
  <c r="D155" i="1" s="1"/>
  <c r="D161" i="1" l="1"/>
  <c r="D57" i="1"/>
  <c r="D56" i="1"/>
  <c r="J55" i="1"/>
  <c r="I55" i="1"/>
  <c r="H55" i="1"/>
  <c r="G55" i="1"/>
  <c r="F55" i="1"/>
  <c r="E55" i="1"/>
  <c r="D54" i="1"/>
  <c r="D53" i="1"/>
  <c r="J52" i="1"/>
  <c r="I52" i="1"/>
  <c r="H52" i="1"/>
  <c r="G52" i="1"/>
  <c r="F52" i="1"/>
  <c r="E52" i="1"/>
  <c r="D51" i="1"/>
  <c r="D50" i="1"/>
  <c r="J49" i="1"/>
  <c r="I49" i="1"/>
  <c r="H49" i="1"/>
  <c r="G49" i="1"/>
  <c r="F49" i="1"/>
  <c r="E49" i="1"/>
  <c r="D48" i="1"/>
  <c r="D47" i="1"/>
  <c r="J46" i="1"/>
  <c r="I46" i="1"/>
  <c r="H46" i="1"/>
  <c r="G46" i="1"/>
  <c r="F46" i="1"/>
  <c r="E46" i="1"/>
  <c r="D10" i="11"/>
  <c r="B10" i="11"/>
  <c r="D10" i="10"/>
  <c r="B10" i="10"/>
  <c r="D10" i="9"/>
  <c r="B10" i="9"/>
  <c r="D10" i="8"/>
  <c r="B10" i="8"/>
  <c r="D10" i="7"/>
  <c r="B10" i="7"/>
  <c r="D10" i="6"/>
  <c r="B10" i="6"/>
  <c r="D10" i="4"/>
  <c r="B10" i="4"/>
  <c r="B8" i="11"/>
  <c r="B8" i="10"/>
  <c r="B8" i="9"/>
  <c r="B8" i="8"/>
  <c r="B8" i="7"/>
  <c r="B8" i="6"/>
  <c r="B8" i="4"/>
  <c r="D204" i="1"/>
  <c r="D203" i="1"/>
  <c r="J202" i="1"/>
  <c r="I202" i="1"/>
  <c r="H202" i="1"/>
  <c r="G202" i="1"/>
  <c r="F202" i="1"/>
  <c r="E202" i="1"/>
  <c r="D201" i="1"/>
  <c r="D200" i="1"/>
  <c r="J199" i="1"/>
  <c r="I199" i="1"/>
  <c r="H199" i="1"/>
  <c r="G199" i="1"/>
  <c r="F199" i="1"/>
  <c r="E199" i="1"/>
  <c r="D198" i="1"/>
  <c r="D197" i="1"/>
  <c r="J196" i="1"/>
  <c r="I196" i="1"/>
  <c r="H196" i="1"/>
  <c r="G196" i="1"/>
  <c r="F196" i="1"/>
  <c r="E196" i="1"/>
  <c r="D195" i="1"/>
  <c r="D194" i="1"/>
  <c r="J193" i="1"/>
  <c r="I193" i="1"/>
  <c r="H193" i="1"/>
  <c r="G193" i="1"/>
  <c r="F193" i="1"/>
  <c r="E193" i="1"/>
  <c r="D192" i="1"/>
  <c r="D191" i="1"/>
  <c r="J190" i="1"/>
  <c r="I190" i="1"/>
  <c r="H190" i="1"/>
  <c r="G190" i="1"/>
  <c r="F190" i="1"/>
  <c r="E190" i="1"/>
  <c r="D188" i="1"/>
  <c r="D187" i="1"/>
  <c r="J186" i="1"/>
  <c r="I186" i="1"/>
  <c r="H186" i="1"/>
  <c r="G186" i="1"/>
  <c r="F186" i="1"/>
  <c r="E186" i="1"/>
  <c r="D185" i="1"/>
  <c r="D184" i="1"/>
  <c r="J183" i="1"/>
  <c r="I183" i="1"/>
  <c r="H183" i="1"/>
  <c r="G183" i="1"/>
  <c r="F183" i="1"/>
  <c r="E183" i="1"/>
  <c r="J182" i="1"/>
  <c r="J180" i="1" s="1"/>
  <c r="I182" i="1"/>
  <c r="H182" i="1"/>
  <c r="G182" i="1"/>
  <c r="F182" i="1"/>
  <c r="E182" i="1"/>
  <c r="I181" i="1"/>
  <c r="H181" i="1"/>
  <c r="G181" i="1"/>
  <c r="F181" i="1"/>
  <c r="F180" i="1" s="1"/>
  <c r="E181" i="1"/>
  <c r="D178" i="1"/>
  <c r="D177" i="1"/>
  <c r="J176" i="1"/>
  <c r="I176" i="1"/>
  <c r="H176" i="1"/>
  <c r="G176" i="1"/>
  <c r="F176" i="1"/>
  <c r="E176" i="1"/>
  <c r="D175" i="1"/>
  <c r="D174" i="1"/>
  <c r="J173" i="1"/>
  <c r="I173" i="1"/>
  <c r="H173" i="1"/>
  <c r="G173" i="1"/>
  <c r="F173" i="1"/>
  <c r="E173" i="1"/>
  <c r="J172" i="1"/>
  <c r="J170" i="1" s="1"/>
  <c r="I172" i="1"/>
  <c r="H172" i="1"/>
  <c r="G172" i="1"/>
  <c r="F172" i="1"/>
  <c r="E172" i="1"/>
  <c r="I171" i="1"/>
  <c r="H171" i="1"/>
  <c r="G171" i="1"/>
  <c r="F171" i="1"/>
  <c r="E171" i="1"/>
  <c r="D151" i="1"/>
  <c r="D150" i="1"/>
  <c r="J149" i="1"/>
  <c r="I149" i="1"/>
  <c r="H149" i="1"/>
  <c r="G149" i="1"/>
  <c r="F149" i="1"/>
  <c r="E149" i="1"/>
  <c r="D146" i="1"/>
  <c r="D145" i="1"/>
  <c r="J144" i="1"/>
  <c r="I144" i="1"/>
  <c r="H144" i="1"/>
  <c r="G144" i="1"/>
  <c r="F144" i="1"/>
  <c r="E144" i="1"/>
  <c r="D143" i="1"/>
  <c r="D142" i="1"/>
  <c r="J141" i="1"/>
  <c r="I141" i="1"/>
  <c r="H141" i="1"/>
  <c r="G141" i="1"/>
  <c r="F141" i="1"/>
  <c r="E141" i="1"/>
  <c r="D140" i="1"/>
  <c r="D139" i="1"/>
  <c r="J138" i="1"/>
  <c r="I138" i="1"/>
  <c r="H138" i="1"/>
  <c r="G138" i="1"/>
  <c r="F138" i="1"/>
  <c r="E138" i="1"/>
  <c r="J137" i="1"/>
  <c r="J135" i="1" s="1"/>
  <c r="I137" i="1"/>
  <c r="H137" i="1"/>
  <c r="G137" i="1"/>
  <c r="F137" i="1"/>
  <c r="E137" i="1"/>
  <c r="I136" i="1"/>
  <c r="H136" i="1"/>
  <c r="H135" i="1" s="1"/>
  <c r="G136" i="1"/>
  <c r="F136" i="1"/>
  <c r="E136" i="1"/>
  <c r="D132" i="1"/>
  <c r="D131" i="1"/>
  <c r="J130" i="1"/>
  <c r="I130" i="1"/>
  <c r="H130" i="1"/>
  <c r="G130" i="1"/>
  <c r="F130" i="1"/>
  <c r="E130" i="1"/>
  <c r="C111" i="1"/>
  <c r="C106" i="1"/>
  <c r="C98" i="1"/>
  <c r="D95" i="1"/>
  <c r="D94" i="1"/>
  <c r="J93" i="1"/>
  <c r="I93" i="1"/>
  <c r="H93" i="1"/>
  <c r="G93" i="1"/>
  <c r="F93" i="1"/>
  <c r="E93" i="1"/>
  <c r="D92" i="1"/>
  <c r="D91" i="1"/>
  <c r="J90" i="1"/>
  <c r="I90" i="1"/>
  <c r="H90" i="1"/>
  <c r="G90" i="1"/>
  <c r="F90" i="1"/>
  <c r="E90" i="1"/>
  <c r="D89" i="1"/>
  <c r="D88" i="1"/>
  <c r="J87" i="1"/>
  <c r="I87" i="1"/>
  <c r="H87" i="1"/>
  <c r="G87" i="1"/>
  <c r="F87" i="1"/>
  <c r="E87" i="1"/>
  <c r="D86" i="1"/>
  <c r="D85" i="1"/>
  <c r="J84" i="1"/>
  <c r="I84" i="1"/>
  <c r="H84" i="1"/>
  <c r="G84" i="1"/>
  <c r="F84" i="1"/>
  <c r="E84" i="1"/>
  <c r="D83" i="1"/>
  <c r="D82" i="1"/>
  <c r="J81" i="1"/>
  <c r="I81" i="1"/>
  <c r="H81" i="1"/>
  <c r="G81" i="1"/>
  <c r="F81" i="1"/>
  <c r="E81" i="1"/>
  <c r="D79" i="1"/>
  <c r="D78" i="1"/>
  <c r="J77" i="1"/>
  <c r="I77" i="1"/>
  <c r="H77" i="1"/>
  <c r="G77" i="1"/>
  <c r="F77" i="1"/>
  <c r="E77" i="1"/>
  <c r="D76" i="1"/>
  <c r="D75" i="1"/>
  <c r="J74" i="1"/>
  <c r="I74" i="1"/>
  <c r="H74" i="1"/>
  <c r="G74" i="1"/>
  <c r="F74" i="1"/>
  <c r="E74" i="1"/>
  <c r="J73" i="1"/>
  <c r="J71" i="1" s="1"/>
  <c r="I73" i="1"/>
  <c r="H73" i="1"/>
  <c r="G73" i="1"/>
  <c r="F73" i="1"/>
  <c r="E73" i="1"/>
  <c r="I72" i="1"/>
  <c r="H72" i="1"/>
  <c r="G72" i="1"/>
  <c r="F72" i="1"/>
  <c r="E72" i="1"/>
  <c r="D69" i="1"/>
  <c r="D68" i="1"/>
  <c r="J67" i="1"/>
  <c r="I67" i="1"/>
  <c r="H67" i="1"/>
  <c r="G67" i="1"/>
  <c r="F67" i="1"/>
  <c r="E67" i="1"/>
  <c r="D66" i="1"/>
  <c r="D65" i="1"/>
  <c r="J64" i="1"/>
  <c r="I64" i="1"/>
  <c r="H64" i="1"/>
  <c r="G64" i="1"/>
  <c r="F64" i="1"/>
  <c r="E64" i="1"/>
  <c r="J63" i="1"/>
  <c r="J61" i="1" s="1"/>
  <c r="I63" i="1"/>
  <c r="H63" i="1"/>
  <c r="G63" i="1"/>
  <c r="F63" i="1"/>
  <c r="E63" i="1"/>
  <c r="I62" i="1"/>
  <c r="H62" i="1"/>
  <c r="G62" i="1"/>
  <c r="F62" i="1"/>
  <c r="E62" i="1"/>
  <c r="D42" i="1"/>
  <c r="D41" i="1"/>
  <c r="J40" i="1"/>
  <c r="I40" i="1"/>
  <c r="H40" i="1"/>
  <c r="G40" i="1"/>
  <c r="F40" i="1"/>
  <c r="E40" i="1"/>
  <c r="D37" i="1"/>
  <c r="D36" i="1"/>
  <c r="J35" i="1"/>
  <c r="I35" i="1"/>
  <c r="H35" i="1"/>
  <c r="G35" i="1"/>
  <c r="F35" i="1"/>
  <c r="E35" i="1"/>
  <c r="D34" i="1"/>
  <c r="D33" i="1"/>
  <c r="J32" i="1"/>
  <c r="I32" i="1"/>
  <c r="H32" i="1"/>
  <c r="G32" i="1"/>
  <c r="F32" i="1"/>
  <c r="E32" i="1"/>
  <c r="D29" i="1"/>
  <c r="D28" i="1"/>
  <c r="J27" i="1"/>
  <c r="I27" i="1"/>
  <c r="H27" i="1"/>
  <c r="G27" i="1"/>
  <c r="F27" i="1"/>
  <c r="E27" i="1"/>
  <c r="D26" i="1"/>
  <c r="D25" i="1"/>
  <c r="J24" i="1"/>
  <c r="I24" i="1"/>
  <c r="H24" i="1"/>
  <c r="G24" i="1"/>
  <c r="F24" i="1"/>
  <c r="E24" i="1"/>
  <c r="D23" i="1"/>
  <c r="D22" i="1"/>
  <c r="J21" i="1"/>
  <c r="I21" i="1"/>
  <c r="H21" i="1"/>
  <c r="G21" i="1"/>
  <c r="F21" i="1"/>
  <c r="E21" i="1"/>
  <c r="D20" i="1"/>
  <c r="D19" i="1"/>
  <c r="I18" i="1"/>
  <c r="H18" i="1"/>
  <c r="G18" i="1"/>
  <c r="F18" i="1"/>
  <c r="E18" i="1"/>
  <c r="J17" i="1"/>
  <c r="J15" i="1" s="1"/>
  <c r="I17" i="1"/>
  <c r="H17" i="1"/>
  <c r="G17" i="1"/>
  <c r="F17" i="1"/>
  <c r="E17" i="1"/>
  <c r="I16" i="1"/>
  <c r="H16" i="1"/>
  <c r="G16" i="1"/>
  <c r="F16" i="1"/>
  <c r="E16" i="1"/>
  <c r="D12" i="1"/>
  <c r="D11" i="1"/>
  <c r="J10" i="1"/>
  <c r="I10" i="1"/>
  <c r="H10" i="1"/>
  <c r="G10" i="1"/>
  <c r="F10" i="1"/>
  <c r="E10" i="1"/>
  <c r="B6" i="10"/>
  <c r="D16" i="10"/>
  <c r="E16" i="10"/>
  <c r="F16" i="10"/>
  <c r="G16" i="10"/>
  <c r="H16" i="10"/>
  <c r="I16" i="10"/>
  <c r="D17" i="10"/>
  <c r="E17" i="10"/>
  <c r="F17" i="10"/>
  <c r="G17" i="10"/>
  <c r="H17" i="10"/>
  <c r="I17" i="10"/>
  <c r="D18" i="10"/>
  <c r="E18" i="10"/>
  <c r="F18" i="10"/>
  <c r="G18" i="10"/>
  <c r="H18" i="10"/>
  <c r="I18" i="10"/>
  <c r="D21" i="10"/>
  <c r="E21" i="10"/>
  <c r="F21" i="10"/>
  <c r="G21" i="10"/>
  <c r="H21" i="10"/>
  <c r="I21" i="10"/>
  <c r="D22" i="10"/>
  <c r="E22" i="10"/>
  <c r="F22" i="10"/>
  <c r="G22" i="10"/>
  <c r="H22" i="10"/>
  <c r="I22" i="10"/>
  <c r="D23" i="10"/>
  <c r="E23" i="10"/>
  <c r="F23" i="10"/>
  <c r="G23" i="10"/>
  <c r="H23" i="10"/>
  <c r="I23" i="10"/>
  <c r="D24" i="10"/>
  <c r="E24" i="10"/>
  <c r="F24" i="10"/>
  <c r="G24" i="10"/>
  <c r="H24" i="10"/>
  <c r="I24" i="10"/>
  <c r="D25" i="10"/>
  <c r="E25" i="10"/>
  <c r="F25" i="10"/>
  <c r="G25" i="10"/>
  <c r="H25" i="10"/>
  <c r="I25" i="10"/>
  <c r="D26" i="10"/>
  <c r="E26" i="10"/>
  <c r="F26" i="10"/>
  <c r="G26" i="10"/>
  <c r="H26" i="10"/>
  <c r="I26" i="10"/>
  <c r="D29" i="10"/>
  <c r="E29" i="10"/>
  <c r="F29" i="10"/>
  <c r="G29" i="10"/>
  <c r="H29" i="10"/>
  <c r="I29" i="10"/>
  <c r="D30" i="10"/>
  <c r="E30" i="10"/>
  <c r="F30" i="10"/>
  <c r="G30" i="10"/>
  <c r="H30" i="10"/>
  <c r="I30" i="10"/>
  <c r="D31" i="10"/>
  <c r="E31" i="10"/>
  <c r="F31" i="10"/>
  <c r="G31" i="10"/>
  <c r="H31" i="10"/>
  <c r="I31" i="10"/>
  <c r="D34" i="10"/>
  <c r="E34" i="10"/>
  <c r="F34" i="10"/>
  <c r="G34" i="10"/>
  <c r="H34" i="10"/>
  <c r="I34" i="10"/>
  <c r="C35" i="10"/>
  <c r="C36" i="10"/>
  <c r="B6" i="11"/>
  <c r="D17" i="11"/>
  <c r="E17" i="11"/>
  <c r="F17" i="11"/>
  <c r="G17" i="11"/>
  <c r="C18" i="11"/>
  <c r="D18" i="11"/>
  <c r="E18" i="11"/>
  <c r="F18" i="11"/>
  <c r="G18" i="11"/>
  <c r="C19" i="11"/>
  <c r="D19" i="11"/>
  <c r="E19" i="11"/>
  <c r="F19" i="11"/>
  <c r="G19" i="11"/>
  <c r="C20" i="11"/>
  <c r="D20" i="11"/>
  <c r="E20" i="11"/>
  <c r="F20" i="11"/>
  <c r="G20" i="11"/>
  <c r="C21" i="11"/>
  <c r="D21" i="11"/>
  <c r="E21" i="11"/>
  <c r="F21" i="11"/>
  <c r="G21" i="11"/>
  <c r="C22" i="11"/>
  <c r="D22" i="11"/>
  <c r="E22" i="11"/>
  <c r="F22" i="11"/>
  <c r="G22" i="11"/>
  <c r="C23" i="11"/>
  <c r="D23" i="11"/>
  <c r="E23" i="11"/>
  <c r="F23" i="11"/>
  <c r="G23" i="11"/>
  <c r="C24" i="11"/>
  <c r="D24" i="11"/>
  <c r="E24" i="11"/>
  <c r="F24" i="11"/>
  <c r="G24" i="11"/>
  <c r="C25" i="11"/>
  <c r="D25" i="11"/>
  <c r="E25" i="11"/>
  <c r="F25" i="11"/>
  <c r="G25" i="11"/>
  <c r="B29" i="11"/>
  <c r="B30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B42" i="11"/>
  <c r="C42" i="11"/>
  <c r="D42" i="11"/>
  <c r="E42" i="11"/>
  <c r="F42" i="11"/>
  <c r="G42" i="11"/>
  <c r="H42" i="11"/>
  <c r="B43" i="11"/>
  <c r="C43" i="11"/>
  <c r="D43" i="11"/>
  <c r="E43" i="11"/>
  <c r="F43" i="11"/>
  <c r="G43" i="11"/>
  <c r="H43" i="11"/>
  <c r="B44" i="11"/>
  <c r="C44" i="11"/>
  <c r="D44" i="11"/>
  <c r="E44" i="11"/>
  <c r="F44" i="11"/>
  <c r="G44" i="11"/>
  <c r="H44" i="11"/>
  <c r="B45" i="11"/>
  <c r="C45" i="11"/>
  <c r="D45" i="11"/>
  <c r="E45" i="11"/>
  <c r="F45" i="11"/>
  <c r="G45" i="11"/>
  <c r="H45" i="11"/>
  <c r="B46" i="11"/>
  <c r="C46" i="11"/>
  <c r="D46" i="11"/>
  <c r="E46" i="11"/>
  <c r="F46" i="11"/>
  <c r="G46" i="11"/>
  <c r="H46" i="11"/>
  <c r="B47" i="11"/>
  <c r="C47" i="11"/>
  <c r="D47" i="11"/>
  <c r="E47" i="11"/>
  <c r="F47" i="11"/>
  <c r="G47" i="11"/>
  <c r="H47" i="11"/>
  <c r="B48" i="11"/>
  <c r="C48" i="11"/>
  <c r="D48" i="11"/>
  <c r="E48" i="11"/>
  <c r="F48" i="11"/>
  <c r="G48" i="11"/>
  <c r="H48" i="11"/>
  <c r="B49" i="11"/>
  <c r="C49" i="11"/>
  <c r="D49" i="11"/>
  <c r="E49" i="11"/>
  <c r="F49" i="11"/>
  <c r="G49" i="11"/>
  <c r="H49" i="11"/>
  <c r="B56" i="11"/>
  <c r="C56" i="11"/>
  <c r="D56" i="11"/>
  <c r="E56" i="11"/>
  <c r="F56" i="11"/>
  <c r="G56" i="11"/>
  <c r="H56" i="11"/>
  <c r="B57" i="11"/>
  <c r="C57" i="11"/>
  <c r="D57" i="11"/>
  <c r="E57" i="11"/>
  <c r="F57" i="11"/>
  <c r="G57" i="11"/>
  <c r="H57" i="11"/>
  <c r="B58" i="11"/>
  <c r="C58" i="11"/>
  <c r="D58" i="11"/>
  <c r="E58" i="11"/>
  <c r="F58" i="11"/>
  <c r="G58" i="11"/>
  <c r="H58" i="11"/>
  <c r="B59" i="11"/>
  <c r="C59" i="11"/>
  <c r="D59" i="11"/>
  <c r="E59" i="11"/>
  <c r="F59" i="11"/>
  <c r="G59" i="11"/>
  <c r="H59" i="11"/>
  <c r="B60" i="11"/>
  <c r="C60" i="11"/>
  <c r="D60" i="11"/>
  <c r="E60" i="11"/>
  <c r="F60" i="11"/>
  <c r="G60" i="11"/>
  <c r="H60" i="11"/>
  <c r="B61" i="11"/>
  <c r="C61" i="11"/>
  <c r="D61" i="11"/>
  <c r="E61" i="11"/>
  <c r="F61" i="11"/>
  <c r="G61" i="11"/>
  <c r="H61" i="11"/>
  <c r="B62" i="11"/>
  <c r="C62" i="11"/>
  <c r="D62" i="11"/>
  <c r="E62" i="11"/>
  <c r="F62" i="11"/>
  <c r="G62" i="11"/>
  <c r="H62" i="11"/>
  <c r="B63" i="11"/>
  <c r="C63" i="11"/>
  <c r="D63" i="11"/>
  <c r="E63" i="11"/>
  <c r="F63" i="11"/>
  <c r="G63" i="11"/>
  <c r="H63" i="11"/>
  <c r="B64" i="11"/>
  <c r="C64" i="11"/>
  <c r="D64" i="11"/>
  <c r="E64" i="11"/>
  <c r="F64" i="11"/>
  <c r="G64" i="11"/>
  <c r="H64" i="11"/>
  <c r="B6" i="4"/>
  <c r="D16" i="4"/>
  <c r="C16" i="4" s="1"/>
  <c r="E16" i="4"/>
  <c r="F16" i="4"/>
  <c r="G16" i="4"/>
  <c r="H16" i="4"/>
  <c r="I16" i="4"/>
  <c r="C17" i="4"/>
  <c r="C18" i="4"/>
  <c r="D21" i="4"/>
  <c r="E21" i="4"/>
  <c r="F21" i="4"/>
  <c r="G21" i="4"/>
  <c r="H21" i="4"/>
  <c r="I21" i="4"/>
  <c r="C22" i="4"/>
  <c r="C23" i="4"/>
  <c r="D24" i="4"/>
  <c r="E24" i="4"/>
  <c r="F24" i="4"/>
  <c r="C24" i="4" s="1"/>
  <c r="G24" i="4"/>
  <c r="H24" i="4"/>
  <c r="I24" i="4"/>
  <c r="C25" i="4"/>
  <c r="C26" i="4"/>
  <c r="I33" i="4"/>
  <c r="E34" i="4"/>
  <c r="F34" i="4"/>
  <c r="G34" i="4"/>
  <c r="H34" i="4"/>
  <c r="I34" i="4"/>
  <c r="D36" i="4"/>
  <c r="E36" i="4"/>
  <c r="F36" i="4"/>
  <c r="G36" i="4"/>
  <c r="H36" i="4"/>
  <c r="I36" i="4"/>
  <c r="D37" i="4"/>
  <c r="E37" i="4"/>
  <c r="F37" i="4"/>
  <c r="G37" i="4"/>
  <c r="H37" i="4"/>
  <c r="I37" i="4"/>
  <c r="D39" i="4"/>
  <c r="E39" i="4"/>
  <c r="F39" i="4"/>
  <c r="G39" i="4"/>
  <c r="G40" i="4"/>
  <c r="H39" i="4"/>
  <c r="I39" i="4"/>
  <c r="D40" i="4"/>
  <c r="E40" i="4"/>
  <c r="F40" i="4"/>
  <c r="H40" i="4"/>
  <c r="I40" i="4"/>
  <c r="D42" i="4"/>
  <c r="E42" i="4"/>
  <c r="F42" i="4"/>
  <c r="G42" i="4"/>
  <c r="G43" i="4"/>
  <c r="H42" i="4"/>
  <c r="I42" i="4"/>
  <c r="D43" i="4"/>
  <c r="E43" i="4"/>
  <c r="F43" i="4"/>
  <c r="H43" i="4"/>
  <c r="I43" i="4"/>
  <c r="D45" i="4"/>
  <c r="E45" i="4"/>
  <c r="F45" i="4"/>
  <c r="G45" i="4"/>
  <c r="H45" i="4"/>
  <c r="I45" i="4"/>
  <c r="D46" i="4"/>
  <c r="E46" i="4"/>
  <c r="F46" i="4"/>
  <c r="G46" i="4"/>
  <c r="H46" i="4"/>
  <c r="I46" i="4"/>
  <c r="D48" i="4"/>
  <c r="E48" i="4"/>
  <c r="F48" i="4"/>
  <c r="G48" i="4"/>
  <c r="H48" i="4"/>
  <c r="I48" i="4"/>
  <c r="D49" i="4"/>
  <c r="E49" i="4"/>
  <c r="F49" i="4"/>
  <c r="G49" i="4"/>
  <c r="H49" i="4"/>
  <c r="I49" i="4"/>
  <c r="D52" i="4"/>
  <c r="E52" i="4"/>
  <c r="F52" i="4"/>
  <c r="G52" i="4"/>
  <c r="G53" i="4"/>
  <c r="H52" i="4"/>
  <c r="I52" i="4"/>
  <c r="D53" i="4"/>
  <c r="E53" i="4"/>
  <c r="F53" i="4"/>
  <c r="H53" i="4"/>
  <c r="I53" i="4"/>
  <c r="D54" i="4"/>
  <c r="C54" i="4" s="1"/>
  <c r="E54" i="4"/>
  <c r="F54" i="4"/>
  <c r="G54" i="4"/>
  <c r="H54" i="4"/>
  <c r="I54" i="4"/>
  <c r="C55" i="4"/>
  <c r="C56" i="4"/>
  <c r="D59" i="4"/>
  <c r="E59" i="4"/>
  <c r="F59" i="4"/>
  <c r="G59" i="4"/>
  <c r="H59" i="4"/>
  <c r="I59" i="4"/>
  <c r="C60" i="4"/>
  <c r="C61" i="4"/>
  <c r="D64" i="4"/>
  <c r="E64" i="4"/>
  <c r="F64" i="4"/>
  <c r="G64" i="4"/>
  <c r="H64" i="4"/>
  <c r="I64" i="4"/>
  <c r="D65" i="4"/>
  <c r="E65" i="4"/>
  <c r="F65" i="4"/>
  <c r="G65" i="4"/>
  <c r="H65" i="4"/>
  <c r="C66" i="4"/>
  <c r="B70" i="4"/>
  <c r="B71" i="4"/>
  <c r="B72" i="4"/>
  <c r="B6" i="7"/>
  <c r="D19" i="7"/>
  <c r="E19" i="7"/>
  <c r="F19" i="7"/>
  <c r="G19" i="7"/>
  <c r="H19" i="7"/>
  <c r="I19" i="7"/>
  <c r="E20" i="7"/>
  <c r="F20" i="7"/>
  <c r="G20" i="7"/>
  <c r="H20" i="7"/>
  <c r="D21" i="7"/>
  <c r="E21" i="7"/>
  <c r="F21" i="7"/>
  <c r="G21" i="7"/>
  <c r="H21" i="7"/>
  <c r="I21" i="7"/>
  <c r="D22" i="7"/>
  <c r="E22" i="7"/>
  <c r="F22" i="7"/>
  <c r="G22" i="7"/>
  <c r="H22" i="7"/>
  <c r="I22" i="7"/>
  <c r="D23" i="7"/>
  <c r="E23" i="7"/>
  <c r="F23" i="7"/>
  <c r="G23" i="7"/>
  <c r="H23" i="7"/>
  <c r="D24" i="7"/>
  <c r="E24" i="7"/>
  <c r="F24" i="7"/>
  <c r="G24" i="7"/>
  <c r="H24" i="7"/>
  <c r="I24" i="7"/>
  <c r="D31" i="7"/>
  <c r="E31" i="7"/>
  <c r="F31" i="7"/>
  <c r="G31" i="7"/>
  <c r="H31" i="7"/>
  <c r="I31" i="7"/>
  <c r="D32" i="7"/>
  <c r="E32" i="7"/>
  <c r="F32" i="7"/>
  <c r="G32" i="7"/>
  <c r="H32" i="7"/>
  <c r="D33" i="7"/>
  <c r="E33" i="7"/>
  <c r="F33" i="7"/>
  <c r="G33" i="7"/>
  <c r="H33" i="7"/>
  <c r="I33" i="7"/>
  <c r="D34" i="7"/>
  <c r="E34" i="7"/>
  <c r="F34" i="7"/>
  <c r="G34" i="7"/>
  <c r="H34" i="7"/>
  <c r="I34" i="7"/>
  <c r="D35" i="7"/>
  <c r="E35" i="7"/>
  <c r="F35" i="7"/>
  <c r="G35" i="7"/>
  <c r="H35" i="7"/>
  <c r="D36" i="7"/>
  <c r="E36" i="7"/>
  <c r="F36" i="7"/>
  <c r="G36" i="7"/>
  <c r="H36" i="7"/>
  <c r="I36" i="7"/>
  <c r="D37" i="7"/>
  <c r="E37" i="7"/>
  <c r="F37" i="7"/>
  <c r="G37" i="7"/>
  <c r="H37" i="7"/>
  <c r="I37" i="7"/>
  <c r="D38" i="7"/>
  <c r="E38" i="7"/>
  <c r="F38" i="7"/>
  <c r="G38" i="7"/>
  <c r="H38" i="7"/>
  <c r="D39" i="7"/>
  <c r="E39" i="7"/>
  <c r="F39" i="7"/>
  <c r="G39" i="7"/>
  <c r="H39" i="7"/>
  <c r="I39" i="7"/>
  <c r="D40" i="7"/>
  <c r="E40" i="7"/>
  <c r="F40" i="7"/>
  <c r="G40" i="7"/>
  <c r="H40" i="7"/>
  <c r="I40" i="7"/>
  <c r="D41" i="7"/>
  <c r="E41" i="7"/>
  <c r="F41" i="7"/>
  <c r="G41" i="7"/>
  <c r="H41" i="7"/>
  <c r="D42" i="7"/>
  <c r="E42" i="7"/>
  <c r="F42" i="7"/>
  <c r="G42" i="7"/>
  <c r="H42" i="7"/>
  <c r="I42" i="7"/>
  <c r="D46" i="7"/>
  <c r="E46" i="7"/>
  <c r="F46" i="7"/>
  <c r="G46" i="7"/>
  <c r="H46" i="7"/>
  <c r="I46" i="7"/>
  <c r="D47" i="7"/>
  <c r="E47" i="7"/>
  <c r="F47" i="7"/>
  <c r="G47" i="7"/>
  <c r="H47" i="7"/>
  <c r="I47" i="7"/>
  <c r="D50" i="7"/>
  <c r="E50" i="7"/>
  <c r="F50" i="7"/>
  <c r="G50" i="7"/>
  <c r="H50" i="7"/>
  <c r="I50" i="7"/>
  <c r="C51" i="7"/>
  <c r="C52" i="7"/>
  <c r="B56" i="7"/>
  <c r="B6" i="8"/>
  <c r="D16" i="8"/>
  <c r="E16" i="8"/>
  <c r="C16" i="8" s="1"/>
  <c r="F16" i="8"/>
  <c r="G16" i="8"/>
  <c r="H16" i="8"/>
  <c r="I16" i="8"/>
  <c r="C17" i="8"/>
  <c r="C18" i="8"/>
  <c r="D23" i="8"/>
  <c r="E23" i="8"/>
  <c r="F23" i="8"/>
  <c r="G23" i="8"/>
  <c r="H23" i="8"/>
  <c r="C23" i="8" s="1"/>
  <c r="D24" i="8"/>
  <c r="E24" i="8"/>
  <c r="F24" i="8"/>
  <c r="G24" i="8"/>
  <c r="C24" i="8" s="1"/>
  <c r="H24" i="8"/>
  <c r="I24" i="8"/>
  <c r="D25" i="8"/>
  <c r="E25" i="8"/>
  <c r="F25" i="8"/>
  <c r="G25" i="8"/>
  <c r="H25" i="8"/>
  <c r="I25" i="8"/>
  <c r="C26" i="8"/>
  <c r="C27" i="8"/>
  <c r="D28" i="8"/>
  <c r="E28" i="8"/>
  <c r="F28" i="8"/>
  <c r="G28" i="8"/>
  <c r="H28" i="8"/>
  <c r="I28" i="8"/>
  <c r="C29" i="8"/>
  <c r="C30" i="8"/>
  <c r="D31" i="8"/>
  <c r="E31" i="8"/>
  <c r="F31" i="8"/>
  <c r="G31" i="8"/>
  <c r="H31" i="8"/>
  <c r="I31" i="8"/>
  <c r="C32" i="8"/>
  <c r="C33" i="8"/>
  <c r="D34" i="8"/>
  <c r="E34" i="8"/>
  <c r="F34" i="8"/>
  <c r="G34" i="8"/>
  <c r="H34" i="8"/>
  <c r="I34" i="8"/>
  <c r="C35" i="8"/>
  <c r="C36" i="8"/>
  <c r="D37" i="8"/>
  <c r="E37" i="8"/>
  <c r="F37" i="8"/>
  <c r="G37" i="8"/>
  <c r="H37" i="8"/>
  <c r="I37" i="8"/>
  <c r="C38" i="8"/>
  <c r="C39" i="8"/>
  <c r="D40" i="8"/>
  <c r="E40" i="8"/>
  <c r="F40" i="8"/>
  <c r="G40" i="8"/>
  <c r="H40" i="8"/>
  <c r="I40" i="8"/>
  <c r="C41" i="8"/>
  <c r="C42" i="8"/>
  <c r="D43" i="8"/>
  <c r="E43" i="8"/>
  <c r="F43" i="8"/>
  <c r="G43" i="8"/>
  <c r="H43" i="8"/>
  <c r="I43" i="8"/>
  <c r="C44" i="8"/>
  <c r="C45" i="8"/>
  <c r="D46" i="8"/>
  <c r="E46" i="8"/>
  <c r="F46" i="8"/>
  <c r="G46" i="8"/>
  <c r="H46" i="8"/>
  <c r="I46" i="8"/>
  <c r="C47" i="8"/>
  <c r="C48" i="8"/>
  <c r="D49" i="8"/>
  <c r="E49" i="8"/>
  <c r="F49" i="8"/>
  <c r="G49" i="8"/>
  <c r="H49" i="8"/>
  <c r="I49" i="8"/>
  <c r="C50" i="8"/>
  <c r="C51" i="8"/>
  <c r="D52" i="8"/>
  <c r="E52" i="8"/>
  <c r="F52" i="8"/>
  <c r="G52" i="8"/>
  <c r="H52" i="8"/>
  <c r="I52" i="8"/>
  <c r="C53" i="8"/>
  <c r="C54" i="8"/>
  <c r="D58" i="8"/>
  <c r="D57" i="8" s="1"/>
  <c r="E58" i="8"/>
  <c r="F58" i="8"/>
  <c r="G58" i="8"/>
  <c r="H58" i="8"/>
  <c r="D59" i="8"/>
  <c r="C59" i="8" s="1"/>
  <c r="E59" i="8"/>
  <c r="F59" i="8"/>
  <c r="F57" i="8" s="1"/>
  <c r="G59" i="8"/>
  <c r="H59" i="8"/>
  <c r="H57" i="8"/>
  <c r="I59" i="8"/>
  <c r="I57" i="8" s="1"/>
  <c r="D60" i="8"/>
  <c r="E60" i="8"/>
  <c r="C60" i="8" s="1"/>
  <c r="F60" i="8"/>
  <c r="G60" i="8"/>
  <c r="H60" i="8"/>
  <c r="I60" i="8"/>
  <c r="C61" i="8"/>
  <c r="C62" i="8"/>
  <c r="D63" i="8"/>
  <c r="E63" i="8"/>
  <c r="C63" i="8" s="1"/>
  <c r="F63" i="8"/>
  <c r="G63" i="8"/>
  <c r="H63" i="8"/>
  <c r="I63" i="8"/>
  <c r="C64" i="8"/>
  <c r="C65" i="8"/>
  <c r="D66" i="8"/>
  <c r="E66" i="8"/>
  <c r="C66" i="8" s="1"/>
  <c r="F66" i="8"/>
  <c r="G66" i="8"/>
  <c r="H66" i="8"/>
  <c r="I66" i="8"/>
  <c r="C67" i="8"/>
  <c r="C68" i="8"/>
  <c r="D71" i="8"/>
  <c r="E71" i="8"/>
  <c r="C71" i="8" s="1"/>
  <c r="F71" i="8"/>
  <c r="G71" i="8"/>
  <c r="H71" i="8"/>
  <c r="I71" i="8"/>
  <c r="C72" i="8"/>
  <c r="C73" i="8"/>
  <c r="B6" i="9"/>
  <c r="D16" i="9"/>
  <c r="E16" i="9"/>
  <c r="F16" i="9"/>
  <c r="G16" i="9"/>
  <c r="H16" i="9"/>
  <c r="I16" i="9"/>
  <c r="C17" i="9"/>
  <c r="C18" i="9"/>
  <c r="D21" i="9"/>
  <c r="C21" i="9" s="1"/>
  <c r="E21" i="9"/>
  <c r="F21" i="9"/>
  <c r="G21" i="9"/>
  <c r="H21" i="9"/>
  <c r="I21" i="9"/>
  <c r="C22" i="9"/>
  <c r="C23" i="9"/>
  <c r="D24" i="9"/>
  <c r="C24" i="9" s="1"/>
  <c r="E24" i="9"/>
  <c r="F24" i="9"/>
  <c r="G24" i="9"/>
  <c r="H24" i="9"/>
  <c r="I24" i="9"/>
  <c r="C25" i="9"/>
  <c r="C26" i="9"/>
  <c r="D31" i="9"/>
  <c r="D30" i="9" s="1"/>
  <c r="E31" i="9"/>
  <c r="F31" i="9"/>
  <c r="G31" i="9"/>
  <c r="H31" i="9"/>
  <c r="H30" i="9" s="1"/>
  <c r="D32" i="9"/>
  <c r="E32" i="9"/>
  <c r="F32" i="9"/>
  <c r="G32" i="9"/>
  <c r="H32" i="9"/>
  <c r="I32" i="9"/>
  <c r="I30" i="9"/>
  <c r="D33" i="9"/>
  <c r="E33" i="9"/>
  <c r="F33" i="9"/>
  <c r="G33" i="9"/>
  <c r="H33" i="9"/>
  <c r="I33" i="9"/>
  <c r="C34" i="9"/>
  <c r="C35" i="9"/>
  <c r="D36" i="9"/>
  <c r="E36" i="9"/>
  <c r="F36" i="9"/>
  <c r="G36" i="9"/>
  <c r="H36" i="9"/>
  <c r="I36" i="9"/>
  <c r="C37" i="9"/>
  <c r="C38" i="9"/>
  <c r="D39" i="9"/>
  <c r="E39" i="9"/>
  <c r="F39" i="9"/>
  <c r="G39" i="9"/>
  <c r="H39" i="9"/>
  <c r="I39" i="9"/>
  <c r="C40" i="9"/>
  <c r="C41" i="9"/>
  <c r="D44" i="9"/>
  <c r="E44" i="9"/>
  <c r="F44" i="9"/>
  <c r="G44" i="9"/>
  <c r="H44" i="9"/>
  <c r="I44" i="9"/>
  <c r="C45" i="9"/>
  <c r="C46" i="9"/>
  <c r="D50" i="9"/>
  <c r="E50" i="9"/>
  <c r="F50" i="9"/>
  <c r="G50" i="9"/>
  <c r="H50" i="9"/>
  <c r="I50" i="9"/>
  <c r="D51" i="9"/>
  <c r="E51" i="9"/>
  <c r="F51" i="9"/>
  <c r="G51" i="9"/>
  <c r="H51" i="9"/>
  <c r="I51" i="9"/>
  <c r="C55" i="9"/>
  <c r="C56" i="9"/>
  <c r="B60" i="9"/>
  <c r="B61" i="9"/>
  <c r="B62" i="9"/>
  <c r="B6" i="6"/>
  <c r="D16" i="6"/>
  <c r="E16" i="6"/>
  <c r="F16" i="6"/>
  <c r="G16" i="6"/>
  <c r="H16" i="6"/>
  <c r="I16" i="6"/>
  <c r="C17" i="6"/>
  <c r="C18" i="6"/>
  <c r="E19" i="6"/>
  <c r="F19" i="6"/>
  <c r="G19" i="6"/>
  <c r="H19" i="6"/>
  <c r="I19" i="6"/>
  <c r="C20" i="6"/>
  <c r="C21" i="6"/>
  <c r="E25" i="6"/>
  <c r="F25" i="6"/>
  <c r="G25" i="6"/>
  <c r="H25" i="6"/>
  <c r="I25" i="6"/>
  <c r="D26" i="6"/>
  <c r="E26" i="6"/>
  <c r="F26" i="6"/>
  <c r="G26" i="6"/>
  <c r="H26" i="6"/>
  <c r="I26" i="6"/>
  <c r="D30" i="6"/>
  <c r="E30" i="6"/>
  <c r="F30" i="6"/>
  <c r="G30" i="6"/>
  <c r="H30" i="6"/>
  <c r="I30" i="6"/>
  <c r="D31" i="6"/>
  <c r="E31" i="6"/>
  <c r="F31" i="6"/>
  <c r="G31" i="6"/>
  <c r="H31" i="6"/>
  <c r="I31" i="6"/>
  <c r="D35" i="6"/>
  <c r="E35" i="6"/>
  <c r="F35" i="6"/>
  <c r="G35" i="6"/>
  <c r="H35" i="6"/>
  <c r="H34" i="6" s="1"/>
  <c r="D36" i="6"/>
  <c r="E36" i="6"/>
  <c r="F36" i="6"/>
  <c r="F34" i="6" s="1"/>
  <c r="G36" i="6"/>
  <c r="H36" i="6"/>
  <c r="I36" i="6"/>
  <c r="I34" i="6"/>
  <c r="D37" i="6"/>
  <c r="E37" i="6"/>
  <c r="F37" i="6"/>
  <c r="G37" i="6"/>
  <c r="H37" i="6"/>
  <c r="I37" i="6"/>
  <c r="C38" i="6"/>
  <c r="C39" i="6"/>
  <c r="D40" i="6"/>
  <c r="E40" i="6"/>
  <c r="F40" i="6"/>
  <c r="G40" i="6"/>
  <c r="H40" i="6"/>
  <c r="I40" i="6"/>
  <c r="C41" i="6"/>
  <c r="C42" i="6"/>
  <c r="B47" i="6"/>
  <c r="C47" i="6"/>
  <c r="D47" i="6"/>
  <c r="B48" i="6"/>
  <c r="C48" i="6"/>
  <c r="D48" i="6"/>
  <c r="B49" i="6"/>
  <c r="C49" i="6"/>
  <c r="D49" i="6"/>
  <c r="B50" i="6"/>
  <c r="C50" i="6"/>
  <c r="D50" i="6"/>
  <c r="D55" i="6"/>
  <c r="E55" i="6"/>
  <c r="F55" i="6"/>
  <c r="G55" i="6"/>
  <c r="G54" i="6" s="1"/>
  <c r="H55" i="6"/>
  <c r="D56" i="6"/>
  <c r="D54" i="6"/>
  <c r="E56" i="6"/>
  <c r="C56" i="6" s="1"/>
  <c r="F56" i="6"/>
  <c r="G56" i="6"/>
  <c r="H56" i="6"/>
  <c r="H54" i="6" s="1"/>
  <c r="I56" i="6"/>
  <c r="I54" i="6"/>
  <c r="D57" i="6"/>
  <c r="E57" i="6"/>
  <c r="F57" i="6"/>
  <c r="G57" i="6"/>
  <c r="H57" i="6"/>
  <c r="I57" i="6"/>
  <c r="C58" i="6"/>
  <c r="C59" i="6"/>
  <c r="D60" i="6"/>
  <c r="C60" i="6" s="1"/>
  <c r="E60" i="6"/>
  <c r="F60" i="6"/>
  <c r="G60" i="6"/>
  <c r="H60" i="6"/>
  <c r="I60" i="6"/>
  <c r="C61" i="6"/>
  <c r="C62" i="6"/>
  <c r="D67" i="6"/>
  <c r="C67" i="6" s="1"/>
  <c r="E67" i="6"/>
  <c r="F67" i="6"/>
  <c r="F66" i="6" s="1"/>
  <c r="G67" i="6"/>
  <c r="H67" i="6"/>
  <c r="H66" i="6" s="1"/>
  <c r="D68" i="6"/>
  <c r="E68" i="6"/>
  <c r="F68" i="6"/>
  <c r="G68" i="6"/>
  <c r="H68" i="6"/>
  <c r="I68" i="6"/>
  <c r="I66" i="6" s="1"/>
  <c r="D69" i="6"/>
  <c r="E69" i="6"/>
  <c r="F69" i="6"/>
  <c r="G69" i="6"/>
  <c r="H69" i="6"/>
  <c r="I69" i="6"/>
  <c r="C70" i="6"/>
  <c r="C71" i="6"/>
  <c r="D72" i="6"/>
  <c r="E72" i="6"/>
  <c r="F72" i="6"/>
  <c r="G72" i="6"/>
  <c r="H72" i="6"/>
  <c r="I72" i="6"/>
  <c r="C73" i="6"/>
  <c r="C74" i="6"/>
  <c r="B78" i="6"/>
  <c r="B79" i="6"/>
  <c r="B80" i="6"/>
  <c r="B84" i="6"/>
  <c r="B85" i="6"/>
  <c r="B86" i="6"/>
  <c r="D66" i="6"/>
  <c r="C40" i="6"/>
  <c r="C36" i="6"/>
  <c r="G30" i="9"/>
  <c r="G57" i="8"/>
  <c r="D34" i="6"/>
  <c r="C57" i="6"/>
  <c r="C44" i="9"/>
  <c r="F54" i="6"/>
  <c r="C68" i="6"/>
  <c r="G66" i="6"/>
  <c r="C55" i="6"/>
  <c r="E34" i="6"/>
  <c r="C59" i="4"/>
  <c r="C34" i="10"/>
  <c r="C58" i="8"/>
  <c r="C21" i="4"/>
  <c r="E54" i="6"/>
  <c r="C54" i="6"/>
  <c r="E30" i="9"/>
  <c r="E57" i="8"/>
  <c r="C57" i="8"/>
  <c r="E66" i="6"/>
  <c r="C37" i="6"/>
  <c r="G34" i="6"/>
  <c r="C66" i="6"/>
  <c r="C34" i="6"/>
  <c r="F47" i="4" l="1"/>
  <c r="H32" i="4"/>
  <c r="D181" i="1"/>
  <c r="E15" i="1"/>
  <c r="G170" i="1"/>
  <c r="F22" i="8"/>
  <c r="F18" i="7"/>
  <c r="G17" i="7"/>
  <c r="E44" i="4"/>
  <c r="H180" i="1"/>
  <c r="D46" i="1"/>
  <c r="D49" i="1"/>
  <c r="I22" i="8"/>
  <c r="E22" i="8"/>
  <c r="I18" i="7"/>
  <c r="I16" i="7" s="1"/>
  <c r="E18" i="7"/>
  <c r="F17" i="7"/>
  <c r="E51" i="4"/>
  <c r="E41" i="4"/>
  <c r="E38" i="4"/>
  <c r="D30" i="4"/>
  <c r="I47" i="4"/>
  <c r="E47" i="6"/>
  <c r="C16" i="6"/>
  <c r="C47" i="7"/>
  <c r="H18" i="7"/>
  <c r="D18" i="7"/>
  <c r="E17" i="7"/>
  <c r="E16" i="7" s="1"/>
  <c r="D51" i="4"/>
  <c r="E47" i="4"/>
  <c r="G47" i="4"/>
  <c r="I44" i="4"/>
  <c r="G44" i="4"/>
  <c r="D41" i="4"/>
  <c r="D38" i="4"/>
  <c r="C39" i="4"/>
  <c r="I32" i="4"/>
  <c r="E32" i="4"/>
  <c r="B19" i="11"/>
  <c r="C30" i="10"/>
  <c r="C24" i="10"/>
  <c r="F15" i="1"/>
  <c r="H61" i="1"/>
  <c r="E71" i="1"/>
  <c r="I71" i="1"/>
  <c r="H51" i="4"/>
  <c r="D47" i="4"/>
  <c r="H44" i="4"/>
  <c r="H35" i="4"/>
  <c r="I15" i="1"/>
  <c r="H71" i="1"/>
  <c r="F36" i="11"/>
  <c r="E49" i="6"/>
  <c r="H38" i="4"/>
  <c r="F38" i="4"/>
  <c r="F35" i="4"/>
  <c r="D186" i="1"/>
  <c r="D190" i="1"/>
  <c r="D193" i="1"/>
  <c r="D196" i="1"/>
  <c r="D199" i="1"/>
  <c r="D202" i="1"/>
  <c r="H22" i="8"/>
  <c r="G30" i="4"/>
  <c r="E31" i="4"/>
  <c r="D10" i="1"/>
  <c r="D32" i="1"/>
  <c r="D64" i="1"/>
  <c r="D67" i="1"/>
  <c r="D138" i="1"/>
  <c r="E170" i="1"/>
  <c r="G32" i="4"/>
  <c r="C72" i="6"/>
  <c r="E48" i="6"/>
  <c r="C19" i="6"/>
  <c r="C51" i="9"/>
  <c r="C36" i="9"/>
  <c r="C33" i="9"/>
  <c r="C46" i="8"/>
  <c r="C43" i="8"/>
  <c r="C37" i="8"/>
  <c r="G22" i="8"/>
  <c r="F30" i="7"/>
  <c r="C41" i="7"/>
  <c r="C40" i="7"/>
  <c r="C39" i="7"/>
  <c r="H29" i="7"/>
  <c r="D29" i="7"/>
  <c r="C37" i="7"/>
  <c r="H30" i="7"/>
  <c r="D30" i="7"/>
  <c r="E29" i="7"/>
  <c r="C34" i="7"/>
  <c r="I30" i="7"/>
  <c r="I28" i="7" s="1"/>
  <c r="E30" i="7"/>
  <c r="C31" i="7"/>
  <c r="C24" i="7"/>
  <c r="C23" i="7"/>
  <c r="C22" i="7"/>
  <c r="G18" i="7"/>
  <c r="G16" i="7" s="1"/>
  <c r="H17" i="7"/>
  <c r="D17" i="7"/>
  <c r="C19" i="7"/>
  <c r="C64" i="4"/>
  <c r="C48" i="4"/>
  <c r="C45" i="4"/>
  <c r="C43" i="4"/>
  <c r="I41" i="4"/>
  <c r="H31" i="4"/>
  <c r="F30" i="4"/>
  <c r="F55" i="11"/>
  <c r="D55" i="11"/>
  <c r="B36" i="11"/>
  <c r="H36" i="11"/>
  <c r="D36" i="11"/>
  <c r="C36" i="11"/>
  <c r="B25" i="11"/>
  <c r="B24" i="11"/>
  <c r="B23" i="11"/>
  <c r="B22" i="11"/>
  <c r="B21" i="11"/>
  <c r="B20" i="11"/>
  <c r="B18" i="11"/>
  <c r="C26" i="10"/>
  <c r="C25" i="10"/>
  <c r="C22" i="10"/>
  <c r="C18" i="10"/>
  <c r="C16" i="10"/>
  <c r="E135" i="1"/>
  <c r="G135" i="1"/>
  <c r="D52" i="1"/>
  <c r="G29" i="7"/>
  <c r="G35" i="4"/>
  <c r="D137" i="1"/>
  <c r="D141" i="1"/>
  <c r="D144" i="1"/>
  <c r="D149" i="1"/>
  <c r="G180" i="1"/>
  <c r="I180" i="1"/>
  <c r="D183" i="1"/>
  <c r="C36" i="4"/>
  <c r="C35" i="7"/>
  <c r="C20" i="7"/>
  <c r="C36" i="7"/>
  <c r="C40" i="4"/>
  <c r="G51" i="4"/>
  <c r="G38" i="4"/>
  <c r="D18" i="1"/>
  <c r="D21" i="1"/>
  <c r="D24" i="1"/>
  <c r="D27" i="1"/>
  <c r="D35" i="1"/>
  <c r="D40" i="1"/>
  <c r="I61" i="1"/>
  <c r="D173" i="1"/>
  <c r="D176" i="1"/>
  <c r="F61" i="1"/>
  <c r="D74" i="1"/>
  <c r="D77" i="1"/>
  <c r="D81" i="1"/>
  <c r="D84" i="1"/>
  <c r="D87" i="1"/>
  <c r="D90" i="1"/>
  <c r="D93" i="1"/>
  <c r="D130" i="1"/>
  <c r="I170" i="1"/>
  <c r="D172" i="1"/>
  <c r="C21" i="7"/>
  <c r="C42" i="7"/>
  <c r="C65" i="4"/>
  <c r="C52" i="4"/>
  <c r="F51" i="4"/>
  <c r="C46" i="4"/>
  <c r="D35" i="4"/>
  <c r="C37" i="4"/>
  <c r="D31" i="4"/>
  <c r="D32" i="4"/>
  <c r="H55" i="11"/>
  <c r="F71" i="1"/>
  <c r="D72" i="1"/>
  <c r="C32" i="7"/>
  <c r="F29" i="7"/>
  <c r="C33" i="7"/>
  <c r="G30" i="7"/>
  <c r="C38" i="7"/>
  <c r="I135" i="1"/>
  <c r="E50" i="6"/>
  <c r="F31" i="4"/>
  <c r="C42" i="4"/>
  <c r="I35" i="4"/>
  <c r="G31" i="4"/>
  <c r="D136" i="1"/>
  <c r="F135" i="1"/>
  <c r="C69" i="6"/>
  <c r="C16" i="9"/>
  <c r="C49" i="4"/>
  <c r="H47" i="4"/>
  <c r="F44" i="4"/>
  <c r="D44" i="4"/>
  <c r="C31" i="6"/>
  <c r="C30" i="6"/>
  <c r="C26" i="6"/>
  <c r="C25" i="6"/>
  <c r="C50" i="9"/>
  <c r="C39" i="9"/>
  <c r="I51" i="4"/>
  <c r="C53" i="4"/>
  <c r="G41" i="4"/>
  <c r="B17" i="11"/>
  <c r="E61" i="1"/>
  <c r="H15" i="1"/>
  <c r="D16" i="1"/>
  <c r="C35" i="6"/>
  <c r="C32" i="9"/>
  <c r="F30" i="9"/>
  <c r="C30" i="9" s="1"/>
  <c r="C52" i="8"/>
  <c r="C49" i="8"/>
  <c r="C40" i="8"/>
  <c r="C34" i="8"/>
  <c r="C31" i="8"/>
  <c r="C28" i="8"/>
  <c r="C25" i="8"/>
  <c r="D22" i="8"/>
  <c r="D17" i="1"/>
  <c r="G15" i="1"/>
  <c r="F41" i="4"/>
  <c r="C31" i="9"/>
  <c r="I38" i="4"/>
  <c r="I31" i="4"/>
  <c r="I29" i="4" s="1"/>
  <c r="G55" i="11"/>
  <c r="C55" i="11"/>
  <c r="B55" i="11"/>
  <c r="E55" i="11"/>
  <c r="G36" i="11"/>
  <c r="E36" i="11"/>
  <c r="C31" i="10"/>
  <c r="C29" i="10"/>
  <c r="C23" i="10"/>
  <c r="C21" i="10"/>
  <c r="C17" i="10"/>
  <c r="H41" i="4"/>
  <c r="H30" i="4"/>
  <c r="E30" i="4"/>
  <c r="E35" i="4"/>
  <c r="F170" i="1"/>
  <c r="D171" i="1"/>
  <c r="D55" i="1"/>
  <c r="C50" i="7"/>
  <c r="C46" i="7"/>
  <c r="C34" i="4"/>
  <c r="C33" i="4"/>
  <c r="F32" i="4"/>
  <c r="E180" i="1"/>
  <c r="D182" i="1"/>
  <c r="D62" i="1"/>
  <c r="D73" i="1"/>
  <c r="G71" i="1"/>
  <c r="H170" i="1"/>
  <c r="D63" i="1"/>
  <c r="G61" i="1"/>
  <c r="F16" i="7" l="1"/>
  <c r="G29" i="4"/>
  <c r="D29" i="4"/>
  <c r="C51" i="4"/>
  <c r="D180" i="1"/>
  <c r="F28" i="7"/>
  <c r="E28" i="7"/>
  <c r="D16" i="7"/>
  <c r="C16" i="7" s="1"/>
  <c r="H28" i="7"/>
  <c r="C18" i="7"/>
  <c r="C38" i="4"/>
  <c r="C44" i="4"/>
  <c r="D135" i="1"/>
  <c r="H16" i="7"/>
  <c r="C47" i="4"/>
  <c r="G28" i="7"/>
  <c r="D71" i="1"/>
  <c r="C35" i="4"/>
  <c r="C32" i="4"/>
  <c r="C17" i="7"/>
  <c r="D28" i="7"/>
  <c r="H29" i="4"/>
  <c r="C22" i="8"/>
  <c r="D61" i="1"/>
  <c r="D15" i="1"/>
  <c r="C31" i="4"/>
  <c r="C29" i="7"/>
  <c r="F29" i="4"/>
  <c r="C30" i="7"/>
  <c r="D170" i="1"/>
  <c r="C41" i="4"/>
  <c r="E29" i="4"/>
  <c r="C30" i="4"/>
  <c r="C28" i="7" l="1"/>
  <c r="C29" i="4"/>
</calcChain>
</file>

<file path=xl/sharedStrings.xml><?xml version="1.0" encoding="utf-8"?>
<sst xmlns="http://schemas.openxmlformats.org/spreadsheetml/2006/main" count="1471" uniqueCount="332">
  <si>
    <t>DIRESA HUANCAVELICA - OFICINA DE INFORMATICA, TELECOMUNICACIONES Y ESTADISTICA</t>
  </si>
  <si>
    <t>NIVEL:</t>
  </si>
  <si>
    <t>DESDE:</t>
  </si>
  <si>
    <t>HASTA:</t>
  </si>
  <si>
    <t>MORBILIDAD</t>
  </si>
  <si>
    <t>Total</t>
  </si>
  <si>
    <t>0 - 11a</t>
  </si>
  <si>
    <t>12 - 17a</t>
  </si>
  <si>
    <t>18 - 29a</t>
  </si>
  <si>
    <t>30 - 59a</t>
  </si>
  <si>
    <t>60 a más</t>
  </si>
  <si>
    <t>Gestante</t>
  </si>
  <si>
    <t>Contactos atendidos</t>
  </si>
  <si>
    <t>TOTAL</t>
  </si>
  <si>
    <t>Nº</t>
  </si>
  <si>
    <t>Remitidas</t>
  </si>
  <si>
    <t>Actividad</t>
  </si>
  <si>
    <t>Focos Notificados</t>
  </si>
  <si>
    <t>Focos Investigados</t>
  </si>
  <si>
    <t>Focos Controlados</t>
  </si>
  <si>
    <t>ACTIVIDADES DE ZOONOSIS: BRUCELOSIS</t>
  </si>
  <si>
    <t xml:space="preserve">Reporte G: Morbilidad </t>
  </si>
  <si>
    <t>Diagnístico</t>
  </si>
  <si>
    <t>SEXO</t>
  </si>
  <si>
    <t>Brucelosis debida a Brucella melitensis</t>
  </si>
  <si>
    <t>T</t>
  </si>
  <si>
    <t>M</t>
  </si>
  <si>
    <t>F</t>
  </si>
  <si>
    <t>Brucelosis debida a Brucella abortus</t>
  </si>
  <si>
    <t>Brucelosis debida a Brucella suis</t>
  </si>
  <si>
    <t>Brucelosis debida a Brucella canis</t>
  </si>
  <si>
    <t xml:space="preserve">Otras Brucelosis  </t>
  </si>
  <si>
    <t>Casos probables</t>
  </si>
  <si>
    <t>Recaída</t>
  </si>
  <si>
    <t>Reporte H: Tratamientos</t>
  </si>
  <si>
    <t>Tratamiento</t>
  </si>
  <si>
    <t>Inicio</t>
  </si>
  <si>
    <t>Fín</t>
  </si>
  <si>
    <t>Reporte I: Control de focos:</t>
  </si>
  <si>
    <t>ACTIVIDADES DE ZOONOSIS: PESTE</t>
  </si>
  <si>
    <t xml:space="preserve">Reporte K: Morbilidad </t>
  </si>
  <si>
    <t>Diagnósticos</t>
  </si>
  <si>
    <t>Peste Bubónica</t>
  </si>
  <si>
    <t>Peste Celulocutánea</t>
  </si>
  <si>
    <t>Peste Neumónica</t>
  </si>
  <si>
    <t>Meningitis por peste</t>
  </si>
  <si>
    <t>Peste Septicémica</t>
  </si>
  <si>
    <t>Otras Formas de peste</t>
  </si>
  <si>
    <t xml:space="preserve">Casos probables de Peste </t>
  </si>
  <si>
    <t xml:space="preserve">Casos confirmados por laboratorio </t>
  </si>
  <si>
    <t>Diagnóstico positivo</t>
  </si>
  <si>
    <t xml:space="preserve">Reporte L: Muestras </t>
  </si>
  <si>
    <t xml:space="preserve">Tipo de muestra </t>
  </si>
  <si>
    <t>Nº  Muestras</t>
  </si>
  <si>
    <t>Procesadas</t>
  </si>
  <si>
    <t>Positivas</t>
  </si>
  <si>
    <t xml:space="preserve">Humano </t>
  </si>
  <si>
    <t>Perro</t>
  </si>
  <si>
    <t>Roedores</t>
  </si>
  <si>
    <t>Pulgas</t>
  </si>
  <si>
    <t>Reporte M: Administración de Tratamientos en CASOS (no incluye contactos)</t>
  </si>
  <si>
    <t>Reporte N: Administración de Tratamientos en CONTACTOS</t>
  </si>
  <si>
    <t>Reporte O: Viviendas tratadas</t>
  </si>
  <si>
    <t xml:space="preserve">Viviendas tratadas </t>
  </si>
  <si>
    <t>Población protegida</t>
  </si>
  <si>
    <t>Localidades Atendidas</t>
  </si>
  <si>
    <t>Reporte P: Control de focos:</t>
  </si>
  <si>
    <t>ACTIVIDADES DE ZOONOSIS: CARBUNCO</t>
  </si>
  <si>
    <t xml:space="preserve">Reporte Q: Morbilidad </t>
  </si>
  <si>
    <t>Diagnóstico</t>
  </si>
  <si>
    <t>Carbunco cutáneo</t>
  </si>
  <si>
    <t>Carbunco pulmonar</t>
  </si>
  <si>
    <t>Carbunco gastrointestinal</t>
  </si>
  <si>
    <t>Carbunco septicémico</t>
  </si>
  <si>
    <t>Casos probables:</t>
  </si>
  <si>
    <t>Con examen clínico</t>
  </si>
  <si>
    <t>Con GRAM</t>
  </si>
  <si>
    <t>Reporte R: Tratamientos de CASOS</t>
  </si>
  <si>
    <t>Fin</t>
  </si>
  <si>
    <t>Reporte S: Control de focos:</t>
  </si>
  <si>
    <t>ACTIVIDADES DE ZOONOSIS: HIDATIDOSIS</t>
  </si>
  <si>
    <t xml:space="preserve">Reporte T: Morbilidad </t>
  </si>
  <si>
    <t>Morbilidad</t>
  </si>
  <si>
    <t>Infección del hígado debida a Echinococcus granulosus</t>
  </si>
  <si>
    <t>Infección del pulmón debida a Echinococcus granulosus</t>
  </si>
  <si>
    <t>Infección de hueso debida a Echinococcus granulosus</t>
  </si>
  <si>
    <t>Infección otro órgano y sitios múltiples debida a Echinococcus granulosus</t>
  </si>
  <si>
    <t>Infección debida a Echinococcus granulosus, sin otra especificación</t>
  </si>
  <si>
    <t>Infección del hígado debida a Echinococcus multilocularis</t>
  </si>
  <si>
    <t>Infección otro órgano y sitios múltiples debida Echinococcus multilocularis</t>
  </si>
  <si>
    <t>Infección debida a Echinococcus multilocularis, sin otra especificación</t>
  </si>
  <si>
    <t>Equinococosis del hígado, no especificada</t>
  </si>
  <si>
    <t>Equinococosis, otra y la no especificada</t>
  </si>
  <si>
    <t>ACTIVIDADES DE ZOONOSIS: CISTICERCOSIS</t>
  </si>
  <si>
    <t xml:space="preserve">Reporte T1: Morbilidad </t>
  </si>
  <si>
    <t>Cisticercosis del sistema nervioso central</t>
  </si>
  <si>
    <t>Cisticercosis del ojo</t>
  </si>
  <si>
    <t>Cisticercosis de otros sitios</t>
  </si>
  <si>
    <t>Cisticercosis, no especificada</t>
  </si>
  <si>
    <t>ACTIVIDADES DE ZOONOSIS: LEPTOSPIROSIS</t>
  </si>
  <si>
    <t xml:space="preserve">Reporte U: Morbilidad </t>
  </si>
  <si>
    <t>Leptospírosis icterohemorrágica</t>
  </si>
  <si>
    <t>Otras formas de Leptospírosis</t>
  </si>
  <si>
    <t>Leptospírosis no especificada</t>
  </si>
  <si>
    <t>Reporte V: Tratamientos de CASOS</t>
  </si>
  <si>
    <t>Reporte X: Control de focos</t>
  </si>
  <si>
    <t>ACTIVIDADES DE ZOONOSIS: FASCIOLIASIS</t>
  </si>
  <si>
    <t>ATENDIDOS</t>
  </si>
  <si>
    <t>0-11a</t>
  </si>
  <si>
    <t>12-17a</t>
  </si>
  <si>
    <t>18-29a</t>
  </si>
  <si>
    <t>30-59a</t>
  </si>
  <si>
    <t>60 y más</t>
  </si>
  <si>
    <t>Pacientes atendidos por Sospecha de Fascioliasis</t>
  </si>
  <si>
    <t xml:space="preserve">DIAGNOSTICO </t>
  </si>
  <si>
    <t>Fascioliasis probable</t>
  </si>
  <si>
    <t xml:space="preserve">Fascioliasis confirmada </t>
  </si>
  <si>
    <t>TRATAMIENTO</t>
  </si>
  <si>
    <t>Farmacológico</t>
  </si>
  <si>
    <t>ACTIVIDADES PREVENTIVO PROMOCIONALES</t>
  </si>
  <si>
    <t>Rabia</t>
  </si>
  <si>
    <t>Brucelosis</t>
  </si>
  <si>
    <t>Animal ponzoñosos</t>
  </si>
  <si>
    <t>Peste</t>
  </si>
  <si>
    <t xml:space="preserve">Carbunco </t>
  </si>
  <si>
    <t>Equinococosis quística (Hidatidosis)</t>
  </si>
  <si>
    <t>Leptospirosis</t>
  </si>
  <si>
    <t>Fascioliasis</t>
  </si>
  <si>
    <t>Teniaisis/Cisticercosis</t>
  </si>
  <si>
    <t xml:space="preserve">Otras Actividades </t>
  </si>
  <si>
    <t>Supervisión Integral</t>
  </si>
  <si>
    <t>Asistencia Técnica</t>
  </si>
  <si>
    <t>Actividades Preventivo Promocionales</t>
  </si>
  <si>
    <t>Lugar donde se realizan las actividades</t>
  </si>
  <si>
    <t xml:space="preserve">SESIÓN </t>
  </si>
  <si>
    <t>CAPACITACIÓN</t>
  </si>
  <si>
    <t>TALLERES</t>
  </si>
  <si>
    <t>SESIÓN</t>
  </si>
  <si>
    <t>DEMOSTRATIVA</t>
  </si>
  <si>
    <t>EDUCATIVAS</t>
  </si>
  <si>
    <t>Particip.</t>
  </si>
  <si>
    <t>Organización Vecinal</t>
  </si>
  <si>
    <t>Club de Madres</t>
  </si>
  <si>
    <t>Colegios/Centro Educativo</t>
  </si>
  <si>
    <t>Comedores</t>
  </si>
  <si>
    <t>Vaso de Leche</t>
  </si>
  <si>
    <t>Otro  Establecimiento de Salud Minsa</t>
  </si>
  <si>
    <t>Establecimiento de Salud</t>
  </si>
  <si>
    <t>Agente Comunitario en Salud</t>
  </si>
  <si>
    <t>Municipalidades</t>
  </si>
  <si>
    <t>Comunidad</t>
  </si>
  <si>
    <t>Mercado</t>
  </si>
  <si>
    <t>Familia y vivienda</t>
  </si>
  <si>
    <t>Otros</t>
  </si>
  <si>
    <t>Motivo por el que se realizaron las actividades</t>
  </si>
  <si>
    <t>Hidatidosis</t>
  </si>
  <si>
    <t>Fasciolosis</t>
  </si>
  <si>
    <t>Teniasis/Cisticercosis</t>
  </si>
  <si>
    <t>INFORME MENSUAL DE RABIA URBANA</t>
  </si>
  <si>
    <t>DIRESA/DISA</t>
  </si>
  <si>
    <t>MINSA</t>
  </si>
  <si>
    <t>ESTABLECIMIENTO</t>
  </si>
  <si>
    <t>ESSALUD</t>
  </si>
  <si>
    <t>MES</t>
  </si>
  <si>
    <t>SANIDAD FFAA-PNP</t>
  </si>
  <si>
    <t>AÑO</t>
  </si>
  <si>
    <t>OTRA</t>
  </si>
  <si>
    <t>MORTALIDAD</t>
  </si>
  <si>
    <t>PERSONAS MORDIDAS</t>
  </si>
  <si>
    <t>Por can o gato conocido</t>
  </si>
  <si>
    <t>Por can o gato desconocido</t>
  </si>
  <si>
    <t>CONDICIÓN DE LA EXPOSICIÓN</t>
  </si>
  <si>
    <t>Con exposición leve</t>
  </si>
  <si>
    <t>CONTACTOS DE RABIA</t>
  </si>
  <si>
    <t>N° de Contactos atendidos</t>
  </si>
  <si>
    <t>INICIAN TRATAMIENTO</t>
  </si>
  <si>
    <t>COMPLETAN TRATAMIENTO</t>
  </si>
  <si>
    <t>TRATAMIENTOS INCOMPLETOS</t>
  </si>
  <si>
    <t>Suspensión de tratamiento</t>
  </si>
  <si>
    <t>RABIA EN ANIMALES</t>
  </si>
  <si>
    <t>Rabia Canina</t>
  </si>
  <si>
    <t>Rabia en gatos</t>
  </si>
  <si>
    <t>Total de animales mordedores observados</t>
  </si>
  <si>
    <t>Canes observados</t>
  </si>
  <si>
    <t>Gatos observados</t>
  </si>
  <si>
    <t>ACTIVIDADES EN CANES</t>
  </si>
  <si>
    <t>Canes Vacunados contra la rabia</t>
  </si>
  <si>
    <t>Canes Eliminados en control de foco</t>
  </si>
  <si>
    <t>Can muerto en observación</t>
  </si>
  <si>
    <t>Total  N° de muestras remitidas</t>
  </si>
  <si>
    <t>De can muerto en observación</t>
  </si>
  <si>
    <t>De can por vigilancia</t>
  </si>
  <si>
    <t>Otras especies</t>
  </si>
  <si>
    <t>CONTROL  DE FOCOS</t>
  </si>
  <si>
    <t>ACTIVIDAD</t>
  </si>
  <si>
    <t>INFORME MENSUAL DE RABIA SILVESTRE</t>
  </si>
  <si>
    <t xml:space="preserve">Por murciélago </t>
  </si>
  <si>
    <t>Por otros animales silvestres</t>
  </si>
  <si>
    <t>Por otros animales domésticos (equinos, porcinos, etc.)</t>
  </si>
  <si>
    <t xml:space="preserve">   Rabia en murciélago</t>
  </si>
  <si>
    <t xml:space="preserve">   Rabia en bovinos</t>
  </si>
  <si>
    <t xml:space="preserve">   Rabia en otras especies</t>
  </si>
  <si>
    <t>MUESTRAS</t>
  </si>
  <si>
    <t xml:space="preserve">   Remitidas</t>
  </si>
  <si>
    <t xml:space="preserve">   Procesadas </t>
  </si>
  <si>
    <t>CONTROL DE FOCOS</t>
  </si>
  <si>
    <t>INFORME MENSUAL DE BRUCELOSIS HUMANA</t>
  </si>
  <si>
    <t>0 - 11 a.</t>
  </si>
  <si>
    <t>12 - 17 a.</t>
  </si>
  <si>
    <t>30 - 59 a.</t>
  </si>
  <si>
    <t>Pacientes atendidos por Sospecha de Brucelosis</t>
  </si>
  <si>
    <t>DIAGNOSTICO SEROLOGICO</t>
  </si>
  <si>
    <t>Brucelosis probable</t>
  </si>
  <si>
    <t xml:space="preserve">Brucelosis confirmada </t>
  </si>
  <si>
    <t>DIAGNOSTICO FINAL</t>
  </si>
  <si>
    <t>Brucelosis no especificada</t>
  </si>
  <si>
    <t>Recidiva</t>
  </si>
  <si>
    <t>Personas fallecidas</t>
  </si>
  <si>
    <t>Personas que inician tratamiento</t>
  </si>
  <si>
    <t>Personas que completan tratamiento</t>
  </si>
  <si>
    <t>Personas que abandonan tratamiento</t>
  </si>
  <si>
    <t>CONTROL DE BROTES</t>
  </si>
  <si>
    <t>Brotes Notificados</t>
  </si>
  <si>
    <t>Brotes Investigados</t>
  </si>
  <si>
    <t>Brotes Controlados</t>
  </si>
  <si>
    <t>AFECTADAS POR TIPO DE EXPOSICIÓN</t>
  </si>
  <si>
    <t>Alimentario</t>
  </si>
  <si>
    <t>Ocupacional</t>
  </si>
  <si>
    <t>Con tratamiento</t>
  </si>
  <si>
    <t>Sin tratamiento</t>
  </si>
  <si>
    <t>INFORME MENSUAL DE ACTIVIDADES DE CONTROL DE PESTE</t>
  </si>
  <si>
    <t>ADMINISTRACIÓN DE TRATAMIENTO EN CASOS</t>
  </si>
  <si>
    <t>ADMINISTRACIÓN DE TRATAMIENTO EN CONTACTOS</t>
  </si>
  <si>
    <t>FALLECIDOS</t>
  </si>
  <si>
    <t>RESULTADOS</t>
  </si>
  <si>
    <t>Positivos</t>
  </si>
  <si>
    <t>Negativos</t>
  </si>
  <si>
    <t>RESULTADOS A PRIMERA MUESTRA</t>
  </si>
  <si>
    <t xml:space="preserve">Diagnósticos humanos </t>
  </si>
  <si>
    <t>Casos totales con diagnostico</t>
  </si>
  <si>
    <t>Diagnóstico negativo</t>
  </si>
  <si>
    <t>CASOS CONFIRMADOS</t>
  </si>
  <si>
    <t>Casos confirmados por laboratorio:</t>
  </si>
  <si>
    <t>Positivo</t>
  </si>
  <si>
    <t>Negativo</t>
  </si>
  <si>
    <t>VIVIENDAS TRATADAS</t>
  </si>
  <si>
    <t>Viviendas tratadas</t>
  </si>
  <si>
    <t>INFORME MENSUAL DE ACTIVIDADES DE CARBUNCO</t>
  </si>
  <si>
    <t>DIAGNOSTICO PRELIMINAR</t>
  </si>
  <si>
    <t>Con Examen Clinico + GRAM</t>
  </si>
  <si>
    <t>Diagnóstico definitivo</t>
  </si>
  <si>
    <t>Carbunco cutáneo (confirmados)</t>
  </si>
  <si>
    <t>Carbunco pulmonar (confirmados)</t>
  </si>
  <si>
    <t>Carbunco gastrointestinal (confirmados)</t>
  </si>
  <si>
    <t>Carbunco septicémico (confirmados)</t>
  </si>
  <si>
    <t>TRATAMIENTO DE CASOS</t>
  </si>
  <si>
    <t>Brotes controlados</t>
  </si>
  <si>
    <t>N°</t>
  </si>
  <si>
    <t xml:space="preserve">Ocupacional </t>
  </si>
  <si>
    <t xml:space="preserve"> INFORME MENSUAL DE ACTIVIDADES DE EQUINOCOCOSIS QUÍSTICA (HIDATIDOSIS)</t>
  </si>
  <si>
    <t>Pacientes atendidos por probable Equinococosis quística</t>
  </si>
  <si>
    <t>DIAGNOSTICO CONFIRMADO</t>
  </si>
  <si>
    <t>FARMACOLOGICO</t>
  </si>
  <si>
    <t>FARMACOLOGICO + QUIRURGICO</t>
  </si>
  <si>
    <t>QUIRURGICO</t>
  </si>
  <si>
    <t>INFORME MENSUAL DE ACTIVIDADES DE LEPTOSPIROSIS</t>
  </si>
  <si>
    <t>Pacientes atendidos por sospecha clínica de Leptospirosis</t>
  </si>
  <si>
    <t>Diagnóstico presuntivo</t>
  </si>
  <si>
    <t>Diagnóstico serologico (confirmado)</t>
  </si>
  <si>
    <t>Leptospirosis icterohemorrágica</t>
  </si>
  <si>
    <t>Otras Leptospirosis</t>
  </si>
  <si>
    <t>Leptospirosis no especificada</t>
  </si>
  <si>
    <t>QUIMIOPROFILAXIS</t>
  </si>
  <si>
    <t>INFORME MENSUAL DE ACTIVIDADES DE FASCIOLIASIS</t>
  </si>
  <si>
    <t>INFORME MENSUAL DE ACTIVIDADES PREVENTIVO PROMOCIONALES</t>
  </si>
  <si>
    <t>Visita  Familiar Integral</t>
  </si>
  <si>
    <t>0 - 11 a</t>
  </si>
  <si>
    <t>18 - 29 a.</t>
  </si>
  <si>
    <t>30 - 59a.</t>
  </si>
  <si>
    <t>60 a mas</t>
  </si>
  <si>
    <t>Reporte ZA: Fascioliasis</t>
  </si>
  <si>
    <t>Reporte ZB: Visita Familiar Integral</t>
  </si>
  <si>
    <t xml:space="preserve">Reporte ZC: Otras Actividades </t>
  </si>
  <si>
    <t>Reporte ZD: Actividades Preventivo Promocionales</t>
  </si>
  <si>
    <t>Reporte ZE: Actividades Preventivo Promocionales</t>
  </si>
  <si>
    <t>U153</t>
  </si>
  <si>
    <t>U0104</t>
  </si>
  <si>
    <t>U0107</t>
  </si>
  <si>
    <t>U0094</t>
  </si>
  <si>
    <t>U0106</t>
  </si>
  <si>
    <t>U0105</t>
  </si>
  <si>
    <t>U0095</t>
  </si>
  <si>
    <t>U0111</t>
  </si>
  <si>
    <t>APP91</t>
  </si>
  <si>
    <t>APP92</t>
  </si>
  <si>
    <t>APP93</t>
  </si>
  <si>
    <t>APP94</t>
  </si>
  <si>
    <t>APP97</t>
  </si>
  <si>
    <t>APP99</t>
  </si>
  <si>
    <t>APP100</t>
  </si>
  <si>
    <t>APP138</t>
  </si>
  <si>
    <t>APP104</t>
  </si>
  <si>
    <t>APP108</t>
  </si>
  <si>
    <t>APP121</t>
  </si>
  <si>
    <t>APP136</t>
  </si>
  <si>
    <t>U0088, U0112</t>
  </si>
  <si>
    <t>Casos de Rabia Humana Urbana</t>
  </si>
  <si>
    <t>PERSONAS MORDIDAS POR ANIMAL</t>
  </si>
  <si>
    <t>Por roedor</t>
  </si>
  <si>
    <t>Por otros animales domésticos en zona urbana</t>
  </si>
  <si>
    <t>Con exposición grave (severo)</t>
  </si>
  <si>
    <t>TRATAMIENTO CULTIVO CELULAR PRE EXPOSICION</t>
  </si>
  <si>
    <t>TOTAL DOSIS APLICADAS</t>
  </si>
  <si>
    <t>TRATAMIENTO CULTIVO CELULAR POST EXPOSICION</t>
  </si>
  <si>
    <t>Inician tratamiento con aplicación de Inmunoglobulina</t>
  </si>
  <si>
    <t>Inician tratamiento sin aplicación de Inmunoglobulina</t>
  </si>
  <si>
    <t>Con Inmunoglobulina</t>
  </si>
  <si>
    <t>Sin Inmunoglobulina</t>
  </si>
  <si>
    <t>Referido confirmado</t>
  </si>
  <si>
    <t>Recibido, controlado y confirmado</t>
  </si>
  <si>
    <t>Contrareferencia</t>
  </si>
  <si>
    <t>ANIMALES MORDEDORES VISITADOS</t>
  </si>
  <si>
    <t>MUESTRAS REMITIDAS</t>
  </si>
  <si>
    <t>MUESTRAS PROCESADAS</t>
  </si>
  <si>
    <t>Total  N° de muestras procesadas</t>
  </si>
  <si>
    <t>De can por vigilancia activa</t>
  </si>
  <si>
    <t>De can por vigilancia pasiva</t>
  </si>
  <si>
    <t>Rabia en otras especies urbanas</t>
  </si>
  <si>
    <t>Casos de Rabia Humana Selvática</t>
  </si>
  <si>
    <t>1° Dosis</t>
  </si>
  <si>
    <t>2° Dosis</t>
  </si>
  <si>
    <t>3° Dosis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</si>
</sst>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 * #,##0_ ;_ * \-#,##0_ ;_ * &quot;-&quot;_ ;_ @_ "/>
    <numFmt numFmtId="164" formatCode="_(* #,##0_);_(* \(#,##0\);_(* \-_);_(@_)"/>
    <numFmt numFmtId="165" formatCode="_ * #,##0_ ;_ * \-#,##0_ ;_ * \-_ ;_ @_ "/>
    <numFmt numFmtId="166" formatCode="_(* #,##0.00_);_(* \(#,##0.00\);_(* \-??_);_(@_)"/>
    <numFmt numFmtId="167" formatCode="_ * #,##0_ ;_ * \-#,##0_ ;_ * \-??_ ;_ @_ "/>
    <numFmt numFmtId="168" formatCode="_(* #,##0_);_(* \(#,##0\);_(* \-??_);_(@_)"/>
    <numFmt numFmtId="169" formatCode="dd/mmm"/>
    <numFmt numFmtId="170" formatCode="00"/>
    <numFmt numFmtId="171" formatCode="_ * #,##0_ ;_ * \-#,##0_ ;_ * &quot;-&quot;??_ ;_ @_ "/>
  </numFmts>
  <fonts count="3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i/>
      <sz val="8"/>
      <name val="Tahoma"/>
      <family val="2"/>
    </font>
    <font>
      <sz val="10"/>
      <name val="Tahoma"/>
      <family val="2"/>
    </font>
    <font>
      <b/>
      <i/>
      <sz val="9"/>
      <name val="Tahoma"/>
      <family val="2"/>
    </font>
    <font>
      <b/>
      <sz val="11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0"/>
      <name val="Tahoma"/>
      <family val="2"/>
    </font>
    <font>
      <b/>
      <sz val="12"/>
      <name val="Tahoma"/>
      <family val="2"/>
    </font>
    <font>
      <sz val="10"/>
      <color indexed="10"/>
      <name val="Arial"/>
      <family val="2"/>
    </font>
    <font>
      <sz val="10"/>
      <name val="Wingdings"/>
      <charset val="2"/>
    </font>
    <font>
      <sz val="9"/>
      <name val="Tahoma"/>
      <family val="2"/>
    </font>
    <font>
      <b/>
      <i/>
      <sz val="10"/>
      <name val="Tahoma"/>
      <family val="2"/>
    </font>
    <font>
      <b/>
      <i/>
      <sz val="11"/>
      <name val="Tahoma"/>
      <family val="2"/>
    </font>
    <font>
      <b/>
      <sz val="9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rgb="FF0070C0"/>
      <name val="Tahoma"/>
      <family val="2"/>
    </font>
    <font>
      <b/>
      <i/>
      <sz val="8"/>
      <color rgb="FF0070C0"/>
      <name val="Tahoma"/>
      <family val="2"/>
    </font>
    <font>
      <sz val="10"/>
      <color rgb="FF0070C0"/>
      <name val="Tahoma"/>
      <family val="2"/>
    </font>
    <font>
      <b/>
      <sz val="8"/>
      <color rgb="FFFF0000"/>
      <name val="Tahoma"/>
      <family val="2"/>
    </font>
    <font>
      <b/>
      <sz val="10"/>
      <color rgb="FF7030A0"/>
      <name val="Tahoma"/>
      <family val="2"/>
    </font>
    <font>
      <b/>
      <i/>
      <sz val="8"/>
      <color rgb="FFFF0000"/>
      <name val="Tahoma"/>
      <family val="2"/>
    </font>
    <font>
      <sz val="7.5"/>
      <name val="Arial"/>
      <family val="2"/>
    </font>
    <font>
      <b/>
      <sz val="10"/>
      <color rgb="FFFF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2"/>
        <bgColor indexed="31"/>
      </patternFill>
    </fill>
    <fill>
      <patternFill patternType="solid">
        <fgColor indexed="13"/>
        <bgColor indexed="3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8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8"/>
      </right>
      <top style="thin">
        <color indexed="8"/>
      </top>
      <bottom/>
      <diagonal/>
    </border>
    <border>
      <left style="double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double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6" fontId="24" fillId="0" borderId="0" applyFill="0" applyBorder="0" applyAlignment="0" applyProtection="0"/>
    <xf numFmtId="0" fontId="1" fillId="0" borderId="0"/>
  </cellStyleXfs>
  <cellXfs count="51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0" borderId="6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justify" vertical="center"/>
    </xf>
    <xf numFmtId="0" fontId="5" fillId="0" borderId="0" xfId="0" applyFont="1" applyBorder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0" fontId="3" fillId="0" borderId="17" xfId="0" applyFont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horizontal="justify" vertical="center"/>
    </xf>
    <xf numFmtId="0" fontId="3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 applyFill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2" fillId="0" borderId="5" xfId="0" applyFont="1" applyBorder="1" applyAlignment="1">
      <alignment horizontal="justify" vertical="center"/>
    </xf>
    <xf numFmtId="0" fontId="2" fillId="0" borderId="12" xfId="0" applyFont="1" applyBorder="1" applyAlignment="1">
      <alignment horizontal="justify" vertical="center"/>
    </xf>
    <xf numFmtId="0" fontId="2" fillId="0" borderId="20" xfId="0" applyFont="1" applyBorder="1" applyAlignment="1">
      <alignment horizontal="center" vertical="center"/>
    </xf>
    <xf numFmtId="0" fontId="2" fillId="0" borderId="6" xfId="0" applyFont="1" applyBorder="1" applyAlignment="1">
      <alignment horizontal="justify" vertical="center"/>
    </xf>
    <xf numFmtId="0" fontId="2" fillId="0" borderId="5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justify" vertical="center"/>
    </xf>
    <xf numFmtId="0" fontId="2" fillId="0" borderId="11" xfId="0" applyFont="1" applyBorder="1" applyAlignment="1">
      <alignment horizontal="justify" vertical="center"/>
    </xf>
    <xf numFmtId="0" fontId="2" fillId="0" borderId="19" xfId="0" applyFont="1" applyBorder="1" applyAlignment="1">
      <alignment horizontal="justify" vertical="center"/>
    </xf>
    <xf numFmtId="0" fontId="3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3" fillId="0" borderId="1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6" fillId="0" borderId="0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6" fillId="0" borderId="0" xfId="0" applyFont="1"/>
    <xf numFmtId="0" fontId="4" fillId="0" borderId="21" xfId="0" applyFont="1" applyBorder="1"/>
    <xf numFmtId="0" fontId="4" fillId="0" borderId="22" xfId="0" applyFont="1" applyBorder="1"/>
    <xf numFmtId="0" fontId="2" fillId="0" borderId="22" xfId="0" applyFont="1" applyBorder="1"/>
    <xf numFmtId="0" fontId="2" fillId="0" borderId="23" xfId="0" applyFont="1" applyBorder="1"/>
    <xf numFmtId="0" fontId="4" fillId="0" borderId="24" xfId="0" applyFont="1" applyBorder="1"/>
    <xf numFmtId="0" fontId="4" fillId="0" borderId="0" xfId="0" applyFont="1" applyBorder="1"/>
    <xf numFmtId="0" fontId="2" fillId="0" borderId="0" xfId="0" applyFont="1" applyBorder="1"/>
    <xf numFmtId="0" fontId="2" fillId="0" borderId="25" xfId="0" applyFont="1" applyBorder="1"/>
    <xf numFmtId="0" fontId="9" fillId="0" borderId="24" xfId="0" applyFont="1" applyBorder="1"/>
    <xf numFmtId="0" fontId="10" fillId="0" borderId="0" xfId="0" applyFont="1" applyFill="1" applyBorder="1" applyAlignment="1">
      <alignment horizontal="center"/>
    </xf>
    <xf numFmtId="0" fontId="9" fillId="0" borderId="0" xfId="0" applyFont="1" applyBorder="1"/>
    <xf numFmtId="0" fontId="11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6" fillId="0" borderId="25" xfId="0" applyFont="1" applyBorder="1"/>
    <xf numFmtId="164" fontId="9" fillId="0" borderId="24" xfId="0" applyNumberFormat="1" applyFont="1" applyBorder="1"/>
    <xf numFmtId="0" fontId="6" fillId="0" borderId="0" xfId="0" applyFont="1" applyBorder="1"/>
    <xf numFmtId="164" fontId="12" fillId="0" borderId="0" xfId="0" applyNumberFormat="1" applyFont="1" applyBorder="1" applyAlignment="1">
      <alignment vertical="center" wrapText="1"/>
    </xf>
    <xf numFmtId="164" fontId="13" fillId="4" borderId="1" xfId="0" applyNumberFormat="1" applyFont="1" applyFill="1" applyBorder="1" applyAlignment="1"/>
    <xf numFmtId="0" fontId="10" fillId="0" borderId="0" xfId="0" applyFont="1" applyFill="1" applyBorder="1" applyAlignment="1">
      <alignment horizontal="left"/>
    </xf>
    <xf numFmtId="164" fontId="14" fillId="0" borderId="24" xfId="0" applyNumberFormat="1" applyFont="1" applyBorder="1" applyAlignment="1"/>
    <xf numFmtId="0" fontId="9" fillId="0" borderId="0" xfId="0" applyFont="1" applyBorder="1" applyAlignment="1">
      <alignment vertical="center" wrapText="1"/>
    </xf>
    <xf numFmtId="164" fontId="14" fillId="0" borderId="0" xfId="0" applyNumberFormat="1" applyFont="1" applyBorder="1" applyAlignment="1"/>
    <xf numFmtId="164" fontId="12" fillId="0" borderId="0" xfId="0" applyNumberFormat="1" applyFont="1" applyBorder="1" applyAlignment="1">
      <alignment vertical="center"/>
    </xf>
    <xf numFmtId="164" fontId="9" fillId="0" borderId="24" xfId="0" applyNumberFormat="1" applyFont="1" applyBorder="1" applyAlignment="1">
      <alignment horizontal="left"/>
    </xf>
    <xf numFmtId="0" fontId="0" fillId="0" borderId="0" xfId="0" applyBorder="1"/>
    <xf numFmtId="0" fontId="4" fillId="0" borderId="27" xfId="0" applyFont="1" applyBorder="1"/>
    <xf numFmtId="0" fontId="5" fillId="0" borderId="0" xfId="0" applyFont="1" applyFill="1" applyBorder="1" applyAlignment="1"/>
    <xf numFmtId="0" fontId="4" fillId="0" borderId="0" xfId="0" applyFont="1"/>
    <xf numFmtId="0" fontId="3" fillId="4" borderId="29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5" fontId="3" fillId="5" borderId="1" xfId="0" applyNumberFormat="1" applyFont="1" applyFill="1" applyBorder="1"/>
    <xf numFmtId="165" fontId="3" fillId="5" borderId="4" xfId="0" applyNumberFormat="1" applyFont="1" applyFill="1" applyBorder="1"/>
    <xf numFmtId="0" fontId="2" fillId="0" borderId="1" xfId="0" applyFont="1" applyFill="1" applyBorder="1" applyAlignment="1">
      <alignment horizontal="center"/>
    </xf>
    <xf numFmtId="165" fontId="2" fillId="2" borderId="1" xfId="0" applyNumberFormat="1" applyFont="1" applyFill="1" applyBorder="1"/>
    <xf numFmtId="165" fontId="2" fillId="2" borderId="3" xfId="0" applyNumberFormat="1" applyFont="1" applyFill="1" applyBorder="1"/>
    <xf numFmtId="165" fontId="2" fillId="6" borderId="2" xfId="0" applyNumberFormat="1" applyFont="1" applyFill="1" applyBorder="1"/>
    <xf numFmtId="165" fontId="2" fillId="2" borderId="2" xfId="0" applyNumberFormat="1" applyFont="1" applyFill="1" applyBorder="1"/>
    <xf numFmtId="0" fontId="2" fillId="0" borderId="0" xfId="0" applyFont="1"/>
    <xf numFmtId="0" fontId="3" fillId="0" borderId="0" xfId="0" applyFont="1" applyBorder="1"/>
    <xf numFmtId="0" fontId="3" fillId="0" borderId="0" xfId="0" applyFont="1"/>
    <xf numFmtId="0" fontId="2" fillId="0" borderId="31" xfId="0" applyFont="1" applyBorder="1"/>
    <xf numFmtId="0" fontId="3" fillId="0" borderId="0" xfId="0" applyFont="1" applyFill="1" applyBorder="1" applyAlignment="1">
      <alignment horizontal="center"/>
    </xf>
    <xf numFmtId="165" fontId="3" fillId="5" borderId="6" xfId="0" applyNumberFormat="1" applyFont="1" applyFill="1" applyBorder="1"/>
    <xf numFmtId="165" fontId="2" fillId="2" borderId="6" xfId="0" applyNumberFormat="1" applyFont="1" applyFill="1" applyBorder="1"/>
    <xf numFmtId="165" fontId="2" fillId="2" borderId="7" xfId="0" applyNumberFormat="1" applyFont="1" applyFill="1" applyBorder="1"/>
    <xf numFmtId="165" fontId="2" fillId="2" borderId="19" xfId="0" applyNumberFormat="1" applyFont="1" applyFill="1" applyBorder="1"/>
    <xf numFmtId="0" fontId="2" fillId="0" borderId="33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applyFont="1" applyFill="1" applyBorder="1" applyAlignment="1"/>
    <xf numFmtId="0" fontId="2" fillId="0" borderId="0" xfId="0" applyFont="1" applyFill="1" applyBorder="1"/>
    <xf numFmtId="0" fontId="6" fillId="0" borderId="0" xfId="0" applyFont="1" applyFill="1" applyBorder="1"/>
    <xf numFmtId="0" fontId="5" fillId="0" borderId="0" xfId="0" applyFont="1" applyFill="1" applyBorder="1" applyAlignment="1">
      <alignment horizontal="left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2" fillId="0" borderId="5" xfId="0" applyFont="1" applyBorder="1"/>
    <xf numFmtId="0" fontId="3" fillId="4" borderId="29" xfId="0" applyFont="1" applyFill="1" applyBorder="1"/>
    <xf numFmtId="0" fontId="2" fillId="0" borderId="29" xfId="0" applyFont="1" applyBorder="1"/>
    <xf numFmtId="0" fontId="3" fillId="4" borderId="29" xfId="0" applyFont="1" applyFill="1" applyBorder="1" applyAlignment="1">
      <alignment horizontal="center"/>
    </xf>
    <xf numFmtId="0" fontId="0" fillId="0" borderId="0" xfId="0" applyAlignment="1"/>
    <xf numFmtId="0" fontId="0" fillId="0" borderId="0" xfId="0" applyBorder="1" applyAlignment="1">
      <alignment wrapText="1"/>
    </xf>
    <xf numFmtId="0" fontId="6" fillId="0" borderId="0" xfId="0" applyFont="1" applyAlignment="1"/>
    <xf numFmtId="0" fontId="5" fillId="0" borderId="26" xfId="0" applyFont="1" applyFill="1" applyBorder="1" applyAlignment="1"/>
    <xf numFmtId="0" fontId="5" fillId="0" borderId="27" xfId="0" applyFont="1" applyFill="1" applyBorder="1" applyAlignment="1"/>
    <xf numFmtId="0" fontId="6" fillId="0" borderId="27" xfId="0" applyFont="1" applyBorder="1" applyAlignment="1"/>
    <xf numFmtId="0" fontId="6" fillId="0" borderId="27" xfId="0" applyFont="1" applyBorder="1" applyAlignment="1">
      <alignment wrapText="1"/>
    </xf>
    <xf numFmtId="0" fontId="6" fillId="0" borderId="28" xfId="0" applyFont="1" applyBorder="1" applyAlignment="1"/>
    <xf numFmtId="0" fontId="3" fillId="4" borderId="17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7" xfId="0" applyFont="1" applyFill="1" applyBorder="1" applyAlignment="1">
      <alignment horizontal="left" vertical="center" wrapText="1"/>
    </xf>
    <xf numFmtId="0" fontId="3" fillId="0" borderId="33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2" fillId="0" borderId="36" xfId="0" applyFont="1" applyBorder="1"/>
    <xf numFmtId="0" fontId="2" fillId="0" borderId="37" xfId="0" applyFont="1" applyBorder="1"/>
    <xf numFmtId="0" fontId="2" fillId="0" borderId="38" xfId="0" applyFont="1" applyBorder="1" applyAlignment="1">
      <alignment horizontal="center"/>
    </xf>
    <xf numFmtId="0" fontId="6" fillId="0" borderId="0" xfId="0" applyFont="1" applyBorder="1" applyAlignment="1">
      <alignment wrapText="1"/>
    </xf>
    <xf numFmtId="0" fontId="6" fillId="0" borderId="0" xfId="0" applyFont="1" applyFill="1"/>
    <xf numFmtId="0" fontId="3" fillId="0" borderId="6" xfId="0" applyFont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/>
    </xf>
    <xf numFmtId="0" fontId="2" fillId="0" borderId="36" xfId="0" applyFont="1" applyBorder="1" applyAlignment="1"/>
    <xf numFmtId="0" fontId="2" fillId="0" borderId="31" xfId="0" applyFont="1" applyBorder="1" applyAlignment="1"/>
    <xf numFmtId="0" fontId="2" fillId="0" borderId="32" xfId="0" applyFont="1" applyBorder="1" applyAlignment="1"/>
    <xf numFmtId="0" fontId="2" fillId="0" borderId="24" xfId="0" applyFont="1" applyBorder="1" applyAlignment="1"/>
    <xf numFmtId="0" fontId="2" fillId="0" borderId="26" xfId="0" applyFont="1" applyBorder="1" applyAlignment="1"/>
    <xf numFmtId="0" fontId="2" fillId="0" borderId="0" xfId="0" applyFont="1" applyBorder="1" applyAlignment="1"/>
    <xf numFmtId="0" fontId="3" fillId="4" borderId="3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2" fillId="0" borderId="5" xfId="0" applyFont="1" applyBorder="1" applyAlignment="1"/>
    <xf numFmtId="0" fontId="2" fillId="0" borderId="2" xfId="0" applyFont="1" applyFill="1" applyBorder="1" applyAlignment="1">
      <alignment horizontal="center"/>
    </xf>
    <xf numFmtId="0" fontId="0" fillId="0" borderId="5" xfId="0" applyBorder="1"/>
    <xf numFmtId="0" fontId="17" fillId="0" borderId="12" xfId="0" applyFont="1" applyBorder="1"/>
    <xf numFmtId="0" fontId="3" fillId="0" borderId="0" xfId="0" applyFont="1" applyFill="1" applyBorder="1"/>
    <xf numFmtId="0" fontId="2" fillId="0" borderId="29" xfId="0" applyFont="1" applyBorder="1" applyAlignment="1">
      <alignment horizontal="left"/>
    </xf>
    <xf numFmtId="0" fontId="2" fillId="0" borderId="29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Alignment="1"/>
    <xf numFmtId="0" fontId="6" fillId="0" borderId="24" xfId="0" applyFont="1" applyBorder="1"/>
    <xf numFmtId="164" fontId="9" fillId="2" borderId="26" xfId="0" applyNumberFormat="1" applyFont="1" applyFill="1" applyBorder="1" applyAlignment="1">
      <alignment horizontal="left"/>
    </xf>
    <xf numFmtId="164" fontId="13" fillId="2" borderId="27" xfId="0" applyNumberFormat="1" applyFont="1" applyFill="1" applyBorder="1" applyAlignment="1"/>
    <xf numFmtId="0" fontId="14" fillId="2" borderId="27" xfId="0" applyFont="1" applyFill="1" applyBorder="1"/>
    <xf numFmtId="0" fontId="6" fillId="2" borderId="27" xfId="0" applyFont="1" applyFill="1" applyBorder="1"/>
    <xf numFmtId="164" fontId="12" fillId="2" borderId="27" xfId="0" applyNumberFormat="1" applyFont="1" applyFill="1" applyBorder="1" applyAlignment="1">
      <alignment vertical="center" wrapText="1"/>
    </xf>
    <xf numFmtId="0" fontId="0" fillId="2" borderId="27" xfId="0" applyFill="1" applyBorder="1"/>
    <xf numFmtId="0" fontId="6" fillId="2" borderId="28" xfId="0" applyFont="1" applyFill="1" applyBorder="1"/>
    <xf numFmtId="0" fontId="3" fillId="0" borderId="0" xfId="0" applyFont="1" applyFill="1" applyBorder="1" applyAlignment="1"/>
    <xf numFmtId="0" fontId="2" fillId="0" borderId="31" xfId="0" applyFont="1" applyBorder="1" applyAlignment="1">
      <alignment horizontal="justify" wrapText="1"/>
    </xf>
    <xf numFmtId="0" fontId="2" fillId="0" borderId="0" xfId="0" applyFont="1" applyFill="1"/>
    <xf numFmtId="0" fontId="8" fillId="0" borderId="2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25" xfId="0" applyFont="1" applyBorder="1"/>
    <xf numFmtId="0" fontId="2" fillId="0" borderId="30" xfId="0" applyFont="1" applyBorder="1" applyAlignment="1">
      <alignment horizontal="justify"/>
    </xf>
    <xf numFmtId="167" fontId="2" fillId="0" borderId="1" xfId="1" applyNumberFormat="1" applyFont="1" applyFill="1" applyBorder="1" applyAlignment="1" applyProtection="1">
      <alignment horizontal="center"/>
    </xf>
    <xf numFmtId="0" fontId="2" fillId="0" borderId="31" xfId="0" applyFont="1" applyBorder="1" applyAlignment="1">
      <alignment horizontal="justify"/>
    </xf>
    <xf numFmtId="0" fontId="2" fillId="0" borderId="32" xfId="0" applyFont="1" applyBorder="1" applyAlignment="1">
      <alignment horizontal="justify"/>
    </xf>
    <xf numFmtId="0" fontId="2" fillId="0" borderId="0" xfId="0" applyFont="1" applyBorder="1" applyAlignment="1">
      <alignment horizontal="justify"/>
    </xf>
    <xf numFmtId="0" fontId="3" fillId="2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30" xfId="0" applyFont="1" applyFill="1" applyBorder="1"/>
    <xf numFmtId="0" fontId="2" fillId="0" borderId="31" xfId="0" applyFont="1" applyFill="1" applyBorder="1"/>
    <xf numFmtId="0" fontId="2" fillId="0" borderId="32" xfId="0" applyFont="1" applyFill="1" applyBorder="1"/>
    <xf numFmtId="0" fontId="2" fillId="0" borderId="30" xfId="0" applyFont="1" applyFill="1" applyBorder="1"/>
    <xf numFmtId="0" fontId="2" fillId="0" borderId="0" xfId="0" applyFont="1" applyAlignment="1">
      <alignment horizontal="justify"/>
    </xf>
    <xf numFmtId="0" fontId="3" fillId="0" borderId="0" xfId="0" applyFont="1" applyAlignment="1"/>
    <xf numFmtId="0" fontId="5" fillId="0" borderId="0" xfId="0" applyFont="1" applyAlignment="1"/>
    <xf numFmtId="0" fontId="18" fillId="0" borderId="0" xfId="0" applyFont="1" applyAlignment="1">
      <alignment horizontal="left"/>
    </xf>
    <xf numFmtId="0" fontId="6" fillId="0" borderId="0" xfId="0" applyFont="1" applyAlignment="1">
      <alignment horizontal="justify"/>
    </xf>
    <xf numFmtId="0" fontId="2" fillId="0" borderId="29" xfId="0" applyFont="1" applyBorder="1" applyAlignment="1">
      <alignment horizontal="justify"/>
    </xf>
    <xf numFmtId="0" fontId="2" fillId="0" borderId="36" xfId="0" applyFont="1" applyBorder="1" applyAlignment="1">
      <alignment horizontal="justify"/>
    </xf>
    <xf numFmtId="0" fontId="2" fillId="0" borderId="37" xfId="0" applyFont="1" applyBorder="1" applyAlignment="1">
      <alignment horizontal="justify"/>
    </xf>
    <xf numFmtId="0" fontId="2" fillId="0" borderId="36" xfId="0" applyFont="1" applyBorder="1" applyAlignment="1">
      <alignment horizontal="left" indent="3"/>
    </xf>
    <xf numFmtId="0" fontId="2" fillId="0" borderId="31" xfId="0" applyFont="1" applyBorder="1" applyAlignment="1">
      <alignment horizontal="left" indent="3"/>
    </xf>
    <xf numFmtId="0" fontId="2" fillId="0" borderId="37" xfId="0" applyFont="1" applyBorder="1" applyAlignment="1">
      <alignment horizontal="left" indent="3"/>
    </xf>
    <xf numFmtId="0" fontId="0" fillId="0" borderId="0" xfId="0" applyFont="1"/>
    <xf numFmtId="0" fontId="0" fillId="0" borderId="0" xfId="0" applyFont="1" applyAlignment="1">
      <alignment horizontal="left"/>
    </xf>
    <xf numFmtId="0" fontId="19" fillId="0" borderId="0" xfId="0" applyFont="1"/>
    <xf numFmtId="0" fontId="20" fillId="0" borderId="0" xfId="0" applyFont="1" applyAlignment="1"/>
    <xf numFmtId="168" fontId="4" fillId="0" borderId="27" xfId="1" applyNumberFormat="1" applyFont="1" applyFill="1" applyBorder="1" applyAlignment="1" applyProtection="1"/>
    <xf numFmtId="168" fontId="6" fillId="0" borderId="27" xfId="1" applyNumberFormat="1" applyFont="1" applyFill="1" applyBorder="1" applyAlignment="1" applyProtection="1"/>
    <xf numFmtId="168" fontId="6" fillId="0" borderId="27" xfId="1" applyNumberFormat="1" applyFont="1" applyFill="1" applyBorder="1" applyAlignment="1" applyProtection="1">
      <alignment wrapText="1"/>
    </xf>
    <xf numFmtId="0" fontId="3" fillId="4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justify"/>
    </xf>
    <xf numFmtId="165" fontId="3" fillId="5" borderId="3" xfId="0" applyNumberFormat="1" applyFont="1" applyFill="1" applyBorder="1"/>
    <xf numFmtId="165" fontId="2" fillId="6" borderId="4" xfId="0" applyNumberFormat="1" applyFont="1" applyFill="1" applyBorder="1"/>
    <xf numFmtId="165" fontId="3" fillId="0" borderId="1" xfId="0" applyNumberFormat="1" applyFont="1" applyFill="1" applyBorder="1"/>
    <xf numFmtId="165" fontId="3" fillId="0" borderId="3" xfId="0" applyNumberFormat="1" applyFont="1" applyFill="1" applyBorder="1"/>
    <xf numFmtId="165" fontId="3" fillId="0" borderId="4" xfId="0" applyNumberFormat="1" applyFont="1" applyFill="1" applyBorder="1"/>
    <xf numFmtId="0" fontId="5" fillId="0" borderId="0" xfId="0" applyFont="1" applyAlignment="1">
      <alignment horizontal="left"/>
    </xf>
    <xf numFmtId="0" fontId="3" fillId="0" borderId="30" xfId="0" applyFont="1" applyBorder="1" applyAlignment="1">
      <alignment horizontal="justify"/>
    </xf>
    <xf numFmtId="0" fontId="6" fillId="0" borderId="0" xfId="0" applyFont="1" applyAlignment="1">
      <alignment horizontal="left"/>
    </xf>
    <xf numFmtId="0" fontId="6" fillId="0" borderId="0" xfId="0" applyFont="1" applyFill="1" applyAlignment="1">
      <alignment horizontal="left"/>
    </xf>
    <xf numFmtId="0" fontId="0" fillId="0" borderId="0" xfId="0" applyFont="1" applyFill="1"/>
    <xf numFmtId="165" fontId="2" fillId="2" borderId="4" xfId="0" applyNumberFormat="1" applyFont="1" applyFill="1" applyBorder="1"/>
    <xf numFmtId="0" fontId="17" fillId="0" borderId="0" xfId="0" applyFont="1" applyBorder="1"/>
    <xf numFmtId="165" fontId="3" fillId="0" borderId="0" xfId="0" applyNumberFormat="1" applyFont="1" applyFill="1" applyBorder="1"/>
    <xf numFmtId="165" fontId="2" fillId="2" borderId="0" xfId="0" applyNumberFormat="1" applyFont="1" applyFill="1" applyBorder="1"/>
    <xf numFmtId="0" fontId="21" fillId="0" borderId="0" xfId="0" applyFont="1" applyAlignment="1"/>
    <xf numFmtId="0" fontId="2" fillId="0" borderId="0" xfId="0" applyFont="1" applyFill="1" applyAlignment="1">
      <alignment horizontal="center"/>
    </xf>
    <xf numFmtId="0" fontId="21" fillId="0" borderId="26" xfId="0" applyFont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" fillId="0" borderId="0" xfId="0" applyFont="1" applyBorder="1" applyAlignment="1">
      <alignment horizontal="left" vertical="center" wrapText="1"/>
    </xf>
    <xf numFmtId="0" fontId="3" fillId="0" borderId="0" xfId="0" applyFont="1" applyFill="1" applyBorder="1" applyAlignment="1">
      <alignment horizontal="center" wrapText="1"/>
    </xf>
    <xf numFmtId="0" fontId="22" fillId="0" borderId="0" xfId="0" applyFont="1" applyAlignment="1"/>
    <xf numFmtId="0" fontId="3" fillId="4" borderId="18" xfId="0" applyFont="1" applyFill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2" fillId="0" borderId="36" xfId="0" applyFont="1" applyBorder="1" applyAlignment="1">
      <alignment horizontal="left"/>
    </xf>
    <xf numFmtId="0" fontId="2" fillId="0" borderId="31" xfId="0" applyFont="1" applyBorder="1" applyAlignment="1">
      <alignment horizontal="left"/>
    </xf>
    <xf numFmtId="0" fontId="2" fillId="0" borderId="37" xfId="0" applyFont="1" applyBorder="1" applyAlignment="1">
      <alignment horizontal="left"/>
    </xf>
    <xf numFmtId="0" fontId="2" fillId="0" borderId="36" xfId="0" applyFont="1" applyBorder="1" applyAlignment="1">
      <alignment horizontal="justify" wrapText="1"/>
    </xf>
    <xf numFmtId="0" fontId="2" fillId="0" borderId="37" xfId="0" applyFont="1" applyBorder="1" applyAlignment="1">
      <alignment horizontal="justify" wrapText="1"/>
    </xf>
    <xf numFmtId="0" fontId="2" fillId="0" borderId="3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40" xfId="0" applyFont="1" applyFill="1" applyBorder="1" applyAlignment="1">
      <alignment horizontal="left" vertical="center" wrapText="1"/>
    </xf>
    <xf numFmtId="0" fontId="2" fillId="0" borderId="40" xfId="0" applyFont="1" applyFill="1" applyBorder="1" applyAlignment="1">
      <alignment horizontal="center"/>
    </xf>
    <xf numFmtId="0" fontId="3" fillId="0" borderId="40" xfId="0" applyFont="1" applyFill="1" applyBorder="1" applyAlignment="1">
      <alignment horizontal="center"/>
    </xf>
    <xf numFmtId="0" fontId="3" fillId="0" borderId="40" xfId="0" applyFont="1" applyFill="1" applyBorder="1" applyAlignment="1">
      <alignment horizontal="center" wrapText="1"/>
    </xf>
    <xf numFmtId="0" fontId="0" fillId="0" borderId="0" xfId="0" applyFill="1"/>
    <xf numFmtId="0" fontId="3" fillId="0" borderId="6" xfId="0" applyFont="1" applyBorder="1" applyAlignment="1">
      <alignment horizontal="justify"/>
    </xf>
    <xf numFmtId="0" fontId="3" fillId="0" borderId="0" xfId="0" applyFont="1" applyFill="1"/>
    <xf numFmtId="0" fontId="0" fillId="0" borderId="0" xfId="0" applyFill="1" applyBorder="1"/>
    <xf numFmtId="0" fontId="2" fillId="0" borderId="1" xfId="0" applyFont="1" applyBorder="1" applyAlignment="1">
      <alignment horizontal="left"/>
    </xf>
    <xf numFmtId="0" fontId="21" fillId="0" borderId="0" xfId="0" applyFont="1" applyAlignment="1">
      <alignment horizontal="center"/>
    </xf>
    <xf numFmtId="0" fontId="2" fillId="0" borderId="41" xfId="0" applyFont="1" applyFill="1" applyBorder="1" applyAlignment="1">
      <alignment horizontal="left" vertical="center" wrapText="1"/>
    </xf>
    <xf numFmtId="0" fontId="2" fillId="0" borderId="33" xfId="0" applyFont="1" applyFill="1" applyBorder="1" applyAlignment="1">
      <alignment horizontal="left"/>
    </xf>
    <xf numFmtId="0" fontId="8" fillId="0" borderId="0" xfId="0" applyFont="1" applyBorder="1" applyAlignment="1"/>
    <xf numFmtId="0" fontId="10" fillId="0" borderId="25" xfId="0" applyFont="1" applyFill="1" applyBorder="1" applyAlignment="1">
      <alignment horizontal="center"/>
    </xf>
    <xf numFmtId="164" fontId="13" fillId="4" borderId="42" xfId="0" applyNumberFormat="1" applyFont="1" applyFill="1" applyBorder="1" applyAlignment="1"/>
    <xf numFmtId="164" fontId="14" fillId="0" borderId="25" xfId="0" applyNumberFormat="1" applyFont="1" applyBorder="1" applyAlignment="1"/>
    <xf numFmtId="0" fontId="9" fillId="0" borderId="0" xfId="0" applyFont="1"/>
    <xf numFmtId="0" fontId="0" fillId="0" borderId="25" xfId="0" applyFont="1" applyFill="1" applyBorder="1"/>
    <xf numFmtId="164" fontId="13" fillId="2" borderId="28" xfId="0" applyNumberFormat="1" applyFont="1" applyFill="1" applyBorder="1" applyAlignment="1"/>
    <xf numFmtId="0" fontId="6" fillId="2" borderId="0" xfId="0" applyFont="1" applyFill="1" applyBorder="1"/>
    <xf numFmtId="0" fontId="19" fillId="2" borderId="24" xfId="0" applyFont="1" applyFill="1" applyBorder="1"/>
    <xf numFmtId="0" fontId="0" fillId="2" borderId="0" xfId="0" applyFill="1" applyBorder="1"/>
    <xf numFmtId="0" fontId="0" fillId="2" borderId="25" xfId="0" applyFill="1" applyBorder="1"/>
    <xf numFmtId="0" fontId="11" fillId="4" borderId="29" xfId="0" applyFont="1" applyFill="1" applyBorder="1" applyAlignment="1"/>
    <xf numFmtId="0" fontId="14" fillId="7" borderId="39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1" fontId="2" fillId="0" borderId="29" xfId="0" applyNumberFormat="1" applyFont="1" applyBorder="1"/>
    <xf numFmtId="0" fontId="23" fillId="0" borderId="0" xfId="0" applyFont="1"/>
    <xf numFmtId="0" fontId="2" fillId="0" borderId="29" xfId="0" applyFont="1" applyFill="1" applyBorder="1"/>
    <xf numFmtId="0" fontId="0" fillId="0" borderId="25" xfId="0" applyFill="1" applyBorder="1"/>
    <xf numFmtId="0" fontId="0" fillId="0" borderId="25" xfId="0" applyBorder="1"/>
    <xf numFmtId="0" fontId="3" fillId="0" borderId="24" xfId="0" applyFont="1" applyBorder="1"/>
    <xf numFmtId="169" fontId="3" fillId="4" borderId="1" xfId="0" applyNumberFormat="1" applyFont="1" applyFill="1" applyBorder="1" applyAlignment="1">
      <alignment horizontal="center"/>
    </xf>
    <xf numFmtId="169" fontId="3" fillId="0" borderId="0" xfId="0" applyNumberFormat="1" applyFont="1" applyFill="1" applyBorder="1" applyAlignment="1">
      <alignment horizontal="center"/>
    </xf>
    <xf numFmtId="0" fontId="2" fillId="0" borderId="29" xfId="0" applyFont="1" applyFill="1" applyBorder="1" applyAlignment="1"/>
    <xf numFmtId="0" fontId="6" fillId="0" borderId="25" xfId="0" applyFont="1" applyFill="1" applyBorder="1"/>
    <xf numFmtId="0" fontId="23" fillId="0" borderId="0" xfId="0" applyFont="1" applyBorder="1"/>
    <xf numFmtId="0" fontId="3" fillId="0" borderId="34" xfId="0" applyFont="1" applyBorder="1" applyAlignment="1"/>
    <xf numFmtId="0" fontId="23" fillId="0" borderId="25" xfId="0" applyFont="1" applyBorder="1"/>
    <xf numFmtId="0" fontId="3" fillId="4" borderId="30" xfId="0" applyFont="1" applyFill="1" applyBorder="1" applyAlignment="1">
      <alignment vertical="center" wrapText="1"/>
    </xf>
    <xf numFmtId="0" fontId="3" fillId="4" borderId="43" xfId="0" applyFont="1" applyFill="1" applyBorder="1" applyAlignment="1">
      <alignment horizontal="center"/>
    </xf>
    <xf numFmtId="0" fontId="3" fillId="4" borderId="31" xfId="0" applyFont="1" applyFill="1" applyBorder="1" applyAlignment="1">
      <alignment vertical="center" wrapText="1"/>
    </xf>
    <xf numFmtId="0" fontId="14" fillId="4" borderId="12" xfId="0" applyFont="1" applyFill="1" applyBorder="1" applyAlignment="1">
      <alignment horizontal="center"/>
    </xf>
    <xf numFmtId="0" fontId="14" fillId="4" borderId="16" xfId="0" applyFont="1" applyFill="1" applyBorder="1" applyAlignment="1">
      <alignment horizontal="center"/>
    </xf>
    <xf numFmtId="0" fontId="14" fillId="4" borderId="20" xfId="0" applyFont="1" applyFill="1" applyBorder="1" applyAlignment="1">
      <alignment horizontal="center"/>
    </xf>
    <xf numFmtId="0" fontId="14" fillId="4" borderId="44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44" xfId="0" applyFont="1" applyFill="1" applyBorder="1" applyAlignment="1">
      <alignment horizontal="center"/>
    </xf>
    <xf numFmtId="0" fontId="3" fillId="0" borderId="29" xfId="0" applyFont="1" applyFill="1" applyBorder="1" applyAlignment="1">
      <alignment horizontal="left" vertical="center" wrapText="1"/>
    </xf>
    <xf numFmtId="0" fontId="25" fillId="0" borderId="0" xfId="0" applyFont="1" applyAlignment="1">
      <alignment vertical="center"/>
    </xf>
    <xf numFmtId="0" fontId="25" fillId="0" borderId="0" xfId="0" applyFont="1" applyFill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27" fillId="0" borderId="0" xfId="0" applyFont="1" applyAlignment="1">
      <alignment vertical="center"/>
    </xf>
    <xf numFmtId="0" fontId="25" fillId="0" borderId="0" xfId="0" applyFont="1" applyAlignment="1">
      <alignment horizontal="justify" vertical="center"/>
    </xf>
    <xf numFmtId="0" fontId="25" fillId="0" borderId="11" xfId="0" applyFont="1" applyBorder="1" applyAlignment="1">
      <alignment horizontal="justify" vertical="center"/>
    </xf>
    <xf numFmtId="0" fontId="27" fillId="0" borderId="11" xfId="0" applyFont="1" applyFill="1" applyBorder="1" applyAlignment="1">
      <alignment vertical="center"/>
    </xf>
    <xf numFmtId="0" fontId="25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justify" vertical="center"/>
    </xf>
    <xf numFmtId="0" fontId="5" fillId="0" borderId="0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" fillId="8" borderId="53" xfId="0" applyFont="1" applyFill="1" applyBorder="1" applyAlignment="1">
      <alignment horizontal="center" vertical="center"/>
    </xf>
    <xf numFmtId="0" fontId="3" fillId="8" borderId="54" xfId="0" applyFont="1" applyFill="1" applyBorder="1" applyAlignment="1">
      <alignment horizontal="center" vertical="center"/>
    </xf>
    <xf numFmtId="0" fontId="3" fillId="8" borderId="55" xfId="0" applyFont="1" applyFill="1" applyBorder="1" applyAlignment="1">
      <alignment horizontal="center" vertical="center"/>
    </xf>
    <xf numFmtId="41" fontId="3" fillId="9" borderId="47" xfId="0" applyNumberFormat="1" applyFont="1" applyFill="1" applyBorder="1"/>
    <xf numFmtId="41" fontId="2" fillId="10" borderId="47" xfId="0" applyNumberFormat="1" applyFont="1" applyFill="1" applyBorder="1"/>
    <xf numFmtId="41" fontId="2" fillId="0" borderId="60" xfId="0" applyNumberFormat="1" applyFont="1" applyBorder="1"/>
    <xf numFmtId="41" fontId="2" fillId="11" borderId="61" xfId="0" applyNumberFormat="1" applyFont="1" applyFill="1" applyBorder="1"/>
    <xf numFmtId="41" fontId="3" fillId="9" borderId="64" xfId="0" applyNumberFormat="1" applyFont="1" applyFill="1" applyBorder="1"/>
    <xf numFmtId="41" fontId="2" fillId="10" borderId="64" xfId="0" applyNumberFormat="1" applyFont="1" applyFill="1" applyBorder="1"/>
    <xf numFmtId="41" fontId="2" fillId="0" borderId="65" xfId="0" applyNumberFormat="1" applyFont="1" applyBorder="1"/>
    <xf numFmtId="41" fontId="2" fillId="0" borderId="66" xfId="0" applyNumberFormat="1" applyFont="1" applyBorder="1"/>
    <xf numFmtId="0" fontId="3" fillId="8" borderId="67" xfId="0" applyFont="1" applyFill="1" applyBorder="1" applyAlignment="1">
      <alignment horizontal="center" vertical="center"/>
    </xf>
    <xf numFmtId="41" fontId="3" fillId="9" borderId="71" xfId="0" applyNumberFormat="1" applyFont="1" applyFill="1" applyBorder="1"/>
    <xf numFmtId="0" fontId="2" fillId="0" borderId="57" xfId="0" applyFont="1" applyBorder="1"/>
    <xf numFmtId="0" fontId="2" fillId="0" borderId="59" xfId="0" applyFont="1" applyBorder="1"/>
    <xf numFmtId="0" fontId="2" fillId="0" borderId="69" xfId="0" applyFont="1" applyBorder="1"/>
    <xf numFmtId="0" fontId="2" fillId="0" borderId="57" xfId="0" applyFont="1" applyBorder="1" applyAlignment="1">
      <alignment horizontal="left" vertical="center"/>
    </xf>
    <xf numFmtId="0" fontId="2" fillId="0" borderId="59" xfId="0" applyFont="1" applyBorder="1" applyAlignment="1">
      <alignment horizontal="left" vertical="center"/>
    </xf>
    <xf numFmtId="0" fontId="2" fillId="0" borderId="62" xfId="0" applyFont="1" applyBorder="1" applyAlignment="1">
      <alignment horizontal="left" vertical="center"/>
    </xf>
    <xf numFmtId="0" fontId="3" fillId="8" borderId="57" xfId="0" applyFont="1" applyFill="1" applyBorder="1" applyAlignment="1">
      <alignment horizontal="center"/>
    </xf>
    <xf numFmtId="0" fontId="3" fillId="8" borderId="48" xfId="0" applyFont="1" applyFill="1" applyBorder="1" applyAlignment="1">
      <alignment horizontal="center" vertical="center"/>
    </xf>
    <xf numFmtId="0" fontId="3" fillId="8" borderId="60" xfId="0" applyFont="1" applyFill="1" applyBorder="1" applyAlignment="1">
      <alignment horizontal="center" vertical="center"/>
    </xf>
    <xf numFmtId="41" fontId="3" fillId="0" borderId="0" xfId="0" applyNumberFormat="1" applyFont="1" applyFill="1" applyBorder="1" applyAlignment="1">
      <alignment vertical="center"/>
    </xf>
    <xf numFmtId="0" fontId="3" fillId="12" borderId="48" xfId="0" applyFont="1" applyFill="1" applyBorder="1" applyAlignment="1">
      <alignment horizontal="center" vertical="center"/>
    </xf>
    <xf numFmtId="0" fontId="3" fillId="12" borderId="47" xfId="0" applyFont="1" applyFill="1" applyBorder="1" applyAlignment="1">
      <alignment horizontal="center" vertical="center"/>
    </xf>
    <xf numFmtId="0" fontId="3" fillId="12" borderId="60" xfId="0" applyFont="1" applyFill="1" applyBorder="1" applyAlignment="1">
      <alignment horizontal="center" vertical="center"/>
    </xf>
    <xf numFmtId="0" fontId="3" fillId="12" borderId="61" xfId="0" applyFont="1" applyFill="1" applyBorder="1" applyAlignment="1">
      <alignment horizontal="center" vertical="center"/>
    </xf>
    <xf numFmtId="0" fontId="3" fillId="12" borderId="74" xfId="0" applyFont="1" applyFill="1" applyBorder="1" applyAlignment="1">
      <alignment horizontal="left" vertical="center"/>
    </xf>
    <xf numFmtId="0" fontId="29" fillId="0" borderId="0" xfId="0" applyFont="1" applyBorder="1" applyAlignment="1">
      <alignment horizontal="center" vertical="center"/>
    </xf>
    <xf numFmtId="0" fontId="2" fillId="0" borderId="69" xfId="0" applyFont="1" applyBorder="1" applyAlignment="1">
      <alignment horizontal="left" vertical="center"/>
    </xf>
    <xf numFmtId="0" fontId="3" fillId="8" borderId="61" xfId="0" applyFont="1" applyFill="1" applyBorder="1" applyAlignment="1">
      <alignment horizontal="center" vertical="center"/>
    </xf>
    <xf numFmtId="164" fontId="14" fillId="0" borderId="0" xfId="0" applyNumberFormat="1" applyFont="1" applyBorder="1" applyAlignment="1">
      <alignment horizontal="left"/>
    </xf>
    <xf numFmtId="164" fontId="9" fillId="2" borderId="0" xfId="0" applyNumberFormat="1" applyFont="1" applyFill="1" applyBorder="1" applyAlignment="1">
      <alignment horizontal="left"/>
    </xf>
    <xf numFmtId="164" fontId="9" fillId="4" borderId="17" xfId="0" applyNumberFormat="1" applyFont="1" applyFill="1" applyBorder="1" applyAlignment="1"/>
    <xf numFmtId="164" fontId="9" fillId="0" borderId="15" xfId="0" applyNumberFormat="1" applyFont="1" applyFill="1" applyBorder="1" applyAlignment="1"/>
    <xf numFmtId="164" fontId="9" fillId="0" borderId="0" xfId="0" applyNumberFormat="1" applyFont="1" applyFill="1" applyBorder="1" applyAlignment="1"/>
    <xf numFmtId="169" fontId="31" fillId="4" borderId="1" xfId="0" applyNumberFormat="1" applyFont="1" applyFill="1" applyBorder="1" applyAlignment="1"/>
    <xf numFmtId="169" fontId="31" fillId="4" borderId="1" xfId="0" applyNumberFormat="1" applyFont="1" applyFill="1" applyBorder="1" applyAlignment="1">
      <alignment horizontal="right"/>
    </xf>
    <xf numFmtId="164" fontId="12" fillId="4" borderId="17" xfId="0" applyNumberFormat="1" applyFont="1" applyFill="1" applyBorder="1" applyAlignment="1"/>
    <xf numFmtId="0" fontId="3" fillId="8" borderId="47" xfId="0" applyFont="1" applyFill="1" applyBorder="1" applyAlignment="1">
      <alignment horizontal="center" vertical="center"/>
    </xf>
    <xf numFmtId="0" fontId="3" fillId="8" borderId="56" xfId="0" applyFont="1" applyFill="1" applyBorder="1" applyAlignment="1">
      <alignment horizontal="center" vertical="center"/>
    </xf>
    <xf numFmtId="0" fontId="2" fillId="0" borderId="57" xfId="0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8" fillId="0" borderId="0" xfId="0" applyFont="1" applyFill="1" applyAlignment="1">
      <alignment horizontal="left" vertical="center"/>
    </xf>
    <xf numFmtId="0" fontId="29" fillId="0" borderId="0" xfId="0" applyFont="1" applyFill="1" applyAlignment="1">
      <alignment horizontal="left" vertical="center"/>
    </xf>
    <xf numFmtId="41" fontId="2" fillId="0" borderId="48" xfId="0" applyNumberFormat="1" applyFont="1" applyFill="1" applyBorder="1" applyAlignment="1">
      <alignment horizontal="center" vertical="center"/>
    </xf>
    <xf numFmtId="41" fontId="3" fillId="9" borderId="47" xfId="0" applyNumberFormat="1" applyFont="1" applyFill="1" applyBorder="1" applyAlignment="1">
      <alignment vertical="center"/>
    </xf>
    <xf numFmtId="41" fontId="3" fillId="9" borderId="48" xfId="0" applyNumberFormat="1" applyFont="1" applyFill="1" applyBorder="1" applyAlignment="1">
      <alignment vertical="center"/>
    </xf>
    <xf numFmtId="41" fontId="3" fillId="9" borderId="58" xfId="0" applyNumberFormat="1" applyFont="1" applyFill="1" applyBorder="1" applyAlignment="1">
      <alignment vertical="center"/>
    </xf>
    <xf numFmtId="0" fontId="2" fillId="0" borderId="48" xfId="0" applyFont="1" applyFill="1" applyBorder="1" applyAlignment="1">
      <alignment horizontal="center" vertical="center"/>
    </xf>
    <xf numFmtId="41" fontId="2" fillId="10" borderId="47" xfId="0" applyNumberFormat="1" applyFont="1" applyFill="1" applyBorder="1" applyAlignment="1">
      <alignment vertical="center"/>
    </xf>
    <xf numFmtId="41" fontId="2" fillId="0" borderId="60" xfId="0" applyNumberFormat="1" applyFont="1" applyBorder="1" applyAlignment="1">
      <alignment vertical="center"/>
    </xf>
    <xf numFmtId="41" fontId="2" fillId="11" borderId="61" xfId="0" applyNumberFormat="1" applyFont="1" applyFill="1" applyBorder="1" applyAlignment="1">
      <alignment vertical="center"/>
    </xf>
    <xf numFmtId="0" fontId="2" fillId="0" borderId="63" xfId="0" applyFont="1" applyFill="1" applyBorder="1" applyAlignment="1">
      <alignment horizontal="center" vertical="center"/>
    </xf>
    <xf numFmtId="41" fontId="3" fillId="9" borderId="64" xfId="0" applyNumberFormat="1" applyFont="1" applyFill="1" applyBorder="1" applyAlignment="1">
      <alignment vertical="center"/>
    </xf>
    <xf numFmtId="41" fontId="2" fillId="10" borderId="64" xfId="0" applyNumberFormat="1" applyFont="1" applyFill="1" applyBorder="1" applyAlignment="1">
      <alignment vertical="center"/>
    </xf>
    <xf numFmtId="41" fontId="2" fillId="0" borderId="65" xfId="0" applyNumberFormat="1" applyFont="1" applyBorder="1" applyAlignment="1">
      <alignment vertical="center"/>
    </xf>
    <xf numFmtId="41" fontId="2" fillId="0" borderId="66" xfId="0" applyNumberFormat="1" applyFont="1" applyBorder="1" applyAlignment="1">
      <alignment vertical="center"/>
    </xf>
    <xf numFmtId="0" fontId="3" fillId="0" borderId="57" xfId="0" applyFont="1" applyFill="1" applyBorder="1" applyAlignment="1">
      <alignment horizontal="left" vertical="center"/>
    </xf>
    <xf numFmtId="0" fontId="2" fillId="0" borderId="59" xfId="0" applyFont="1" applyFill="1" applyBorder="1" applyAlignment="1">
      <alignment horizontal="left" vertical="center"/>
    </xf>
    <xf numFmtId="0" fontId="2" fillId="0" borderId="68" xfId="0" applyFont="1" applyFill="1" applyBorder="1" applyAlignment="1">
      <alignment horizontal="center" vertical="center"/>
    </xf>
    <xf numFmtId="41" fontId="3" fillId="11" borderId="58" xfId="0" applyNumberFormat="1" applyFont="1" applyFill="1" applyBorder="1" applyAlignment="1">
      <alignment vertical="center"/>
    </xf>
    <xf numFmtId="0" fontId="2" fillId="0" borderId="69" xfId="0" applyFont="1" applyFill="1" applyBorder="1" applyAlignment="1">
      <alignment horizontal="left" vertical="center"/>
    </xf>
    <xf numFmtId="0" fontId="2" fillId="0" borderId="70" xfId="0" applyFont="1" applyFill="1" applyBorder="1" applyAlignment="1">
      <alignment horizontal="center" vertical="center"/>
    </xf>
    <xf numFmtId="41" fontId="3" fillId="9" borderId="71" xfId="0" applyNumberFormat="1" applyFont="1" applyFill="1" applyBorder="1" applyAlignment="1">
      <alignment vertical="center"/>
    </xf>
    <xf numFmtId="0" fontId="3" fillId="0" borderId="59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3" fillId="0" borderId="69" xfId="0" applyFont="1" applyFill="1" applyBorder="1" applyAlignment="1">
      <alignment horizontal="left" vertical="center"/>
    </xf>
    <xf numFmtId="41" fontId="2" fillId="0" borderId="61" xfId="0" applyNumberFormat="1" applyFont="1" applyBorder="1" applyAlignment="1">
      <alignment vertical="center"/>
    </xf>
    <xf numFmtId="41" fontId="2" fillId="10" borderId="60" xfId="0" applyNumberFormat="1" applyFont="1" applyFill="1" applyBorder="1" applyAlignment="1">
      <alignment vertical="center"/>
    </xf>
    <xf numFmtId="41" fontId="2" fillId="10" borderId="61" xfId="0" applyNumberFormat="1" applyFont="1" applyFill="1" applyBorder="1" applyAlignment="1">
      <alignment vertical="center"/>
    </xf>
    <xf numFmtId="41" fontId="2" fillId="10" borderId="65" xfId="0" applyNumberFormat="1" applyFont="1" applyFill="1" applyBorder="1" applyAlignment="1">
      <alignment vertical="center"/>
    </xf>
    <xf numFmtId="41" fontId="2" fillId="10" borderId="66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41" fontId="2" fillId="10" borderId="0" xfId="0" applyNumberFormat="1" applyFont="1" applyFill="1" applyBorder="1" applyAlignment="1">
      <alignment vertical="center"/>
    </xf>
    <xf numFmtId="0" fontId="3" fillId="12" borderId="57" xfId="0" applyFont="1" applyFill="1" applyBorder="1" applyAlignment="1">
      <alignment vertical="center"/>
    </xf>
    <xf numFmtId="0" fontId="3" fillId="0" borderId="57" xfId="0" applyFont="1" applyBorder="1" applyAlignment="1">
      <alignment vertical="center"/>
    </xf>
    <xf numFmtId="41" fontId="3" fillId="11" borderId="61" xfId="0" applyNumberFormat="1" applyFont="1" applyFill="1" applyBorder="1" applyAlignment="1">
      <alignment vertical="center"/>
    </xf>
    <xf numFmtId="0" fontId="2" fillId="0" borderId="69" xfId="0" applyFont="1" applyBorder="1" applyAlignment="1">
      <alignment vertical="center"/>
    </xf>
    <xf numFmtId="0" fontId="15" fillId="0" borderId="59" xfId="0" applyFont="1" applyBorder="1" applyAlignment="1">
      <alignment vertical="center"/>
    </xf>
    <xf numFmtId="41" fontId="2" fillId="0" borderId="75" xfId="0" applyNumberFormat="1" applyFont="1" applyFill="1" applyBorder="1" applyAlignment="1">
      <alignment horizontal="center" vertical="center"/>
    </xf>
    <xf numFmtId="0" fontId="3" fillId="8" borderId="74" xfId="0" applyFont="1" applyFill="1" applyBorder="1" applyAlignment="1">
      <alignment vertical="center"/>
    </xf>
    <xf numFmtId="41" fontId="3" fillId="8" borderId="71" xfId="0" applyNumberFormat="1" applyFont="1" applyFill="1" applyBorder="1" applyAlignment="1">
      <alignment vertical="center"/>
    </xf>
    <xf numFmtId="0" fontId="2" fillId="0" borderId="74" xfId="0" applyFont="1" applyFill="1" applyBorder="1" applyAlignment="1">
      <alignment horizontal="left" vertical="center"/>
    </xf>
    <xf numFmtId="0" fontId="6" fillId="0" borderId="71" xfId="0" applyFont="1" applyBorder="1" applyAlignment="1">
      <alignment vertical="center"/>
    </xf>
    <xf numFmtId="0" fontId="3" fillId="8" borderId="74" xfId="0" applyFont="1" applyFill="1" applyBorder="1" applyAlignment="1">
      <alignment horizontal="center" vertical="center"/>
    </xf>
    <xf numFmtId="0" fontId="3" fillId="8" borderId="71" xfId="0" applyFont="1" applyFill="1" applyBorder="1" applyAlignment="1">
      <alignment horizontal="center" vertical="center"/>
    </xf>
    <xf numFmtId="0" fontId="2" fillId="0" borderId="76" xfId="0" applyFont="1" applyFill="1" applyBorder="1" applyAlignment="1">
      <alignment horizontal="left" vertical="center"/>
    </xf>
    <xf numFmtId="0" fontId="6" fillId="0" borderId="77" xfId="0" applyFont="1" applyBorder="1" applyAlignment="1">
      <alignment vertical="center"/>
    </xf>
    <xf numFmtId="0" fontId="3" fillId="8" borderId="52" xfId="0" applyFont="1" applyFill="1" applyBorder="1" applyAlignment="1">
      <alignment horizontal="center" vertical="center"/>
    </xf>
    <xf numFmtId="171" fontId="6" fillId="0" borderId="48" xfId="1" applyNumberFormat="1" applyFont="1" applyFill="1" applyBorder="1" applyAlignment="1">
      <alignment horizontal="center" vertical="center"/>
    </xf>
    <xf numFmtId="41" fontId="2" fillId="10" borderId="71" xfId="0" applyNumberFormat="1" applyFont="1" applyFill="1" applyBorder="1" applyAlignment="1">
      <alignment vertical="center"/>
    </xf>
    <xf numFmtId="0" fontId="2" fillId="0" borderId="7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47" xfId="0" applyFont="1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47" xfId="0" applyFont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30" fillId="0" borderId="0" xfId="0" applyFont="1" applyFill="1" applyBorder="1" applyAlignment="1">
      <alignment vertical="center"/>
    </xf>
    <xf numFmtId="0" fontId="29" fillId="0" borderId="0" xfId="0" applyFont="1" applyFill="1" applyBorder="1" applyAlignment="1">
      <alignment horizontal="center" vertical="center"/>
    </xf>
    <xf numFmtId="170" fontId="32" fillId="0" borderId="0" xfId="0" applyNumberFormat="1" applyFont="1" applyFill="1" applyBorder="1" applyAlignment="1">
      <alignment horizontal="left" vertical="center"/>
    </xf>
    <xf numFmtId="0" fontId="29" fillId="0" borderId="82" xfId="0" applyFont="1" applyBorder="1" applyAlignment="1">
      <alignment horizontal="center" vertical="center"/>
    </xf>
    <xf numFmtId="0" fontId="5" fillId="0" borderId="73" xfId="0" applyFont="1" applyFill="1" applyBorder="1" applyAlignment="1">
      <alignment vertical="center"/>
    </xf>
    <xf numFmtId="0" fontId="4" fillId="0" borderId="73" xfId="0" applyFont="1" applyBorder="1" applyAlignment="1">
      <alignment vertical="center"/>
    </xf>
    <xf numFmtId="0" fontId="6" fillId="0" borderId="73" xfId="0" applyFont="1" applyBorder="1" applyAlignment="1">
      <alignment vertical="center"/>
    </xf>
    <xf numFmtId="0" fontId="5" fillId="0" borderId="83" xfId="0" applyFont="1" applyFill="1" applyBorder="1" applyAlignment="1">
      <alignment vertical="center"/>
    </xf>
    <xf numFmtId="0" fontId="3" fillId="0" borderId="83" xfId="0" applyFont="1" applyBorder="1" applyAlignment="1">
      <alignment horizontal="center" vertical="center"/>
    </xf>
    <xf numFmtId="0" fontId="3" fillId="0" borderId="83" xfId="0" applyFont="1" applyFill="1" applyBorder="1" applyAlignment="1">
      <alignment horizontal="center" vertical="center"/>
    </xf>
    <xf numFmtId="0" fontId="5" fillId="0" borderId="82" xfId="0" applyFont="1" applyFill="1" applyBorder="1" applyAlignment="1">
      <alignment vertical="center"/>
    </xf>
    <xf numFmtId="41" fontId="2" fillId="10" borderId="82" xfId="0" applyNumberFormat="1" applyFont="1" applyFill="1" applyBorder="1" applyAlignment="1">
      <alignment vertical="center"/>
    </xf>
    <xf numFmtId="0" fontId="3" fillId="8" borderId="47" xfId="0" applyFont="1" applyFill="1" applyBorder="1" applyAlignment="1">
      <alignment horizontal="center" vertical="center"/>
    </xf>
    <xf numFmtId="170" fontId="32" fillId="0" borderId="0" xfId="0" quotePrefix="1" applyNumberFormat="1" applyFont="1" applyFill="1" applyBorder="1" applyAlignment="1">
      <alignment horizontal="left" vertical="center"/>
    </xf>
    <xf numFmtId="41" fontId="2" fillId="0" borderId="47" xfId="0" applyNumberFormat="1" applyFont="1" applyFill="1" applyBorder="1" applyAlignment="1">
      <alignment horizontal="center"/>
    </xf>
    <xf numFmtId="41" fontId="3" fillId="9" borderId="47" xfId="0" applyNumberFormat="1" applyFont="1" applyFill="1" applyBorder="1" applyAlignment="1"/>
    <xf numFmtId="0" fontId="2" fillId="0" borderId="47" xfId="0" applyFont="1" applyFill="1" applyBorder="1" applyAlignment="1">
      <alignment horizontal="center"/>
    </xf>
    <xf numFmtId="41" fontId="2" fillId="0" borderId="61" xfId="0" applyNumberFormat="1" applyFont="1" applyBorder="1"/>
    <xf numFmtId="0" fontId="2" fillId="0" borderId="64" xfId="0" applyFont="1" applyFill="1" applyBorder="1" applyAlignment="1">
      <alignment horizontal="center"/>
    </xf>
    <xf numFmtId="0" fontId="3" fillId="8" borderId="47" xfId="0" applyFont="1" applyFill="1" applyBorder="1" applyAlignment="1">
      <alignment horizontal="center" vertical="center"/>
    </xf>
    <xf numFmtId="41" fontId="3" fillId="0" borderId="70" xfId="0" applyNumberFormat="1" applyFont="1" applyFill="1" applyBorder="1" applyAlignment="1">
      <alignment vertical="center"/>
    </xf>
    <xf numFmtId="41" fontId="2" fillId="0" borderId="70" xfId="0" applyNumberFormat="1" applyFont="1" applyFill="1" applyBorder="1" applyAlignment="1">
      <alignment vertical="center"/>
    </xf>
    <xf numFmtId="0" fontId="3" fillId="13" borderId="72" xfId="0" applyFont="1" applyFill="1" applyBorder="1" applyAlignment="1">
      <alignment horizontal="center" vertical="center"/>
    </xf>
    <xf numFmtId="0" fontId="3" fillId="13" borderId="73" xfId="0" applyFont="1" applyFill="1" applyBorder="1" applyAlignment="1">
      <alignment horizontal="center" vertical="center"/>
    </xf>
    <xf numFmtId="0" fontId="3" fillId="13" borderId="56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8" fillId="0" borderId="79" xfId="0" applyFont="1" applyBorder="1" applyAlignment="1">
      <alignment horizontal="center" vertical="center"/>
    </xf>
    <xf numFmtId="0" fontId="8" fillId="0" borderId="80" xfId="0" applyFont="1" applyBorder="1" applyAlignment="1">
      <alignment horizontal="center" vertical="center"/>
    </xf>
    <xf numFmtId="0" fontId="8" fillId="0" borderId="81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57" xfId="0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3" fillId="12" borderId="72" xfId="0" applyFont="1" applyFill="1" applyBorder="1" applyAlignment="1">
      <alignment horizontal="center" vertical="center"/>
    </xf>
    <xf numFmtId="0" fontId="3" fillId="12" borderId="73" xfId="0" applyFont="1" applyFill="1" applyBorder="1" applyAlignment="1">
      <alignment horizontal="center" vertical="center"/>
    </xf>
    <xf numFmtId="0" fontId="3" fillId="12" borderId="56" xfId="0" applyFont="1" applyFill="1" applyBorder="1" applyAlignment="1">
      <alignment horizontal="center" vertical="center"/>
    </xf>
    <xf numFmtId="0" fontId="2" fillId="0" borderId="69" xfId="0" applyFont="1" applyBorder="1" applyAlignment="1">
      <alignment vertical="center"/>
    </xf>
    <xf numFmtId="0" fontId="3" fillId="12" borderId="59" xfId="0" applyFont="1" applyFill="1" applyBorder="1" applyAlignment="1">
      <alignment vertical="center" wrapText="1"/>
    </xf>
    <xf numFmtId="0" fontId="3" fillId="12" borderId="62" xfId="0" applyFont="1" applyFill="1" applyBorder="1" applyAlignment="1">
      <alignment vertical="center" wrapText="1"/>
    </xf>
    <xf numFmtId="0" fontId="3" fillId="8" borderId="72" xfId="0" applyFont="1" applyFill="1" applyBorder="1" applyAlignment="1">
      <alignment horizontal="center" vertical="center"/>
    </xf>
    <xf numFmtId="0" fontId="3" fillId="8" borderId="56" xfId="0" applyFont="1" applyFill="1" applyBorder="1" applyAlignment="1">
      <alignment horizontal="center" vertical="center"/>
    </xf>
    <xf numFmtId="0" fontId="3" fillId="8" borderId="74" xfId="0" applyFont="1" applyFill="1" applyBorder="1" applyAlignment="1">
      <alignment horizontal="center" vertical="center"/>
    </xf>
    <xf numFmtId="0" fontId="3" fillId="8" borderId="71" xfId="0" applyFont="1" applyFill="1" applyBorder="1" applyAlignment="1">
      <alignment horizontal="center" vertical="center"/>
    </xf>
    <xf numFmtId="0" fontId="3" fillId="8" borderId="52" xfId="0" applyFont="1" applyFill="1" applyBorder="1" applyAlignment="1">
      <alignment horizontal="center" vertical="center"/>
    </xf>
    <xf numFmtId="0" fontId="3" fillId="8" borderId="7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8" borderId="57" xfId="0" applyFont="1" applyFill="1" applyBorder="1" applyAlignment="1">
      <alignment horizontal="center" vertical="center"/>
    </xf>
    <xf numFmtId="0" fontId="3" fillId="8" borderId="59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3" fillId="8" borderId="47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16" fillId="0" borderId="45" xfId="0" applyFont="1" applyBorder="1" applyAlignment="1">
      <alignment horizontal="center"/>
    </xf>
    <xf numFmtId="164" fontId="9" fillId="4" borderId="1" xfId="0" applyNumberFormat="1" applyFont="1" applyFill="1" applyBorder="1" applyAlignment="1">
      <alignment horizontal="left"/>
    </xf>
    <xf numFmtId="164" fontId="9" fillId="4" borderId="1" xfId="0" applyNumberFormat="1" applyFont="1" applyFill="1" applyBorder="1" applyAlignment="1">
      <alignment horizontal="right"/>
    </xf>
    <xf numFmtId="0" fontId="2" fillId="0" borderId="36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/>
    </xf>
    <xf numFmtId="0" fontId="2" fillId="0" borderId="29" xfId="0" applyFont="1" applyFill="1" applyBorder="1" applyAlignment="1">
      <alignment horizontal="left"/>
    </xf>
    <xf numFmtId="0" fontId="8" fillId="0" borderId="45" xfId="0" applyFont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2" fillId="0" borderId="46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/>
    </xf>
    <xf numFmtId="0" fontId="2" fillId="0" borderId="46" xfId="0" applyFont="1" applyBorder="1" applyAlignment="1">
      <alignment horizontal="left" vertical="top" wrapText="1"/>
    </xf>
    <xf numFmtId="0" fontId="2" fillId="0" borderId="46" xfId="0" applyFont="1" applyBorder="1" applyAlignment="1">
      <alignment horizontal="left" vertical="top"/>
    </xf>
    <xf numFmtId="0" fontId="14" fillId="4" borderId="12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</cellXfs>
  <cellStyles count="3">
    <cellStyle name="Millares" xfId="1" builtinId="3"/>
    <cellStyle name="Normal" xfId="0" builtinId="0"/>
    <cellStyle name="Normal 2" xfId="2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1</xdr:col>
      <xdr:colOff>466725</xdr:colOff>
      <xdr:row>2</xdr:row>
      <xdr:rowOff>76200</xdr:rowOff>
    </xdr:to>
    <xdr:pic>
      <xdr:nvPicPr>
        <xdr:cNvPr id="4135" name="Picture 47">
          <a:extLst>
            <a:ext uri="{FF2B5EF4-FFF2-40B4-BE49-F238E27FC236}">
              <a16:creationId xmlns:a16="http://schemas.microsoft.com/office/drawing/2014/main" xmlns="" id="{00000000-0008-0000-0300-00002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"/>
          <a:ext cx="26479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600075</xdr:colOff>
      <xdr:row>0</xdr:row>
      <xdr:rowOff>76200</xdr:rowOff>
    </xdr:from>
    <xdr:to>
      <xdr:col>9</xdr:col>
      <xdr:colOff>9525</xdr:colOff>
      <xdr:row>2</xdr:row>
      <xdr:rowOff>104775</xdr:rowOff>
    </xdr:to>
    <xdr:sp macro="" textlink="" fLocksText="0">
      <xdr:nvSpPr>
        <xdr:cNvPr id="4098" name="Text Box 14">
          <a:extLst>
            <a:ext uri="{FF2B5EF4-FFF2-40B4-BE49-F238E27FC236}">
              <a16:creationId xmlns:a16="http://schemas.microsoft.com/office/drawing/2014/main" xmlns="" id="{00000000-0008-0000-0300-000002100000}"/>
            </a:ext>
          </a:extLst>
        </xdr:cNvPr>
        <xdr:cNvSpPr txBox="1">
          <a:spLocks noChangeArrowheads="1"/>
        </xdr:cNvSpPr>
      </xdr:nvSpPr>
      <xdr:spPr bwMode="auto">
        <a:xfrm>
          <a:off x="4591050" y="76200"/>
          <a:ext cx="2743200" cy="3524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2</xdr:col>
      <xdr:colOff>28575</xdr:colOff>
      <xdr:row>2</xdr:row>
      <xdr:rowOff>114300</xdr:rowOff>
    </xdr:to>
    <xdr:pic>
      <xdr:nvPicPr>
        <xdr:cNvPr id="6183" name="Picture 47">
          <a:extLst>
            <a:ext uri="{FF2B5EF4-FFF2-40B4-BE49-F238E27FC236}">
              <a16:creationId xmlns:a16="http://schemas.microsoft.com/office/drawing/2014/main" xmlns="" id="{00000000-0008-0000-0500-00002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25"/>
          <a:ext cx="2628900" cy="3905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581025</xdr:colOff>
      <xdr:row>0</xdr:row>
      <xdr:rowOff>104775</xdr:rowOff>
    </xdr:from>
    <xdr:to>
      <xdr:col>8</xdr:col>
      <xdr:colOff>438150</xdr:colOff>
      <xdr:row>2</xdr:row>
      <xdr:rowOff>76200</xdr:rowOff>
    </xdr:to>
    <xdr:sp macro="" textlink="" fLocksText="0">
      <xdr:nvSpPr>
        <xdr:cNvPr id="6146" name="Text Box 14">
          <a:extLst>
            <a:ext uri="{FF2B5EF4-FFF2-40B4-BE49-F238E27FC236}">
              <a16:creationId xmlns:a16="http://schemas.microsoft.com/office/drawing/2014/main" xmlns="" id="{00000000-0008-0000-0500-000002180000}"/>
            </a:ext>
          </a:extLst>
        </xdr:cNvPr>
        <xdr:cNvSpPr txBox="1">
          <a:spLocks noChangeArrowheads="1"/>
        </xdr:cNvSpPr>
      </xdr:nvSpPr>
      <xdr:spPr bwMode="auto">
        <a:xfrm>
          <a:off x="4533900" y="104775"/>
          <a:ext cx="2524125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2</xdr:col>
      <xdr:colOff>38100</xdr:colOff>
      <xdr:row>2</xdr:row>
      <xdr:rowOff>85725</xdr:rowOff>
    </xdr:to>
    <xdr:pic>
      <xdr:nvPicPr>
        <xdr:cNvPr id="7207" name="Picture 47">
          <a:extLst>
            <a:ext uri="{FF2B5EF4-FFF2-40B4-BE49-F238E27FC236}">
              <a16:creationId xmlns:a16="http://schemas.microsoft.com/office/drawing/2014/main" xmlns="" id="{00000000-0008-0000-0600-000027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7625"/>
          <a:ext cx="2562225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5</xdr:col>
      <xdr:colOff>104775</xdr:colOff>
      <xdr:row>0</xdr:row>
      <xdr:rowOff>0</xdr:rowOff>
    </xdr:from>
    <xdr:to>
      <xdr:col>8</xdr:col>
      <xdr:colOff>619125</xdr:colOff>
      <xdr:row>2</xdr:row>
      <xdr:rowOff>76200</xdr:rowOff>
    </xdr:to>
    <xdr:sp macro="" textlink="" fLocksText="0">
      <xdr:nvSpPr>
        <xdr:cNvPr id="7170" name="Text Box 14">
          <a:extLst>
            <a:ext uri="{FF2B5EF4-FFF2-40B4-BE49-F238E27FC236}">
              <a16:creationId xmlns:a16="http://schemas.microsoft.com/office/drawing/2014/main" xmlns="" id="{00000000-0008-0000-0600-0000021C0000}"/>
            </a:ext>
          </a:extLst>
        </xdr:cNvPr>
        <xdr:cNvSpPr txBox="1">
          <a:spLocks noChangeArrowheads="1"/>
        </xdr:cNvSpPr>
      </xdr:nvSpPr>
      <xdr:spPr bwMode="auto">
        <a:xfrm>
          <a:off x="4676775" y="0"/>
          <a:ext cx="2514600" cy="4000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es-E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</a:t>
          </a: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0</xdr:col>
      <xdr:colOff>3467100</xdr:colOff>
      <xdr:row>2</xdr:row>
      <xdr:rowOff>76200</xdr:rowOff>
    </xdr:to>
    <xdr:pic>
      <xdr:nvPicPr>
        <xdr:cNvPr id="8231" name="Picture 47">
          <a:extLst>
            <a:ext uri="{FF2B5EF4-FFF2-40B4-BE49-F238E27FC236}">
              <a16:creationId xmlns:a16="http://schemas.microsoft.com/office/drawing/2014/main" xmlns="" id="{00000000-0008-0000-0700-00002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"/>
          <a:ext cx="346710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228600</xdr:colOff>
      <xdr:row>0</xdr:row>
      <xdr:rowOff>76200</xdr:rowOff>
    </xdr:from>
    <xdr:to>
      <xdr:col>8</xdr:col>
      <xdr:colOff>514350</xdr:colOff>
      <xdr:row>2</xdr:row>
      <xdr:rowOff>57150</xdr:rowOff>
    </xdr:to>
    <xdr:sp macro="" textlink="" fLocksText="0">
      <xdr:nvSpPr>
        <xdr:cNvPr id="8194" name="Text Box 14">
          <a:extLst>
            <a:ext uri="{FF2B5EF4-FFF2-40B4-BE49-F238E27FC236}">
              <a16:creationId xmlns:a16="http://schemas.microsoft.com/office/drawing/2014/main" xmlns="" id="{00000000-0008-0000-0700-000002200000}"/>
            </a:ext>
          </a:extLst>
        </xdr:cNvPr>
        <xdr:cNvSpPr txBox="1">
          <a:spLocks noChangeArrowheads="1"/>
        </xdr:cNvSpPr>
      </xdr:nvSpPr>
      <xdr:spPr bwMode="auto">
        <a:xfrm>
          <a:off x="5181600" y="76200"/>
          <a:ext cx="2838450" cy="304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</a:t>
          </a:r>
          <a:r>
            <a:rPr lang="es-ES" sz="7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2514600</xdr:colOff>
      <xdr:row>2</xdr:row>
      <xdr:rowOff>38100</xdr:rowOff>
    </xdr:to>
    <xdr:pic>
      <xdr:nvPicPr>
        <xdr:cNvPr id="9255" name="Picture 47">
          <a:extLst>
            <a:ext uri="{FF2B5EF4-FFF2-40B4-BE49-F238E27FC236}">
              <a16:creationId xmlns:a16="http://schemas.microsoft.com/office/drawing/2014/main" xmlns="" id="{00000000-0008-0000-0800-000027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460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0</xdr:colOff>
      <xdr:row>0</xdr:row>
      <xdr:rowOff>0</xdr:rowOff>
    </xdr:from>
    <xdr:to>
      <xdr:col>9</xdr:col>
      <xdr:colOff>76200</xdr:colOff>
      <xdr:row>1</xdr:row>
      <xdr:rowOff>133350</xdr:rowOff>
    </xdr:to>
    <xdr:sp macro="" textlink="" fLocksText="0">
      <xdr:nvSpPr>
        <xdr:cNvPr id="9218" name="Text Box 14">
          <a:extLst>
            <a:ext uri="{FF2B5EF4-FFF2-40B4-BE49-F238E27FC236}">
              <a16:creationId xmlns:a16="http://schemas.microsoft.com/office/drawing/2014/main" xmlns="" id="{00000000-0008-0000-0800-000002240000}"/>
            </a:ext>
          </a:extLst>
        </xdr:cNvPr>
        <xdr:cNvSpPr txBox="1">
          <a:spLocks noChangeArrowheads="1"/>
        </xdr:cNvSpPr>
      </xdr:nvSpPr>
      <xdr:spPr bwMode="auto">
        <a:xfrm>
          <a:off x="5791200" y="0"/>
          <a:ext cx="2076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7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7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1</xdr:col>
      <xdr:colOff>533400</xdr:colOff>
      <xdr:row>2</xdr:row>
      <xdr:rowOff>76200</xdr:rowOff>
    </xdr:to>
    <xdr:pic>
      <xdr:nvPicPr>
        <xdr:cNvPr id="10279" name="Picture 47">
          <a:extLst>
            <a:ext uri="{FF2B5EF4-FFF2-40B4-BE49-F238E27FC236}">
              <a16:creationId xmlns:a16="http://schemas.microsoft.com/office/drawing/2014/main" xmlns="" id="{00000000-0008-0000-0900-00002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"/>
          <a:ext cx="3514725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457200</xdr:colOff>
      <xdr:row>0</xdr:row>
      <xdr:rowOff>0</xdr:rowOff>
    </xdr:from>
    <xdr:to>
      <xdr:col>8</xdr:col>
      <xdr:colOff>647700</xdr:colOff>
      <xdr:row>2</xdr:row>
      <xdr:rowOff>85725</xdr:rowOff>
    </xdr:to>
    <xdr:sp macro="" textlink="" fLocksText="0">
      <xdr:nvSpPr>
        <xdr:cNvPr id="10242" name="Text Box 14">
          <a:extLst>
            <a:ext uri="{FF2B5EF4-FFF2-40B4-BE49-F238E27FC236}">
              <a16:creationId xmlns:a16="http://schemas.microsoft.com/office/drawing/2014/main" xmlns="" id="{00000000-0008-0000-0900-000002280000}"/>
            </a:ext>
          </a:extLst>
        </xdr:cNvPr>
        <xdr:cNvSpPr txBox="1">
          <a:spLocks noChangeArrowheads="1"/>
        </xdr:cNvSpPr>
      </xdr:nvSpPr>
      <xdr:spPr bwMode="auto">
        <a:xfrm>
          <a:off x="5095875" y="0"/>
          <a:ext cx="2809875" cy="409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</a:t>
          </a:r>
          <a:r>
            <a:rPr lang="es-ES" sz="7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3057525</xdr:colOff>
      <xdr:row>2</xdr:row>
      <xdr:rowOff>38100</xdr:rowOff>
    </xdr:to>
    <xdr:pic>
      <xdr:nvPicPr>
        <xdr:cNvPr id="11303" name="Picture 47">
          <a:extLst>
            <a:ext uri="{FF2B5EF4-FFF2-40B4-BE49-F238E27FC236}">
              <a16:creationId xmlns:a16="http://schemas.microsoft.com/office/drawing/2014/main" xmlns="" id="{00000000-0008-0000-0A00-00002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304800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485775</xdr:colOff>
      <xdr:row>0</xdr:row>
      <xdr:rowOff>0</xdr:rowOff>
    </xdr:from>
    <xdr:to>
      <xdr:col>7</xdr:col>
      <xdr:colOff>609600</xdr:colOff>
      <xdr:row>1</xdr:row>
      <xdr:rowOff>142875</xdr:rowOff>
    </xdr:to>
    <xdr:sp macro="" textlink="" fLocksText="0">
      <xdr:nvSpPr>
        <xdr:cNvPr id="11266" name="Text Box 14">
          <a:extLst>
            <a:ext uri="{FF2B5EF4-FFF2-40B4-BE49-F238E27FC236}">
              <a16:creationId xmlns:a16="http://schemas.microsoft.com/office/drawing/2014/main" xmlns="" id="{00000000-0008-0000-0A00-0000022C0000}"/>
            </a:ext>
          </a:extLst>
        </xdr:cNvPr>
        <xdr:cNvSpPr txBox="1">
          <a:spLocks noChangeArrowheads="1"/>
        </xdr:cNvSpPr>
      </xdr:nvSpPr>
      <xdr:spPr bwMode="auto">
        <a:xfrm>
          <a:off x="4810125" y="0"/>
          <a:ext cx="2571750" cy="3048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360" tIns="18000" rIns="27360" bIns="0" anchor="t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Dirección General de Salud de las Personas</a:t>
          </a:r>
        </a:p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Estrategia Sanitaria Nacional de Zoonosis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48"/>
  <sheetViews>
    <sheetView showGridLines="0" tabSelected="1" workbookViewId="0">
      <selection activeCell="D400" sqref="D400"/>
    </sheetView>
  </sheetViews>
  <sheetFormatPr baseColWidth="10" defaultRowHeight="15.95" customHeight="1" x14ac:dyDescent="0.2"/>
  <cols>
    <col min="1" max="1" width="11.5703125" style="323" customWidth="1"/>
    <col min="2" max="2" width="43" style="1" customWidth="1"/>
    <col min="3" max="10" width="8.7109375" style="1" customWidth="1"/>
    <col min="11" max="16384" width="11.42578125" style="1"/>
  </cols>
  <sheetData>
    <row r="1" spans="1:10" ht="10.5" customHeight="1" x14ac:dyDescent="0.2">
      <c r="B1" s="2" t="s">
        <v>0</v>
      </c>
    </row>
    <row r="2" spans="1:10" ht="10.5" customHeight="1" x14ac:dyDescent="0.2">
      <c r="B2" s="2" t="s">
        <v>1</v>
      </c>
    </row>
    <row r="3" spans="1:10" ht="10.5" customHeight="1" x14ac:dyDescent="0.2">
      <c r="B3" s="2" t="s">
        <v>2</v>
      </c>
    </row>
    <row r="4" spans="1:10" ht="10.5" customHeight="1" x14ac:dyDescent="0.2">
      <c r="B4" s="2" t="s">
        <v>3</v>
      </c>
    </row>
    <row r="5" spans="1:10" ht="10.5" customHeight="1" thickBot="1" x14ac:dyDescent="0.25"/>
    <row r="6" spans="1:10" ht="15.95" customHeight="1" x14ac:dyDescent="0.2">
      <c r="A6" s="1"/>
      <c r="B6" s="467" t="s">
        <v>158</v>
      </c>
      <c r="C6" s="468"/>
      <c r="D6" s="468"/>
      <c r="E6" s="468"/>
      <c r="F6" s="468"/>
      <c r="G6" s="468"/>
      <c r="H6" s="468"/>
      <c r="I6" s="468"/>
      <c r="J6" s="469"/>
    </row>
    <row r="7" spans="1:10" ht="15.95" customHeight="1" thickBot="1" x14ac:dyDescent="0.25">
      <c r="A7" s="1"/>
      <c r="B7" s="470"/>
      <c r="C7" s="471"/>
      <c r="D7" s="471"/>
      <c r="E7" s="471"/>
      <c r="F7" s="471"/>
      <c r="G7" s="471"/>
      <c r="H7" s="471"/>
      <c r="I7" s="471"/>
      <c r="J7" s="472"/>
    </row>
    <row r="8" spans="1:10" ht="15.95" customHeight="1" thickBot="1" x14ac:dyDescent="0.25">
      <c r="A8" s="1"/>
      <c r="B8" s="443">
        <v>1</v>
      </c>
      <c r="C8" s="334"/>
      <c r="D8" s="334"/>
      <c r="E8" s="385"/>
      <c r="F8" s="386"/>
      <c r="G8" s="335"/>
      <c r="H8" s="335"/>
      <c r="I8" s="335"/>
      <c r="J8" s="335"/>
    </row>
    <row r="9" spans="1:10" ht="15.95" customHeight="1" x14ac:dyDescent="0.2">
      <c r="A9" s="1"/>
      <c r="B9" s="431" t="s">
        <v>4</v>
      </c>
      <c r="C9" s="336" t="s">
        <v>23</v>
      </c>
      <c r="D9" s="337" t="s">
        <v>5</v>
      </c>
      <c r="E9" s="337" t="s">
        <v>108</v>
      </c>
      <c r="F9" s="337" t="s">
        <v>109</v>
      </c>
      <c r="G9" s="337" t="s">
        <v>110</v>
      </c>
      <c r="H9" s="337" t="s">
        <v>111</v>
      </c>
      <c r="I9" s="338" t="s">
        <v>112</v>
      </c>
      <c r="J9" s="376" t="s">
        <v>11</v>
      </c>
    </row>
    <row r="10" spans="1:10" ht="15.95" customHeight="1" x14ac:dyDescent="0.2">
      <c r="A10" s="1"/>
      <c r="B10" s="476" t="s">
        <v>306</v>
      </c>
      <c r="C10" s="387" t="s">
        <v>25</v>
      </c>
      <c r="D10" s="388">
        <f>SUM(E10:I10)</f>
        <v>0</v>
      </c>
      <c r="E10" s="388">
        <f t="shared" ref="E10:J10" si="0">SUM(E11:E12)</f>
        <v>0</v>
      </c>
      <c r="F10" s="388">
        <f t="shared" si="0"/>
        <v>0</v>
      </c>
      <c r="G10" s="388">
        <f t="shared" si="0"/>
        <v>0</v>
      </c>
      <c r="H10" s="388">
        <f t="shared" si="0"/>
        <v>0</v>
      </c>
      <c r="I10" s="389">
        <f t="shared" si="0"/>
        <v>0</v>
      </c>
      <c r="J10" s="390">
        <f t="shared" si="0"/>
        <v>0</v>
      </c>
    </row>
    <row r="11" spans="1:10" ht="15.95" customHeight="1" x14ac:dyDescent="0.2">
      <c r="A11" s="1"/>
      <c r="B11" s="477"/>
      <c r="C11" s="391" t="s">
        <v>26</v>
      </c>
      <c r="D11" s="388">
        <f>SUM(E11:I11)</f>
        <v>0</v>
      </c>
      <c r="E11" s="392">
        <v>0</v>
      </c>
      <c r="F11" s="392">
        <v>0</v>
      </c>
      <c r="G11" s="392">
        <v>0</v>
      </c>
      <c r="H11" s="392">
        <v>0</v>
      </c>
      <c r="I11" s="393">
        <v>0</v>
      </c>
      <c r="J11" s="394">
        <v>0</v>
      </c>
    </row>
    <row r="12" spans="1:10" ht="15.95" customHeight="1" thickBot="1" x14ac:dyDescent="0.25">
      <c r="A12" s="1"/>
      <c r="B12" s="478"/>
      <c r="C12" s="395" t="s">
        <v>27</v>
      </c>
      <c r="D12" s="396">
        <f>SUM(E12:I12)</f>
        <v>0</v>
      </c>
      <c r="E12" s="397">
        <v>0</v>
      </c>
      <c r="F12" s="397">
        <v>0</v>
      </c>
      <c r="G12" s="397">
        <v>0</v>
      </c>
      <c r="H12" s="397">
        <v>0</v>
      </c>
      <c r="I12" s="398">
        <v>0</v>
      </c>
      <c r="J12" s="399">
        <v>0</v>
      </c>
    </row>
    <row r="13" spans="1:10" ht="15.95" customHeight="1" thickBot="1" x14ac:dyDescent="0.25">
      <c r="A13" s="1"/>
      <c r="B13" s="443">
        <v>2</v>
      </c>
      <c r="C13" s="23"/>
      <c r="D13" s="23"/>
      <c r="E13" s="53"/>
      <c r="F13" s="53"/>
      <c r="G13" s="53"/>
      <c r="H13" s="53"/>
      <c r="I13" s="52"/>
      <c r="J13" s="52"/>
    </row>
    <row r="14" spans="1:10" ht="15.95" customHeight="1" x14ac:dyDescent="0.2">
      <c r="A14" s="1"/>
      <c r="B14" s="431" t="s">
        <v>307</v>
      </c>
      <c r="C14" s="336" t="s">
        <v>23</v>
      </c>
      <c r="D14" s="347" t="s">
        <v>5</v>
      </c>
      <c r="E14" s="337" t="s">
        <v>108</v>
      </c>
      <c r="F14" s="337" t="s">
        <v>109</v>
      </c>
      <c r="G14" s="337" t="s">
        <v>110</v>
      </c>
      <c r="H14" s="337" t="s">
        <v>111</v>
      </c>
      <c r="I14" s="338" t="s">
        <v>112</v>
      </c>
      <c r="J14" s="376" t="s">
        <v>11</v>
      </c>
    </row>
    <row r="15" spans="1:10" ht="15.95" customHeight="1" x14ac:dyDescent="0.2">
      <c r="A15" s="1"/>
      <c r="B15" s="400" t="s">
        <v>13</v>
      </c>
      <c r="C15" s="387" t="s">
        <v>25</v>
      </c>
      <c r="D15" s="388">
        <f>SUM(E15:I15)</f>
        <v>0</v>
      </c>
      <c r="E15" s="388">
        <f t="shared" ref="E15:J15" si="1">SUM(E16:E17)</f>
        <v>0</v>
      </c>
      <c r="F15" s="388">
        <f t="shared" si="1"/>
        <v>0</v>
      </c>
      <c r="G15" s="388">
        <f t="shared" si="1"/>
        <v>0</v>
      </c>
      <c r="H15" s="388">
        <f t="shared" si="1"/>
        <v>0</v>
      </c>
      <c r="I15" s="389">
        <f t="shared" si="1"/>
        <v>0</v>
      </c>
      <c r="J15" s="390">
        <f t="shared" si="1"/>
        <v>0</v>
      </c>
    </row>
    <row r="16" spans="1:10" ht="15.95" customHeight="1" x14ac:dyDescent="0.2">
      <c r="A16" s="1"/>
      <c r="B16" s="401"/>
      <c r="C16" s="402" t="s">
        <v>26</v>
      </c>
      <c r="D16" s="388">
        <f t="shared" ref="D16:D29" si="2">SUM(E16:I16)</f>
        <v>0</v>
      </c>
      <c r="E16" s="388">
        <f>E19+E22+E25+E28</f>
        <v>0</v>
      </c>
      <c r="F16" s="388">
        <f t="shared" ref="F16:I17" si="3">F19+F22+F25+F28</f>
        <v>0</v>
      </c>
      <c r="G16" s="388">
        <f t="shared" si="3"/>
        <v>0</v>
      </c>
      <c r="H16" s="388">
        <f t="shared" si="3"/>
        <v>0</v>
      </c>
      <c r="I16" s="388">
        <f t="shared" si="3"/>
        <v>0</v>
      </c>
      <c r="J16" s="403">
        <v>0</v>
      </c>
    </row>
    <row r="17" spans="1:12" ht="15.95" customHeight="1" x14ac:dyDescent="0.2">
      <c r="A17" s="1"/>
      <c r="B17" s="404"/>
      <c r="C17" s="405" t="s">
        <v>27</v>
      </c>
      <c r="D17" s="388">
        <f t="shared" si="2"/>
        <v>0</v>
      </c>
      <c r="E17" s="388">
        <f>E20+E23+E26+E29</f>
        <v>0</v>
      </c>
      <c r="F17" s="388">
        <f t="shared" si="3"/>
        <v>0</v>
      </c>
      <c r="G17" s="388">
        <f t="shared" si="3"/>
        <v>0</v>
      </c>
      <c r="H17" s="388">
        <f t="shared" si="3"/>
        <v>0</v>
      </c>
      <c r="I17" s="388">
        <f t="shared" si="3"/>
        <v>0</v>
      </c>
      <c r="J17" s="406">
        <f>J20+J23+J29</f>
        <v>0</v>
      </c>
      <c r="K17" s="5"/>
      <c r="L17" s="5"/>
    </row>
    <row r="18" spans="1:12" ht="15.95" customHeight="1" x14ac:dyDescent="0.2">
      <c r="A18" s="1"/>
      <c r="B18" s="377" t="s">
        <v>169</v>
      </c>
      <c r="C18" s="387" t="s">
        <v>25</v>
      </c>
      <c r="D18" s="388">
        <f>SUM(E18:I18)</f>
        <v>0</v>
      </c>
      <c r="E18" s="388">
        <f t="shared" ref="E18:I18" si="4">SUM(E19:E20)</f>
        <v>0</v>
      </c>
      <c r="F18" s="388">
        <f t="shared" si="4"/>
        <v>0</v>
      </c>
      <c r="G18" s="388">
        <f t="shared" si="4"/>
        <v>0</v>
      </c>
      <c r="H18" s="388">
        <f t="shared" si="4"/>
        <v>0</v>
      </c>
      <c r="I18" s="388">
        <f t="shared" si="4"/>
        <v>0</v>
      </c>
      <c r="J18" s="406"/>
      <c r="K18" s="5"/>
      <c r="L18" s="5"/>
    </row>
    <row r="19" spans="1:12" ht="15.95" customHeight="1" x14ac:dyDescent="0.2">
      <c r="A19" s="1"/>
      <c r="B19" s="407"/>
      <c r="C19" s="391" t="s">
        <v>26</v>
      </c>
      <c r="D19" s="388">
        <f t="shared" si="2"/>
        <v>0</v>
      </c>
      <c r="E19" s="392">
        <v>0</v>
      </c>
      <c r="F19" s="392">
        <v>0</v>
      </c>
      <c r="G19" s="392">
        <v>0</v>
      </c>
      <c r="H19" s="392">
        <v>0</v>
      </c>
      <c r="I19" s="393">
        <v>0</v>
      </c>
      <c r="J19" s="394">
        <v>0</v>
      </c>
      <c r="K19" s="46"/>
      <c r="L19" s="408"/>
    </row>
    <row r="20" spans="1:12" ht="15.95" customHeight="1" x14ac:dyDescent="0.2">
      <c r="A20" s="1"/>
      <c r="B20" s="409"/>
      <c r="C20" s="391" t="s">
        <v>27</v>
      </c>
      <c r="D20" s="388">
        <f t="shared" si="2"/>
        <v>0</v>
      </c>
      <c r="E20" s="392">
        <v>0</v>
      </c>
      <c r="F20" s="392">
        <v>0</v>
      </c>
      <c r="G20" s="392">
        <v>0</v>
      </c>
      <c r="H20" s="392">
        <v>0</v>
      </c>
      <c r="I20" s="393">
        <v>0</v>
      </c>
      <c r="J20" s="410">
        <v>0</v>
      </c>
      <c r="K20" s="46"/>
      <c r="L20" s="408"/>
    </row>
    <row r="21" spans="1:12" ht="15.95" customHeight="1" x14ac:dyDescent="0.2">
      <c r="A21" s="1"/>
      <c r="B21" s="377" t="s">
        <v>170</v>
      </c>
      <c r="C21" s="387" t="s">
        <v>25</v>
      </c>
      <c r="D21" s="388">
        <f>SUM(E21:I21)</f>
        <v>0</v>
      </c>
      <c r="E21" s="388">
        <f t="shared" ref="E21:J21" si="5">SUM(E22:E23)</f>
        <v>0</v>
      </c>
      <c r="F21" s="388">
        <f t="shared" si="5"/>
        <v>0</v>
      </c>
      <c r="G21" s="388">
        <f t="shared" si="5"/>
        <v>0</v>
      </c>
      <c r="H21" s="388">
        <f t="shared" si="5"/>
        <v>0</v>
      </c>
      <c r="I21" s="388">
        <f t="shared" si="5"/>
        <v>0</v>
      </c>
      <c r="J21" s="406">
        <f t="shared" si="5"/>
        <v>0</v>
      </c>
      <c r="K21" s="46"/>
      <c r="L21" s="46"/>
    </row>
    <row r="22" spans="1:12" ht="15.95" customHeight="1" x14ac:dyDescent="0.2">
      <c r="A22" s="1"/>
      <c r="B22" s="378"/>
      <c r="C22" s="391" t="s">
        <v>26</v>
      </c>
      <c r="D22" s="388">
        <f t="shared" si="2"/>
        <v>0</v>
      </c>
      <c r="E22" s="392">
        <v>0</v>
      </c>
      <c r="F22" s="392">
        <v>0</v>
      </c>
      <c r="G22" s="392">
        <v>0</v>
      </c>
      <c r="H22" s="392">
        <v>0</v>
      </c>
      <c r="I22" s="393">
        <v>0</v>
      </c>
      <c r="J22" s="394">
        <v>0</v>
      </c>
      <c r="K22" s="46"/>
      <c r="L22" s="46"/>
    </row>
    <row r="23" spans="1:12" ht="15.95" customHeight="1" x14ac:dyDescent="0.2">
      <c r="A23" s="1"/>
      <c r="B23" s="420"/>
      <c r="C23" s="391" t="s">
        <v>27</v>
      </c>
      <c r="D23" s="388">
        <f t="shared" si="2"/>
        <v>0</v>
      </c>
      <c r="E23" s="392">
        <v>0</v>
      </c>
      <c r="F23" s="392">
        <v>0</v>
      </c>
      <c r="G23" s="392">
        <v>0</v>
      </c>
      <c r="H23" s="392">
        <v>0</v>
      </c>
      <c r="I23" s="393">
        <v>0</v>
      </c>
      <c r="J23" s="410">
        <v>0</v>
      </c>
      <c r="K23" s="46"/>
      <c r="L23" s="46"/>
    </row>
    <row r="24" spans="1:12" ht="15.95" customHeight="1" x14ac:dyDescent="0.2">
      <c r="A24" s="1"/>
      <c r="B24" s="377" t="s">
        <v>308</v>
      </c>
      <c r="C24" s="387" t="s">
        <v>25</v>
      </c>
      <c r="D24" s="388">
        <f>SUM(E24:I24)</f>
        <v>0</v>
      </c>
      <c r="E24" s="388">
        <f t="shared" ref="E24:J24" si="6">SUM(E25:E26)</f>
        <v>0</v>
      </c>
      <c r="F24" s="388">
        <f t="shared" si="6"/>
        <v>0</v>
      </c>
      <c r="G24" s="388">
        <f t="shared" si="6"/>
        <v>0</v>
      </c>
      <c r="H24" s="388">
        <f t="shared" si="6"/>
        <v>0</v>
      </c>
      <c r="I24" s="388">
        <f t="shared" si="6"/>
        <v>0</v>
      </c>
      <c r="J24" s="406">
        <f t="shared" si="6"/>
        <v>0</v>
      </c>
      <c r="K24" s="46"/>
      <c r="L24" s="46"/>
    </row>
    <row r="25" spans="1:12" ht="15.95" customHeight="1" x14ac:dyDescent="0.2">
      <c r="A25" s="1"/>
      <c r="B25" s="378"/>
      <c r="C25" s="391" t="s">
        <v>26</v>
      </c>
      <c r="D25" s="388">
        <f>SUM(E25:I25)</f>
        <v>0</v>
      </c>
      <c r="E25" s="392">
        <v>0</v>
      </c>
      <c r="F25" s="392">
        <v>0</v>
      </c>
      <c r="G25" s="392">
        <v>0</v>
      </c>
      <c r="H25" s="392">
        <v>0</v>
      </c>
      <c r="I25" s="393">
        <v>0</v>
      </c>
      <c r="J25" s="394">
        <v>0</v>
      </c>
      <c r="K25" s="46"/>
      <c r="L25" s="46"/>
    </row>
    <row r="26" spans="1:12" ht="15.95" customHeight="1" x14ac:dyDescent="0.2">
      <c r="A26" s="1"/>
      <c r="B26" s="420"/>
      <c r="C26" s="391" t="s">
        <v>27</v>
      </c>
      <c r="D26" s="388">
        <f>SUM(E26:I26)</f>
        <v>0</v>
      </c>
      <c r="E26" s="392">
        <v>0</v>
      </c>
      <c r="F26" s="392">
        <v>0</v>
      </c>
      <c r="G26" s="392">
        <v>0</v>
      </c>
      <c r="H26" s="392">
        <v>0</v>
      </c>
      <c r="I26" s="411">
        <v>0</v>
      </c>
      <c r="J26" s="412">
        <v>0</v>
      </c>
      <c r="K26" s="46"/>
      <c r="L26" s="46"/>
    </row>
    <row r="27" spans="1:12" ht="15.95" customHeight="1" x14ac:dyDescent="0.2">
      <c r="A27" s="1"/>
      <c r="B27" s="377" t="s">
        <v>309</v>
      </c>
      <c r="C27" s="387" t="s">
        <v>25</v>
      </c>
      <c r="D27" s="388">
        <f>SUM(E27:I27)</f>
        <v>0</v>
      </c>
      <c r="E27" s="388">
        <f t="shared" ref="E27:J27" si="7">SUM(E28:E29)</f>
        <v>0</v>
      </c>
      <c r="F27" s="388">
        <f t="shared" si="7"/>
        <v>0</v>
      </c>
      <c r="G27" s="388">
        <f t="shared" si="7"/>
        <v>0</v>
      </c>
      <c r="H27" s="388">
        <f t="shared" si="7"/>
        <v>0</v>
      </c>
      <c r="I27" s="388">
        <f t="shared" si="7"/>
        <v>0</v>
      </c>
      <c r="J27" s="406">
        <f t="shared" si="7"/>
        <v>0</v>
      </c>
      <c r="K27" s="46"/>
      <c r="L27" s="46"/>
    </row>
    <row r="28" spans="1:12" ht="15.95" customHeight="1" x14ac:dyDescent="0.2">
      <c r="A28" s="1"/>
      <c r="B28" s="378"/>
      <c r="C28" s="391" t="s">
        <v>26</v>
      </c>
      <c r="D28" s="388">
        <f t="shared" si="2"/>
        <v>0</v>
      </c>
      <c r="E28" s="392">
        <v>0</v>
      </c>
      <c r="F28" s="392">
        <v>0</v>
      </c>
      <c r="G28" s="392">
        <v>0</v>
      </c>
      <c r="H28" s="392">
        <v>0</v>
      </c>
      <c r="I28" s="393">
        <v>0</v>
      </c>
      <c r="J28" s="394">
        <v>0</v>
      </c>
      <c r="K28" s="46"/>
      <c r="L28" s="46"/>
    </row>
    <row r="29" spans="1:12" ht="15.95" customHeight="1" thickBot="1" x14ac:dyDescent="0.25">
      <c r="A29" s="1"/>
      <c r="B29" s="379"/>
      <c r="C29" s="395" t="s">
        <v>27</v>
      </c>
      <c r="D29" s="396">
        <f t="shared" si="2"/>
        <v>0</v>
      </c>
      <c r="E29" s="397">
        <v>0</v>
      </c>
      <c r="F29" s="397">
        <v>0</v>
      </c>
      <c r="G29" s="397">
        <v>0</v>
      </c>
      <c r="H29" s="397">
        <v>0</v>
      </c>
      <c r="I29" s="413">
        <v>0</v>
      </c>
      <c r="J29" s="414">
        <v>0</v>
      </c>
      <c r="K29" s="46"/>
      <c r="L29" s="46"/>
    </row>
    <row r="30" spans="1:12" ht="15.95" customHeight="1" thickBot="1" x14ac:dyDescent="0.25">
      <c r="A30" s="1"/>
      <c r="B30" s="443">
        <v>3</v>
      </c>
      <c r="C30" s="22"/>
      <c r="D30" s="35"/>
      <c r="E30" s="415"/>
      <c r="F30" s="415"/>
      <c r="G30" s="415"/>
      <c r="H30" s="415"/>
      <c r="I30" s="415"/>
      <c r="J30" s="415"/>
      <c r="K30" s="46"/>
      <c r="L30" s="46"/>
    </row>
    <row r="31" spans="1:12" ht="15.95" customHeight="1" x14ac:dyDescent="0.2">
      <c r="A31" s="1"/>
      <c r="B31" s="431" t="s">
        <v>171</v>
      </c>
      <c r="C31" s="336" t="s">
        <v>23</v>
      </c>
      <c r="D31" s="337" t="s">
        <v>5</v>
      </c>
      <c r="E31" s="337" t="s">
        <v>108</v>
      </c>
      <c r="F31" s="337" t="s">
        <v>109</v>
      </c>
      <c r="G31" s="337" t="s">
        <v>110</v>
      </c>
      <c r="H31" s="337" t="s">
        <v>111</v>
      </c>
      <c r="I31" s="338" t="s">
        <v>112</v>
      </c>
      <c r="J31" s="376" t="s">
        <v>11</v>
      </c>
      <c r="K31" s="46"/>
      <c r="L31" s="46"/>
    </row>
    <row r="32" spans="1:12" ht="15.95" customHeight="1" x14ac:dyDescent="0.2">
      <c r="A32" s="1"/>
      <c r="B32" s="377" t="s">
        <v>172</v>
      </c>
      <c r="C32" s="387" t="s">
        <v>25</v>
      </c>
      <c r="D32" s="388">
        <f>SUM(E32:I32)</f>
        <v>0</v>
      </c>
      <c r="E32" s="388">
        <f t="shared" ref="E32:J32" si="8">SUM(E33:E34)</f>
        <v>0</v>
      </c>
      <c r="F32" s="388">
        <f t="shared" si="8"/>
        <v>0</v>
      </c>
      <c r="G32" s="388">
        <f t="shared" si="8"/>
        <v>0</v>
      </c>
      <c r="H32" s="388">
        <f t="shared" si="8"/>
        <v>0</v>
      </c>
      <c r="I32" s="388">
        <f t="shared" si="8"/>
        <v>0</v>
      </c>
      <c r="J32" s="406">
        <f t="shared" si="8"/>
        <v>0</v>
      </c>
      <c r="K32" s="46"/>
      <c r="L32" s="46"/>
    </row>
    <row r="33" spans="1:12" ht="15.95" customHeight="1" x14ac:dyDescent="0.2">
      <c r="A33" s="1"/>
      <c r="B33" s="378"/>
      <c r="C33" s="391" t="s">
        <v>26</v>
      </c>
      <c r="D33" s="388">
        <f t="shared" ref="D33:D37" si="9">SUM(E33:I33)</f>
        <v>0</v>
      </c>
      <c r="E33" s="392">
        <v>0</v>
      </c>
      <c r="F33" s="392">
        <v>0</v>
      </c>
      <c r="G33" s="392">
        <v>0</v>
      </c>
      <c r="H33" s="392">
        <v>0</v>
      </c>
      <c r="I33" s="411">
        <v>0</v>
      </c>
      <c r="J33" s="394">
        <v>0</v>
      </c>
      <c r="K33" s="46"/>
      <c r="L33" s="46"/>
    </row>
    <row r="34" spans="1:12" ht="15.95" customHeight="1" x14ac:dyDescent="0.2">
      <c r="A34" s="1"/>
      <c r="B34" s="420"/>
      <c r="C34" s="391" t="s">
        <v>27</v>
      </c>
      <c r="D34" s="388">
        <f t="shared" si="9"/>
        <v>0</v>
      </c>
      <c r="E34" s="392">
        <v>0</v>
      </c>
      <c r="F34" s="392">
        <v>0</v>
      </c>
      <c r="G34" s="392">
        <v>0</v>
      </c>
      <c r="H34" s="392">
        <v>0</v>
      </c>
      <c r="I34" s="411">
        <v>0</v>
      </c>
      <c r="J34" s="412">
        <v>0</v>
      </c>
      <c r="K34" s="46"/>
      <c r="L34" s="46"/>
    </row>
    <row r="35" spans="1:12" ht="15.95" customHeight="1" x14ac:dyDescent="0.2">
      <c r="A35" s="1"/>
      <c r="B35" s="377" t="s">
        <v>310</v>
      </c>
      <c r="C35" s="387" t="s">
        <v>25</v>
      </c>
      <c r="D35" s="388">
        <f>SUM(E35:I35)</f>
        <v>0</v>
      </c>
      <c r="E35" s="388">
        <f t="shared" ref="E35:J35" si="10">SUM(E36:E37)</f>
        <v>0</v>
      </c>
      <c r="F35" s="388">
        <f t="shared" si="10"/>
        <v>0</v>
      </c>
      <c r="G35" s="388">
        <f t="shared" si="10"/>
        <v>0</v>
      </c>
      <c r="H35" s="388">
        <f t="shared" si="10"/>
        <v>0</v>
      </c>
      <c r="I35" s="388">
        <f t="shared" si="10"/>
        <v>0</v>
      </c>
      <c r="J35" s="406">
        <f t="shared" si="10"/>
        <v>0</v>
      </c>
      <c r="K35" s="46"/>
      <c r="L35" s="46"/>
    </row>
    <row r="36" spans="1:12" ht="15.95" customHeight="1" x14ac:dyDescent="0.2">
      <c r="A36" s="1"/>
      <c r="B36" s="378"/>
      <c r="C36" s="391" t="s">
        <v>26</v>
      </c>
      <c r="D36" s="388">
        <f t="shared" si="9"/>
        <v>0</v>
      </c>
      <c r="E36" s="392">
        <v>0</v>
      </c>
      <c r="F36" s="392">
        <v>0</v>
      </c>
      <c r="G36" s="392">
        <v>0</v>
      </c>
      <c r="H36" s="392">
        <v>0</v>
      </c>
      <c r="I36" s="411">
        <v>0</v>
      </c>
      <c r="J36" s="394">
        <v>0</v>
      </c>
      <c r="K36" s="46"/>
      <c r="L36" s="46"/>
    </row>
    <row r="37" spans="1:12" ht="15.95" customHeight="1" thickBot="1" x14ac:dyDescent="0.25">
      <c r="A37" s="1"/>
      <c r="B37" s="379"/>
      <c r="C37" s="395" t="s">
        <v>27</v>
      </c>
      <c r="D37" s="396">
        <f t="shared" si="9"/>
        <v>0</v>
      </c>
      <c r="E37" s="397">
        <v>0</v>
      </c>
      <c r="F37" s="397">
        <v>0</v>
      </c>
      <c r="G37" s="397">
        <v>0</v>
      </c>
      <c r="H37" s="397">
        <v>0</v>
      </c>
      <c r="I37" s="413">
        <v>0</v>
      </c>
      <c r="J37" s="414">
        <v>0</v>
      </c>
      <c r="K37" s="46"/>
      <c r="L37" s="46"/>
    </row>
    <row r="38" spans="1:12" ht="15.95" customHeight="1" thickBot="1" x14ac:dyDescent="0.25">
      <c r="A38" s="1"/>
      <c r="B38" s="443">
        <v>4</v>
      </c>
      <c r="C38" s="22"/>
      <c r="D38" s="35"/>
      <c r="E38" s="415"/>
      <c r="F38" s="415"/>
      <c r="G38" s="415"/>
      <c r="H38" s="415"/>
      <c r="I38" s="415"/>
      <c r="J38" s="415"/>
      <c r="K38" s="46"/>
      <c r="L38" s="46"/>
    </row>
    <row r="39" spans="1:12" ht="15.95" customHeight="1" x14ac:dyDescent="0.2">
      <c r="A39" s="1"/>
      <c r="B39" s="431" t="s">
        <v>173</v>
      </c>
      <c r="C39" s="336" t="s">
        <v>23</v>
      </c>
      <c r="D39" s="337" t="s">
        <v>5</v>
      </c>
      <c r="E39" s="337" t="s">
        <v>108</v>
      </c>
      <c r="F39" s="337" t="s">
        <v>109</v>
      </c>
      <c r="G39" s="337" t="s">
        <v>110</v>
      </c>
      <c r="H39" s="337" t="s">
        <v>111</v>
      </c>
      <c r="I39" s="338" t="s">
        <v>112</v>
      </c>
      <c r="J39" s="376" t="s">
        <v>11</v>
      </c>
      <c r="K39" s="46"/>
      <c r="L39" s="46"/>
    </row>
    <row r="40" spans="1:12" ht="15.95" customHeight="1" x14ac:dyDescent="0.2">
      <c r="A40" s="1"/>
      <c r="B40" s="352" t="s">
        <v>174</v>
      </c>
      <c r="C40" s="387" t="s">
        <v>25</v>
      </c>
      <c r="D40" s="388">
        <f>SUM(E40:I40)</f>
        <v>0</v>
      </c>
      <c r="E40" s="388">
        <f t="shared" ref="E40:J40" si="11">SUM(E41:E42)</f>
        <v>0</v>
      </c>
      <c r="F40" s="388">
        <f t="shared" si="11"/>
        <v>0</v>
      </c>
      <c r="G40" s="388">
        <f t="shared" si="11"/>
        <v>0</v>
      </c>
      <c r="H40" s="388">
        <f t="shared" si="11"/>
        <v>0</v>
      </c>
      <c r="I40" s="388">
        <f t="shared" si="11"/>
        <v>0</v>
      </c>
      <c r="J40" s="406">
        <f t="shared" si="11"/>
        <v>0</v>
      </c>
      <c r="K40" s="358"/>
      <c r="L40" s="358"/>
    </row>
    <row r="41" spans="1:12" ht="15.95" customHeight="1" x14ac:dyDescent="0.2">
      <c r="A41" s="1"/>
      <c r="B41" s="353"/>
      <c r="C41" s="391" t="s">
        <v>26</v>
      </c>
      <c r="D41" s="388">
        <f>SUM(E41:I41)</f>
        <v>0</v>
      </c>
      <c r="E41" s="392">
        <v>0</v>
      </c>
      <c r="F41" s="392">
        <v>0</v>
      </c>
      <c r="G41" s="392">
        <v>0</v>
      </c>
      <c r="H41" s="392">
        <v>0</v>
      </c>
      <c r="I41" s="411">
        <v>0</v>
      </c>
      <c r="J41" s="394">
        <v>0</v>
      </c>
      <c r="K41" s="46"/>
      <c r="L41" s="46"/>
    </row>
    <row r="42" spans="1:12" ht="15.95" customHeight="1" thickBot="1" x14ac:dyDescent="0.25">
      <c r="A42" s="1"/>
      <c r="B42" s="354"/>
      <c r="C42" s="395" t="s">
        <v>27</v>
      </c>
      <c r="D42" s="396">
        <f>SUM(E42:I42)</f>
        <v>0</v>
      </c>
      <c r="E42" s="397">
        <v>0</v>
      </c>
      <c r="F42" s="397">
        <v>0</v>
      </c>
      <c r="G42" s="397">
        <v>0</v>
      </c>
      <c r="H42" s="397">
        <v>0</v>
      </c>
      <c r="I42" s="413">
        <v>0</v>
      </c>
      <c r="J42" s="414">
        <v>0</v>
      </c>
      <c r="K42" s="46"/>
      <c r="L42" s="46"/>
    </row>
    <row r="43" spans="1:12" ht="15.95" customHeight="1" thickBot="1" x14ac:dyDescent="0.25">
      <c r="A43" s="1"/>
      <c r="B43" s="443">
        <v>5</v>
      </c>
      <c r="C43" s="82"/>
      <c r="D43" s="35"/>
      <c r="E43" s="415"/>
      <c r="F43" s="415"/>
      <c r="G43" s="415"/>
      <c r="H43" s="415"/>
      <c r="I43" s="415"/>
      <c r="J43" s="415"/>
      <c r="K43" s="46"/>
      <c r="L43" s="46"/>
    </row>
    <row r="44" spans="1:12" ht="15.95" customHeight="1" x14ac:dyDescent="0.2">
      <c r="A44" s="1"/>
      <c r="B44" s="463" t="s">
        <v>311</v>
      </c>
      <c r="C44" s="464"/>
      <c r="D44" s="464"/>
      <c r="E44" s="464"/>
      <c r="F44" s="464"/>
      <c r="G44" s="464"/>
      <c r="H44" s="464"/>
      <c r="I44" s="464"/>
      <c r="J44" s="465"/>
      <c r="K44" s="46"/>
      <c r="L44" s="46"/>
    </row>
    <row r="45" spans="1:12" ht="15.95" customHeight="1" x14ac:dyDescent="0.15">
      <c r="A45" s="1"/>
      <c r="B45" s="355" t="s">
        <v>117</v>
      </c>
      <c r="C45" s="453" t="s">
        <v>23</v>
      </c>
      <c r="D45" s="453" t="s">
        <v>5</v>
      </c>
      <c r="E45" s="453" t="s">
        <v>108</v>
      </c>
      <c r="F45" s="453" t="s">
        <v>109</v>
      </c>
      <c r="G45" s="453" t="s">
        <v>110</v>
      </c>
      <c r="H45" s="453" t="s">
        <v>111</v>
      </c>
      <c r="I45" s="357" t="s">
        <v>112</v>
      </c>
      <c r="J45" s="366" t="s">
        <v>11</v>
      </c>
      <c r="K45" s="80"/>
      <c r="L45" s="80"/>
    </row>
    <row r="46" spans="1:12" ht="15.95" customHeight="1" x14ac:dyDescent="0.15">
      <c r="A46" s="1"/>
      <c r="B46" s="349" t="s">
        <v>329</v>
      </c>
      <c r="C46" s="455" t="s">
        <v>25</v>
      </c>
      <c r="D46" s="456">
        <f>SUM(E46:J46)</f>
        <v>0</v>
      </c>
      <c r="E46" s="339">
        <f>SUM(E47:E48)</f>
        <v>0</v>
      </c>
      <c r="F46" s="339">
        <f>SUM(F47:F48)</f>
        <v>0</v>
      </c>
      <c r="G46" s="339">
        <f>SUM(G47:G48)</f>
        <v>0</v>
      </c>
      <c r="H46" s="339">
        <f>SUM(H47:H48)</f>
        <v>0</v>
      </c>
      <c r="I46" s="339">
        <f>SUM(I47:I48)</f>
        <v>0</v>
      </c>
      <c r="J46" s="348">
        <f>J48</f>
        <v>0</v>
      </c>
      <c r="K46" s="358"/>
      <c r="L46" s="358"/>
    </row>
    <row r="47" spans="1:12" ht="15.95" customHeight="1" x14ac:dyDescent="0.15">
      <c r="A47" s="1"/>
      <c r="B47" s="350"/>
      <c r="C47" s="457" t="s">
        <v>26</v>
      </c>
      <c r="D47" s="339">
        <f>SUM(E47:I47)</f>
        <v>0</v>
      </c>
      <c r="E47" s="340">
        <v>0</v>
      </c>
      <c r="F47" s="340">
        <v>0</v>
      </c>
      <c r="G47" s="340">
        <v>0</v>
      </c>
      <c r="H47" s="340">
        <v>0</v>
      </c>
      <c r="I47" s="341">
        <v>0</v>
      </c>
      <c r="J47" s="342">
        <v>0</v>
      </c>
      <c r="K47" s="80"/>
      <c r="L47" s="80"/>
    </row>
    <row r="48" spans="1:12" ht="15.95" customHeight="1" x14ac:dyDescent="0.15">
      <c r="A48" s="1"/>
      <c r="B48" s="351"/>
      <c r="C48" s="457" t="s">
        <v>27</v>
      </c>
      <c r="D48" s="339">
        <f>SUM(E48:J48)</f>
        <v>0</v>
      </c>
      <c r="E48" s="340">
        <v>0</v>
      </c>
      <c r="F48" s="340">
        <v>0</v>
      </c>
      <c r="G48" s="340">
        <v>0</v>
      </c>
      <c r="H48" s="340">
        <v>0</v>
      </c>
      <c r="I48" s="341">
        <v>0</v>
      </c>
      <c r="J48" s="458">
        <v>0</v>
      </c>
      <c r="K48" s="80"/>
      <c r="L48" s="80"/>
    </row>
    <row r="49" spans="1:12" ht="15.95" customHeight="1" x14ac:dyDescent="0.15">
      <c r="A49" s="1"/>
      <c r="B49" s="349" t="s">
        <v>330</v>
      </c>
      <c r="C49" s="455" t="s">
        <v>25</v>
      </c>
      <c r="D49" s="456">
        <f>SUM(E49:J49)</f>
        <v>0</v>
      </c>
      <c r="E49" s="339">
        <f>SUM(E50:E51)</f>
        <v>0</v>
      </c>
      <c r="F49" s="339">
        <f>SUM(F50:F51)</f>
        <v>0</v>
      </c>
      <c r="G49" s="339">
        <f>SUM(G50:G51)</f>
        <v>0</v>
      </c>
      <c r="H49" s="339">
        <f>SUM(H50:H51)</f>
        <v>0</v>
      </c>
      <c r="I49" s="339">
        <f>SUM(I50:I51)</f>
        <v>0</v>
      </c>
      <c r="J49" s="348">
        <f>J51</f>
        <v>0</v>
      </c>
      <c r="K49" s="358"/>
      <c r="L49" s="358"/>
    </row>
    <row r="50" spans="1:12" ht="15.95" customHeight="1" x14ac:dyDescent="0.15">
      <c r="A50" s="1"/>
      <c r="B50" s="350"/>
      <c r="C50" s="457" t="s">
        <v>26</v>
      </c>
      <c r="D50" s="339">
        <f>SUM(E50:I50)</f>
        <v>0</v>
      </c>
      <c r="E50" s="340">
        <v>0</v>
      </c>
      <c r="F50" s="340">
        <v>0</v>
      </c>
      <c r="G50" s="340">
        <v>0</v>
      </c>
      <c r="H50" s="340">
        <v>0</v>
      </c>
      <c r="I50" s="341">
        <v>0</v>
      </c>
      <c r="J50" s="342">
        <v>0</v>
      </c>
      <c r="K50" s="80"/>
      <c r="L50" s="80"/>
    </row>
    <row r="51" spans="1:12" ht="15.95" customHeight="1" x14ac:dyDescent="0.15">
      <c r="A51" s="1"/>
      <c r="B51" s="351"/>
      <c r="C51" s="457" t="s">
        <v>27</v>
      </c>
      <c r="D51" s="339">
        <f>SUM(E51:J51)</f>
        <v>0</v>
      </c>
      <c r="E51" s="340">
        <v>0</v>
      </c>
      <c r="F51" s="340">
        <v>0</v>
      </c>
      <c r="G51" s="340">
        <v>0</v>
      </c>
      <c r="H51" s="340">
        <v>0</v>
      </c>
      <c r="I51" s="341">
        <v>0</v>
      </c>
      <c r="J51" s="458">
        <v>0</v>
      </c>
      <c r="K51" s="80"/>
      <c r="L51" s="80"/>
    </row>
    <row r="52" spans="1:12" ht="15.95" customHeight="1" x14ac:dyDescent="0.15">
      <c r="A52" s="1"/>
      <c r="B52" s="349" t="s">
        <v>331</v>
      </c>
      <c r="C52" s="455" t="s">
        <v>25</v>
      </c>
      <c r="D52" s="456">
        <f>SUM(E52:J52)</f>
        <v>0</v>
      </c>
      <c r="E52" s="339">
        <f>SUM(E53:E54)</f>
        <v>0</v>
      </c>
      <c r="F52" s="339">
        <f>SUM(F53:F54)</f>
        <v>0</v>
      </c>
      <c r="G52" s="339">
        <f>SUM(G53:G54)</f>
        <v>0</v>
      </c>
      <c r="H52" s="339">
        <f>SUM(H53:H54)</f>
        <v>0</v>
      </c>
      <c r="I52" s="339">
        <f>SUM(I53:I54)</f>
        <v>0</v>
      </c>
      <c r="J52" s="348">
        <f>J54</f>
        <v>0</v>
      </c>
      <c r="K52" s="358"/>
      <c r="L52" s="358"/>
    </row>
    <row r="53" spans="1:12" ht="15.95" customHeight="1" x14ac:dyDescent="0.15">
      <c r="A53" s="1"/>
      <c r="B53" s="350"/>
      <c r="C53" s="457" t="s">
        <v>26</v>
      </c>
      <c r="D53" s="339">
        <f>SUM(E53:I53)</f>
        <v>0</v>
      </c>
      <c r="E53" s="340">
        <v>0</v>
      </c>
      <c r="F53" s="340">
        <v>0</v>
      </c>
      <c r="G53" s="340">
        <v>0</v>
      </c>
      <c r="H53" s="340">
        <v>0</v>
      </c>
      <c r="I53" s="341">
        <v>0</v>
      </c>
      <c r="J53" s="342">
        <v>0</v>
      </c>
      <c r="K53" s="54"/>
      <c r="L53" s="54"/>
    </row>
    <row r="54" spans="1:12" ht="15.95" customHeight="1" x14ac:dyDescent="0.15">
      <c r="A54" s="1"/>
      <c r="B54" s="351"/>
      <c r="C54" s="457" t="s">
        <v>27</v>
      </c>
      <c r="D54" s="339">
        <f>SUM(E54:J54)</f>
        <v>0</v>
      </c>
      <c r="E54" s="340">
        <v>0</v>
      </c>
      <c r="F54" s="340">
        <v>0</v>
      </c>
      <c r="G54" s="340">
        <v>0</v>
      </c>
      <c r="H54" s="340">
        <v>0</v>
      </c>
      <c r="I54" s="341">
        <v>0</v>
      </c>
      <c r="J54" s="458">
        <v>0</v>
      </c>
      <c r="K54" s="54"/>
      <c r="L54" s="54"/>
    </row>
    <row r="55" spans="1:12" ht="15.95" customHeight="1" x14ac:dyDescent="0.15">
      <c r="A55" s="1"/>
      <c r="B55" s="494" t="s">
        <v>312</v>
      </c>
      <c r="C55" s="455" t="s">
        <v>25</v>
      </c>
      <c r="D55" s="456">
        <f>SUM(E55:J55)</f>
        <v>0</v>
      </c>
      <c r="E55" s="339">
        <f>SUM(E56:E57)</f>
        <v>0</v>
      </c>
      <c r="F55" s="339">
        <f>SUM(F56:F57)</f>
        <v>0</v>
      </c>
      <c r="G55" s="339">
        <f>SUM(G56:G57)</f>
        <v>0</v>
      </c>
      <c r="H55" s="339">
        <f>SUM(H56:H57)</f>
        <v>0</v>
      </c>
      <c r="I55" s="339">
        <f>SUM(I56:I57)</f>
        <v>0</v>
      </c>
      <c r="J55" s="348">
        <f>J57</f>
        <v>0</v>
      </c>
      <c r="K55" s="80"/>
      <c r="L55" s="80"/>
    </row>
    <row r="56" spans="1:12" ht="15.95" customHeight="1" x14ac:dyDescent="0.15">
      <c r="A56" s="1"/>
      <c r="B56" s="495"/>
      <c r="C56" s="457" t="s">
        <v>26</v>
      </c>
      <c r="D56" s="339">
        <f>SUM(E56:I56)</f>
        <v>0</v>
      </c>
      <c r="E56" s="340">
        <v>0</v>
      </c>
      <c r="F56" s="340">
        <v>0</v>
      </c>
      <c r="G56" s="340">
        <v>0</v>
      </c>
      <c r="H56" s="340">
        <v>0</v>
      </c>
      <c r="I56" s="341">
        <v>0</v>
      </c>
      <c r="J56" s="342">
        <v>0</v>
      </c>
      <c r="K56" s="80"/>
      <c r="L56" s="80"/>
    </row>
    <row r="57" spans="1:12" ht="15.95" customHeight="1" thickBot="1" x14ac:dyDescent="0.2">
      <c r="A57" s="1"/>
      <c r="B57" s="496"/>
      <c r="C57" s="459" t="s">
        <v>27</v>
      </c>
      <c r="D57" s="343">
        <f>SUM(E57:J57)</f>
        <v>0</v>
      </c>
      <c r="E57" s="344">
        <v>0</v>
      </c>
      <c r="F57" s="344">
        <v>0</v>
      </c>
      <c r="G57" s="344">
        <v>0</v>
      </c>
      <c r="H57" s="344">
        <v>0</v>
      </c>
      <c r="I57" s="345">
        <v>0</v>
      </c>
      <c r="J57" s="346">
        <v>0</v>
      </c>
      <c r="K57" s="80"/>
      <c r="L57" s="80"/>
    </row>
    <row r="58" spans="1:12" ht="15.95" customHeight="1" thickBot="1" x14ac:dyDescent="0.25">
      <c r="A58" s="1"/>
      <c r="B58" s="443">
        <v>6</v>
      </c>
      <c r="C58" s="83"/>
      <c r="D58" s="416"/>
      <c r="E58" s="416"/>
      <c r="F58" s="416"/>
      <c r="G58" s="416"/>
      <c r="H58" s="416"/>
      <c r="I58" s="416"/>
      <c r="J58" s="416"/>
      <c r="K58" s="80"/>
      <c r="L58" s="80"/>
    </row>
    <row r="59" spans="1:12" ht="15.95" customHeight="1" x14ac:dyDescent="0.2">
      <c r="A59" s="1"/>
      <c r="B59" s="479" t="s">
        <v>313</v>
      </c>
      <c r="C59" s="480"/>
      <c r="D59" s="480"/>
      <c r="E59" s="480"/>
      <c r="F59" s="480"/>
      <c r="G59" s="480"/>
      <c r="H59" s="480"/>
      <c r="I59" s="480"/>
      <c r="J59" s="481"/>
      <c r="K59" s="54"/>
      <c r="L59" s="54"/>
    </row>
    <row r="60" spans="1:12" ht="15.95" customHeight="1" x14ac:dyDescent="0.2">
      <c r="A60" s="1"/>
      <c r="B60" s="417" t="s">
        <v>175</v>
      </c>
      <c r="C60" s="359" t="s">
        <v>23</v>
      </c>
      <c r="D60" s="360" t="s">
        <v>5</v>
      </c>
      <c r="E60" s="360" t="s">
        <v>108</v>
      </c>
      <c r="F60" s="360" t="s">
        <v>109</v>
      </c>
      <c r="G60" s="360" t="s">
        <v>110</v>
      </c>
      <c r="H60" s="360" t="s">
        <v>111</v>
      </c>
      <c r="I60" s="361" t="s">
        <v>112</v>
      </c>
      <c r="J60" s="362" t="s">
        <v>11</v>
      </c>
      <c r="K60" s="54"/>
      <c r="L60" s="54"/>
    </row>
    <row r="61" spans="1:12" ht="15.95" customHeight="1" x14ac:dyDescent="0.2">
      <c r="A61" s="1"/>
      <c r="B61" s="418" t="s">
        <v>13</v>
      </c>
      <c r="C61" s="387" t="s">
        <v>25</v>
      </c>
      <c r="D61" s="388">
        <f t="shared" ref="D61:D69" si="12">SUM(E61:I61)</f>
        <v>0</v>
      </c>
      <c r="E61" s="388">
        <f t="shared" ref="E61:J61" si="13">SUM(E62:E63)</f>
        <v>0</v>
      </c>
      <c r="F61" s="388">
        <f t="shared" si="13"/>
        <v>0</v>
      </c>
      <c r="G61" s="388">
        <f t="shared" si="13"/>
        <v>0</v>
      </c>
      <c r="H61" s="388">
        <f t="shared" si="13"/>
        <v>0</v>
      </c>
      <c r="I61" s="388">
        <f t="shared" si="13"/>
        <v>0</v>
      </c>
      <c r="J61" s="406">
        <f t="shared" si="13"/>
        <v>0</v>
      </c>
      <c r="K61" s="54"/>
      <c r="L61" s="54"/>
    </row>
    <row r="62" spans="1:12" ht="15.95" customHeight="1" x14ac:dyDescent="0.2">
      <c r="A62" s="1"/>
      <c r="B62" s="378"/>
      <c r="C62" s="391" t="s">
        <v>26</v>
      </c>
      <c r="D62" s="388">
        <f t="shared" si="12"/>
        <v>0</v>
      </c>
      <c r="E62" s="388">
        <f t="shared" ref="E62:I63" si="14">E65+E68</f>
        <v>0</v>
      </c>
      <c r="F62" s="388">
        <f t="shared" si="14"/>
        <v>0</v>
      </c>
      <c r="G62" s="388">
        <f t="shared" si="14"/>
        <v>0</v>
      </c>
      <c r="H62" s="388">
        <f t="shared" si="14"/>
        <v>0</v>
      </c>
      <c r="I62" s="388">
        <f t="shared" si="14"/>
        <v>0</v>
      </c>
      <c r="J62" s="419">
        <v>0</v>
      </c>
      <c r="K62" s="54"/>
      <c r="L62" s="54"/>
    </row>
    <row r="63" spans="1:12" ht="15.95" customHeight="1" x14ac:dyDescent="0.2">
      <c r="A63" s="1"/>
      <c r="B63" s="420"/>
      <c r="C63" s="391" t="s">
        <v>27</v>
      </c>
      <c r="D63" s="388">
        <f t="shared" si="12"/>
        <v>0</v>
      </c>
      <c r="E63" s="388">
        <f t="shared" si="14"/>
        <v>0</v>
      </c>
      <c r="F63" s="388">
        <f t="shared" si="14"/>
        <v>0</v>
      </c>
      <c r="G63" s="388">
        <f t="shared" si="14"/>
        <v>0</v>
      </c>
      <c r="H63" s="388">
        <f t="shared" si="14"/>
        <v>0</v>
      </c>
      <c r="I63" s="388">
        <f t="shared" si="14"/>
        <v>0</v>
      </c>
      <c r="J63" s="406">
        <f>J66+J69</f>
        <v>0</v>
      </c>
      <c r="K63" s="54"/>
      <c r="L63" s="54"/>
    </row>
    <row r="64" spans="1:12" ht="15.95" customHeight="1" x14ac:dyDescent="0.2">
      <c r="A64" s="1"/>
      <c r="B64" s="476" t="s">
        <v>314</v>
      </c>
      <c r="C64" s="387" t="s">
        <v>25</v>
      </c>
      <c r="D64" s="388">
        <f>SUM(E64:I64)</f>
        <v>0</v>
      </c>
      <c r="E64" s="388">
        <f t="shared" ref="E64:J64" si="15">SUM(E65:E66)</f>
        <v>0</v>
      </c>
      <c r="F64" s="388">
        <f t="shared" si="15"/>
        <v>0</v>
      </c>
      <c r="G64" s="388">
        <f t="shared" si="15"/>
        <v>0</v>
      </c>
      <c r="H64" s="388">
        <f t="shared" si="15"/>
        <v>0</v>
      </c>
      <c r="I64" s="388">
        <f t="shared" si="15"/>
        <v>0</v>
      </c>
      <c r="J64" s="406">
        <f t="shared" si="15"/>
        <v>0</v>
      </c>
      <c r="K64" s="358"/>
      <c r="L64" s="358"/>
    </row>
    <row r="65" spans="1:12" ht="15.95" customHeight="1" x14ac:dyDescent="0.2">
      <c r="A65" s="1"/>
      <c r="B65" s="477"/>
      <c r="C65" s="391" t="s">
        <v>26</v>
      </c>
      <c r="D65" s="388">
        <f t="shared" si="12"/>
        <v>0</v>
      </c>
      <c r="E65" s="392">
        <v>0</v>
      </c>
      <c r="F65" s="392">
        <v>0</v>
      </c>
      <c r="G65" s="392">
        <v>0</v>
      </c>
      <c r="H65" s="392">
        <v>0</v>
      </c>
      <c r="I65" s="411">
        <v>0</v>
      </c>
      <c r="J65" s="394">
        <v>0</v>
      </c>
      <c r="K65" s="54"/>
      <c r="L65" s="54"/>
    </row>
    <row r="66" spans="1:12" ht="15.95" customHeight="1" x14ac:dyDescent="0.2">
      <c r="A66" s="1"/>
      <c r="B66" s="482"/>
      <c r="C66" s="391" t="s">
        <v>27</v>
      </c>
      <c r="D66" s="388">
        <f t="shared" si="12"/>
        <v>0</v>
      </c>
      <c r="E66" s="392">
        <v>0</v>
      </c>
      <c r="F66" s="392">
        <v>0</v>
      </c>
      <c r="G66" s="392">
        <v>0</v>
      </c>
      <c r="H66" s="392">
        <v>0</v>
      </c>
      <c r="I66" s="411">
        <v>0</v>
      </c>
      <c r="J66" s="412">
        <v>0</v>
      </c>
      <c r="K66" s="54"/>
      <c r="L66" s="54"/>
    </row>
    <row r="67" spans="1:12" ht="15.95" customHeight="1" x14ac:dyDescent="0.2">
      <c r="A67" s="1"/>
      <c r="B67" s="377" t="s">
        <v>315</v>
      </c>
      <c r="C67" s="387" t="s">
        <v>25</v>
      </c>
      <c r="D67" s="388">
        <f>SUM(E67:I67)</f>
        <v>0</v>
      </c>
      <c r="E67" s="388">
        <f t="shared" ref="E67:J67" si="16">SUM(E68:E69)</f>
        <v>0</v>
      </c>
      <c r="F67" s="388">
        <f t="shared" si="16"/>
        <v>0</v>
      </c>
      <c r="G67" s="388">
        <f t="shared" si="16"/>
        <v>0</v>
      </c>
      <c r="H67" s="388">
        <f t="shared" si="16"/>
        <v>0</v>
      </c>
      <c r="I67" s="388">
        <f t="shared" si="16"/>
        <v>0</v>
      </c>
      <c r="J67" s="406">
        <f t="shared" si="16"/>
        <v>0</v>
      </c>
      <c r="K67" s="358"/>
      <c r="L67" s="358"/>
    </row>
    <row r="68" spans="1:12" ht="15.95" customHeight="1" x14ac:dyDescent="0.2">
      <c r="A68" s="1"/>
      <c r="B68" s="378"/>
      <c r="C68" s="391" t="s">
        <v>26</v>
      </c>
      <c r="D68" s="388">
        <f t="shared" si="12"/>
        <v>0</v>
      </c>
      <c r="E68" s="392">
        <v>0</v>
      </c>
      <c r="F68" s="392">
        <v>0</v>
      </c>
      <c r="G68" s="392">
        <v>0</v>
      </c>
      <c r="H68" s="392">
        <v>0</v>
      </c>
      <c r="I68" s="411">
        <v>0</v>
      </c>
      <c r="J68" s="394">
        <v>0</v>
      </c>
      <c r="K68" s="54"/>
      <c r="L68" s="54"/>
    </row>
    <row r="69" spans="1:12" ht="15.95" customHeight="1" x14ac:dyDescent="0.2">
      <c r="A69" s="1"/>
      <c r="B69" s="378"/>
      <c r="C69" s="391" t="s">
        <v>27</v>
      </c>
      <c r="D69" s="388">
        <f t="shared" si="12"/>
        <v>0</v>
      </c>
      <c r="E69" s="392">
        <v>0</v>
      </c>
      <c r="F69" s="392">
        <v>0</v>
      </c>
      <c r="G69" s="392">
        <v>0</v>
      </c>
      <c r="H69" s="392">
        <v>0</v>
      </c>
      <c r="I69" s="411">
        <v>0</v>
      </c>
      <c r="J69" s="412">
        <v>0</v>
      </c>
      <c r="K69" s="54"/>
      <c r="L69" s="54"/>
    </row>
    <row r="70" spans="1:12" ht="15.95" customHeight="1" x14ac:dyDescent="0.2">
      <c r="A70" s="1"/>
      <c r="B70" s="363" t="s">
        <v>176</v>
      </c>
      <c r="C70" s="359" t="s">
        <v>23</v>
      </c>
      <c r="D70" s="360" t="s">
        <v>5</v>
      </c>
      <c r="E70" s="360" t="s">
        <v>108</v>
      </c>
      <c r="F70" s="360" t="s">
        <v>109</v>
      </c>
      <c r="G70" s="360" t="s">
        <v>110</v>
      </c>
      <c r="H70" s="360" t="s">
        <v>111</v>
      </c>
      <c r="I70" s="361" t="s">
        <v>112</v>
      </c>
      <c r="J70" s="362" t="s">
        <v>11</v>
      </c>
      <c r="K70" s="80"/>
      <c r="L70" s="80"/>
    </row>
    <row r="71" spans="1:12" ht="15.95" customHeight="1" x14ac:dyDescent="0.2">
      <c r="A71" s="1"/>
      <c r="B71" s="418" t="s">
        <v>13</v>
      </c>
      <c r="C71" s="387" t="s">
        <v>25</v>
      </c>
      <c r="D71" s="388">
        <f t="shared" ref="D71:D79" si="17">SUM(E71:I71)</f>
        <v>0</v>
      </c>
      <c r="E71" s="388">
        <f t="shared" ref="E71:J71" si="18">SUM(E72:E73)</f>
        <v>0</v>
      </c>
      <c r="F71" s="388">
        <f t="shared" si="18"/>
        <v>0</v>
      </c>
      <c r="G71" s="388">
        <f t="shared" si="18"/>
        <v>0</v>
      </c>
      <c r="H71" s="388">
        <f t="shared" si="18"/>
        <v>0</v>
      </c>
      <c r="I71" s="388">
        <f t="shared" si="18"/>
        <v>0</v>
      </c>
      <c r="J71" s="406">
        <f t="shared" si="18"/>
        <v>0</v>
      </c>
      <c r="K71" s="80"/>
      <c r="L71" s="80"/>
    </row>
    <row r="72" spans="1:12" ht="15.95" customHeight="1" x14ac:dyDescent="0.2">
      <c r="A72" s="1"/>
      <c r="B72" s="378"/>
      <c r="C72" s="391" t="s">
        <v>26</v>
      </c>
      <c r="D72" s="388">
        <f t="shared" si="17"/>
        <v>0</v>
      </c>
      <c r="E72" s="388">
        <f t="shared" ref="E72:I73" si="19">E75+E78</f>
        <v>0</v>
      </c>
      <c r="F72" s="388">
        <f t="shared" si="19"/>
        <v>0</v>
      </c>
      <c r="G72" s="388">
        <f t="shared" si="19"/>
        <v>0</v>
      </c>
      <c r="H72" s="388">
        <f t="shared" si="19"/>
        <v>0</v>
      </c>
      <c r="I72" s="388">
        <f t="shared" si="19"/>
        <v>0</v>
      </c>
      <c r="J72" s="394">
        <v>0</v>
      </c>
      <c r="K72" s="80"/>
      <c r="L72" s="80"/>
    </row>
    <row r="73" spans="1:12" ht="15.95" customHeight="1" x14ac:dyDescent="0.2">
      <c r="A73" s="1"/>
      <c r="B73" s="420"/>
      <c r="C73" s="391" t="s">
        <v>27</v>
      </c>
      <c r="D73" s="388">
        <f t="shared" si="17"/>
        <v>0</v>
      </c>
      <c r="E73" s="388">
        <f t="shared" si="19"/>
        <v>0</v>
      </c>
      <c r="F73" s="388">
        <f t="shared" si="19"/>
        <v>0</v>
      </c>
      <c r="G73" s="388">
        <f t="shared" si="19"/>
        <v>0</v>
      </c>
      <c r="H73" s="388">
        <f t="shared" si="19"/>
        <v>0</v>
      </c>
      <c r="I73" s="388">
        <f t="shared" si="19"/>
        <v>0</v>
      </c>
      <c r="J73" s="406">
        <f>J76+J79</f>
        <v>0</v>
      </c>
      <c r="K73" s="80"/>
      <c r="L73" s="80"/>
    </row>
    <row r="74" spans="1:12" ht="15.95" customHeight="1" x14ac:dyDescent="0.2">
      <c r="A74" s="1"/>
      <c r="B74" s="377" t="s">
        <v>316</v>
      </c>
      <c r="C74" s="387" t="s">
        <v>25</v>
      </c>
      <c r="D74" s="388">
        <f t="shared" si="17"/>
        <v>0</v>
      </c>
      <c r="E74" s="388">
        <f t="shared" ref="E74:J74" si="20">SUM(E75:E76)</f>
        <v>0</v>
      </c>
      <c r="F74" s="388">
        <f t="shared" si="20"/>
        <v>0</v>
      </c>
      <c r="G74" s="388">
        <f t="shared" si="20"/>
        <v>0</v>
      </c>
      <c r="H74" s="388">
        <f t="shared" si="20"/>
        <v>0</v>
      </c>
      <c r="I74" s="388">
        <f t="shared" si="20"/>
        <v>0</v>
      </c>
      <c r="J74" s="406">
        <f t="shared" si="20"/>
        <v>0</v>
      </c>
      <c r="K74" s="358"/>
      <c r="L74" s="358"/>
    </row>
    <row r="75" spans="1:12" ht="15.95" customHeight="1" x14ac:dyDescent="0.2">
      <c r="A75" s="1"/>
      <c r="B75" s="378"/>
      <c r="C75" s="391" t="s">
        <v>26</v>
      </c>
      <c r="D75" s="388">
        <f t="shared" si="17"/>
        <v>0</v>
      </c>
      <c r="E75" s="392">
        <v>0</v>
      </c>
      <c r="F75" s="392">
        <v>0</v>
      </c>
      <c r="G75" s="392">
        <v>0</v>
      </c>
      <c r="H75" s="392">
        <v>0</v>
      </c>
      <c r="I75" s="411">
        <v>0</v>
      </c>
      <c r="J75" s="394">
        <v>0</v>
      </c>
      <c r="K75" s="80"/>
      <c r="L75" s="80"/>
    </row>
    <row r="76" spans="1:12" ht="15.95" customHeight="1" x14ac:dyDescent="0.2">
      <c r="A76" s="1"/>
      <c r="B76" s="420"/>
      <c r="C76" s="391" t="s">
        <v>27</v>
      </c>
      <c r="D76" s="388">
        <f t="shared" si="17"/>
        <v>0</v>
      </c>
      <c r="E76" s="392">
        <v>0</v>
      </c>
      <c r="F76" s="392">
        <v>0</v>
      </c>
      <c r="G76" s="392">
        <v>0</v>
      </c>
      <c r="H76" s="392">
        <v>0</v>
      </c>
      <c r="I76" s="411">
        <v>0</v>
      </c>
      <c r="J76" s="412">
        <v>0</v>
      </c>
      <c r="K76" s="80"/>
      <c r="L76" s="80"/>
    </row>
    <row r="77" spans="1:12" ht="15.95" customHeight="1" x14ac:dyDescent="0.2">
      <c r="A77" s="1"/>
      <c r="B77" s="377" t="s">
        <v>317</v>
      </c>
      <c r="C77" s="387" t="s">
        <v>25</v>
      </c>
      <c r="D77" s="388">
        <f t="shared" si="17"/>
        <v>0</v>
      </c>
      <c r="E77" s="388">
        <f t="shared" ref="E77:J77" si="21">SUM(E78:E79)</f>
        <v>0</v>
      </c>
      <c r="F77" s="388">
        <f t="shared" si="21"/>
        <v>0</v>
      </c>
      <c r="G77" s="388">
        <f t="shared" si="21"/>
        <v>0</v>
      </c>
      <c r="H77" s="388">
        <f t="shared" si="21"/>
        <v>0</v>
      </c>
      <c r="I77" s="388">
        <f t="shared" si="21"/>
        <v>0</v>
      </c>
      <c r="J77" s="406">
        <f t="shared" si="21"/>
        <v>0</v>
      </c>
      <c r="K77" s="358"/>
      <c r="L77" s="358"/>
    </row>
    <row r="78" spans="1:12" ht="15.95" customHeight="1" x14ac:dyDescent="0.2">
      <c r="A78" s="1"/>
      <c r="B78" s="378"/>
      <c r="C78" s="391" t="s">
        <v>26</v>
      </c>
      <c r="D78" s="388">
        <f t="shared" si="17"/>
        <v>0</v>
      </c>
      <c r="E78" s="392">
        <v>0</v>
      </c>
      <c r="F78" s="392">
        <v>0</v>
      </c>
      <c r="G78" s="392">
        <v>0</v>
      </c>
      <c r="H78" s="392">
        <v>0</v>
      </c>
      <c r="I78" s="411">
        <v>0</v>
      </c>
      <c r="J78" s="394">
        <v>0</v>
      </c>
      <c r="K78" s="80"/>
      <c r="L78" s="80"/>
    </row>
    <row r="79" spans="1:12" ht="15.95" customHeight="1" x14ac:dyDescent="0.2">
      <c r="A79" s="1"/>
      <c r="B79" s="420"/>
      <c r="C79" s="391" t="s">
        <v>27</v>
      </c>
      <c r="D79" s="388">
        <f t="shared" si="17"/>
        <v>0</v>
      </c>
      <c r="E79" s="392">
        <v>0</v>
      </c>
      <c r="F79" s="392">
        <v>0</v>
      </c>
      <c r="G79" s="392">
        <v>0</v>
      </c>
      <c r="H79" s="392">
        <v>0</v>
      </c>
      <c r="I79" s="411">
        <v>0</v>
      </c>
      <c r="J79" s="412">
        <v>0</v>
      </c>
      <c r="K79" s="80"/>
      <c r="L79" s="80"/>
    </row>
    <row r="80" spans="1:12" ht="15.95" customHeight="1" x14ac:dyDescent="0.2">
      <c r="A80" s="1"/>
      <c r="B80" s="363" t="s">
        <v>177</v>
      </c>
      <c r="C80" s="359" t="s">
        <v>23</v>
      </c>
      <c r="D80" s="360" t="s">
        <v>5</v>
      </c>
      <c r="E80" s="360" t="s">
        <v>108</v>
      </c>
      <c r="F80" s="360" t="s">
        <v>109</v>
      </c>
      <c r="G80" s="360" t="s">
        <v>110</v>
      </c>
      <c r="H80" s="360" t="s">
        <v>111</v>
      </c>
      <c r="I80" s="361" t="s">
        <v>112</v>
      </c>
      <c r="J80" s="362" t="s">
        <v>11</v>
      </c>
      <c r="K80" s="80"/>
      <c r="L80" s="80"/>
    </row>
    <row r="81" spans="1:12" ht="15.95" customHeight="1" x14ac:dyDescent="0.2">
      <c r="A81" s="1"/>
      <c r="B81" s="378" t="s">
        <v>178</v>
      </c>
      <c r="C81" s="387" t="s">
        <v>25</v>
      </c>
      <c r="D81" s="388">
        <f t="shared" ref="D81:D95" si="22">SUM(E81:I81)</f>
        <v>0</v>
      </c>
      <c r="E81" s="388">
        <f t="shared" ref="E81:J81" si="23">SUM(E82:E83)</f>
        <v>0</v>
      </c>
      <c r="F81" s="388">
        <f t="shared" si="23"/>
        <v>0</v>
      </c>
      <c r="G81" s="388">
        <f t="shared" si="23"/>
        <v>0</v>
      </c>
      <c r="H81" s="388">
        <f t="shared" si="23"/>
        <v>0</v>
      </c>
      <c r="I81" s="388">
        <f t="shared" si="23"/>
        <v>0</v>
      </c>
      <c r="J81" s="406">
        <f t="shared" si="23"/>
        <v>0</v>
      </c>
      <c r="K81" s="358"/>
      <c r="L81" s="358"/>
    </row>
    <row r="82" spans="1:12" ht="15.95" customHeight="1" x14ac:dyDescent="0.2">
      <c r="A82" s="1"/>
      <c r="B82" s="378"/>
      <c r="C82" s="391" t="s">
        <v>26</v>
      </c>
      <c r="D82" s="388">
        <f t="shared" si="22"/>
        <v>0</v>
      </c>
      <c r="E82" s="392">
        <v>0</v>
      </c>
      <c r="F82" s="392">
        <v>0</v>
      </c>
      <c r="G82" s="392">
        <v>0</v>
      </c>
      <c r="H82" s="392">
        <v>0</v>
      </c>
      <c r="I82" s="411">
        <v>0</v>
      </c>
      <c r="J82" s="394">
        <v>0</v>
      </c>
      <c r="K82" s="54"/>
      <c r="L82" s="54"/>
    </row>
    <row r="83" spans="1:12" ht="15.95" customHeight="1" x14ac:dyDescent="0.2">
      <c r="A83" s="1"/>
      <c r="B83" s="420"/>
      <c r="C83" s="391" t="s">
        <v>27</v>
      </c>
      <c r="D83" s="388">
        <f t="shared" si="22"/>
        <v>0</v>
      </c>
      <c r="E83" s="392">
        <v>0</v>
      </c>
      <c r="F83" s="392">
        <v>0</v>
      </c>
      <c r="G83" s="392">
        <v>0</v>
      </c>
      <c r="H83" s="392">
        <v>0</v>
      </c>
      <c r="I83" s="411">
        <v>0</v>
      </c>
      <c r="J83" s="412">
        <v>0</v>
      </c>
      <c r="K83" s="54"/>
      <c r="L83" s="54"/>
    </row>
    <row r="84" spans="1:12" ht="15.95" customHeight="1" x14ac:dyDescent="0.2">
      <c r="A84" s="1"/>
      <c r="B84" s="378" t="s">
        <v>318</v>
      </c>
      <c r="C84" s="387" t="s">
        <v>25</v>
      </c>
      <c r="D84" s="388">
        <f t="shared" si="22"/>
        <v>0</v>
      </c>
      <c r="E84" s="388">
        <f t="shared" ref="E84:J84" si="24">SUM(E85:E86)</f>
        <v>0</v>
      </c>
      <c r="F84" s="388">
        <f t="shared" si="24"/>
        <v>0</v>
      </c>
      <c r="G84" s="388">
        <f t="shared" si="24"/>
        <v>0</v>
      </c>
      <c r="H84" s="388">
        <f t="shared" si="24"/>
        <v>0</v>
      </c>
      <c r="I84" s="388">
        <f t="shared" si="24"/>
        <v>0</v>
      </c>
      <c r="J84" s="406">
        <f t="shared" si="24"/>
        <v>0</v>
      </c>
      <c r="K84" s="358"/>
      <c r="L84" s="358"/>
    </row>
    <row r="85" spans="1:12" ht="15.95" customHeight="1" x14ac:dyDescent="0.2">
      <c r="A85" s="1"/>
      <c r="B85" s="378"/>
      <c r="C85" s="391" t="s">
        <v>26</v>
      </c>
      <c r="D85" s="388">
        <f t="shared" si="22"/>
        <v>0</v>
      </c>
      <c r="E85" s="392">
        <v>0</v>
      </c>
      <c r="F85" s="392">
        <v>0</v>
      </c>
      <c r="G85" s="392">
        <v>0</v>
      </c>
      <c r="H85" s="392">
        <v>0</v>
      </c>
      <c r="I85" s="411">
        <v>0</v>
      </c>
      <c r="J85" s="394">
        <v>0</v>
      </c>
      <c r="K85" s="54"/>
      <c r="L85" s="54"/>
    </row>
    <row r="86" spans="1:12" ht="15.95" customHeight="1" x14ac:dyDescent="0.2">
      <c r="A86" s="1"/>
      <c r="B86" s="378"/>
      <c r="C86" s="391" t="s">
        <v>27</v>
      </c>
      <c r="D86" s="388">
        <f t="shared" si="22"/>
        <v>0</v>
      </c>
      <c r="E86" s="392">
        <v>0</v>
      </c>
      <c r="F86" s="392">
        <v>0</v>
      </c>
      <c r="G86" s="392">
        <v>0</v>
      </c>
      <c r="H86" s="392">
        <v>0</v>
      </c>
      <c r="I86" s="411">
        <v>0</v>
      </c>
      <c r="J86" s="412">
        <v>0</v>
      </c>
      <c r="K86" s="54"/>
      <c r="L86" s="54"/>
    </row>
    <row r="87" spans="1:12" ht="15.95" customHeight="1" x14ac:dyDescent="0.2">
      <c r="A87" s="1"/>
      <c r="B87" s="377" t="s">
        <v>319</v>
      </c>
      <c r="C87" s="387" t="s">
        <v>25</v>
      </c>
      <c r="D87" s="388">
        <f t="shared" si="22"/>
        <v>0</v>
      </c>
      <c r="E87" s="388">
        <f t="shared" ref="E87:J87" si="25">SUM(E88:E89)</f>
        <v>0</v>
      </c>
      <c r="F87" s="388">
        <f t="shared" si="25"/>
        <v>0</v>
      </c>
      <c r="G87" s="388">
        <f t="shared" si="25"/>
        <v>0</v>
      </c>
      <c r="H87" s="388">
        <f t="shared" si="25"/>
        <v>0</v>
      </c>
      <c r="I87" s="388">
        <f t="shared" si="25"/>
        <v>0</v>
      </c>
      <c r="J87" s="406">
        <f t="shared" si="25"/>
        <v>0</v>
      </c>
      <c r="K87" s="358"/>
      <c r="L87" s="358"/>
    </row>
    <row r="88" spans="1:12" ht="15.95" customHeight="1" x14ac:dyDescent="0.2">
      <c r="A88" s="1"/>
      <c r="B88" s="421"/>
      <c r="C88" s="391" t="s">
        <v>26</v>
      </c>
      <c r="D88" s="388">
        <f t="shared" si="22"/>
        <v>0</v>
      </c>
      <c r="E88" s="392">
        <v>0</v>
      </c>
      <c r="F88" s="392">
        <v>0</v>
      </c>
      <c r="G88" s="392">
        <v>0</v>
      </c>
      <c r="H88" s="392">
        <v>0</v>
      </c>
      <c r="I88" s="411">
        <v>0</v>
      </c>
      <c r="J88" s="394">
        <v>0</v>
      </c>
      <c r="K88" s="54"/>
      <c r="L88" s="54"/>
    </row>
    <row r="89" spans="1:12" ht="15.95" customHeight="1" x14ac:dyDescent="0.2">
      <c r="A89" s="1"/>
      <c r="B89" s="420"/>
      <c r="C89" s="391" t="s">
        <v>27</v>
      </c>
      <c r="D89" s="388">
        <f t="shared" si="22"/>
        <v>0</v>
      </c>
      <c r="E89" s="392">
        <v>0</v>
      </c>
      <c r="F89" s="392">
        <v>0</v>
      </c>
      <c r="G89" s="392">
        <v>0</v>
      </c>
      <c r="H89" s="392">
        <v>0</v>
      </c>
      <c r="I89" s="411">
        <v>0</v>
      </c>
      <c r="J89" s="412">
        <v>0</v>
      </c>
      <c r="K89" s="54"/>
      <c r="L89" s="54"/>
    </row>
    <row r="90" spans="1:12" ht="15.95" customHeight="1" x14ac:dyDescent="0.2">
      <c r="A90" s="1"/>
      <c r="B90" s="377" t="s">
        <v>320</v>
      </c>
      <c r="C90" s="387" t="s">
        <v>25</v>
      </c>
      <c r="D90" s="388">
        <f t="shared" si="22"/>
        <v>0</v>
      </c>
      <c r="E90" s="388">
        <f t="shared" ref="E90:J90" si="26">SUM(E91:E92)</f>
        <v>0</v>
      </c>
      <c r="F90" s="388">
        <f t="shared" si="26"/>
        <v>0</v>
      </c>
      <c r="G90" s="388">
        <f t="shared" si="26"/>
        <v>0</v>
      </c>
      <c r="H90" s="388">
        <f t="shared" si="26"/>
        <v>0</v>
      </c>
      <c r="I90" s="388">
        <f t="shared" si="26"/>
        <v>0</v>
      </c>
      <c r="J90" s="406">
        <f t="shared" si="26"/>
        <v>0</v>
      </c>
      <c r="K90" s="358"/>
      <c r="L90" s="358"/>
    </row>
    <row r="91" spans="1:12" ht="15.95" customHeight="1" x14ac:dyDescent="0.2">
      <c r="A91" s="1"/>
      <c r="B91" s="421"/>
      <c r="C91" s="391" t="s">
        <v>26</v>
      </c>
      <c r="D91" s="388">
        <f>SUM(E91:I91)</f>
        <v>0</v>
      </c>
      <c r="E91" s="392">
        <v>0</v>
      </c>
      <c r="F91" s="392">
        <v>0</v>
      </c>
      <c r="G91" s="392">
        <v>0</v>
      </c>
      <c r="H91" s="392">
        <v>0</v>
      </c>
      <c r="I91" s="411">
        <v>0</v>
      </c>
      <c r="J91" s="394">
        <v>0</v>
      </c>
      <c r="K91" s="54"/>
      <c r="L91" s="54"/>
    </row>
    <row r="92" spans="1:12" ht="15.95" customHeight="1" x14ac:dyDescent="0.2">
      <c r="A92" s="1"/>
      <c r="B92" s="420"/>
      <c r="C92" s="391" t="s">
        <v>27</v>
      </c>
      <c r="D92" s="388">
        <f>SUM(E92:I92)</f>
        <v>0</v>
      </c>
      <c r="E92" s="392">
        <v>0</v>
      </c>
      <c r="F92" s="392">
        <v>0</v>
      </c>
      <c r="G92" s="392">
        <v>0</v>
      </c>
      <c r="H92" s="392">
        <v>0</v>
      </c>
      <c r="I92" s="411">
        <v>0</v>
      </c>
      <c r="J92" s="412">
        <v>0</v>
      </c>
      <c r="K92" s="54"/>
      <c r="L92" s="54"/>
    </row>
    <row r="93" spans="1:12" ht="15.95" customHeight="1" x14ac:dyDescent="0.2">
      <c r="A93" s="1"/>
      <c r="B93" s="483" t="s">
        <v>312</v>
      </c>
      <c r="C93" s="422" t="s">
        <v>25</v>
      </c>
      <c r="D93" s="388">
        <f t="shared" ref="D93" si="27">SUM(E93:I93)</f>
        <v>0</v>
      </c>
      <c r="E93" s="388">
        <f t="shared" ref="E93:J93" si="28">SUM(E94:E95)</f>
        <v>0</v>
      </c>
      <c r="F93" s="388">
        <f t="shared" si="28"/>
        <v>0</v>
      </c>
      <c r="G93" s="388">
        <f t="shared" si="28"/>
        <v>0</v>
      </c>
      <c r="H93" s="388">
        <f t="shared" si="28"/>
        <v>0</v>
      </c>
      <c r="I93" s="388">
        <f t="shared" si="28"/>
        <v>0</v>
      </c>
      <c r="J93" s="406">
        <f t="shared" si="28"/>
        <v>0</v>
      </c>
      <c r="K93" s="358"/>
      <c r="L93" s="358"/>
    </row>
    <row r="94" spans="1:12" ht="15.95" customHeight="1" x14ac:dyDescent="0.2">
      <c r="A94" s="1"/>
      <c r="B94" s="483"/>
      <c r="C94" s="391" t="s">
        <v>26</v>
      </c>
      <c r="D94" s="388">
        <f t="shared" si="22"/>
        <v>0</v>
      </c>
      <c r="E94" s="392">
        <v>0</v>
      </c>
      <c r="F94" s="392">
        <v>0</v>
      </c>
      <c r="G94" s="392">
        <v>0</v>
      </c>
      <c r="H94" s="392">
        <v>0</v>
      </c>
      <c r="I94" s="411">
        <v>0</v>
      </c>
      <c r="J94" s="394">
        <v>0</v>
      </c>
      <c r="K94" s="54"/>
      <c r="L94" s="54"/>
    </row>
    <row r="95" spans="1:12" ht="15.95" customHeight="1" thickBot="1" x14ac:dyDescent="0.25">
      <c r="A95" s="1"/>
      <c r="B95" s="484"/>
      <c r="C95" s="395" t="s">
        <v>27</v>
      </c>
      <c r="D95" s="396">
        <f t="shared" si="22"/>
        <v>0</v>
      </c>
      <c r="E95" s="397">
        <v>0</v>
      </c>
      <c r="F95" s="397">
        <v>0</v>
      </c>
      <c r="G95" s="397">
        <v>0</v>
      </c>
      <c r="H95" s="397">
        <v>0</v>
      </c>
      <c r="I95" s="413">
        <v>0</v>
      </c>
      <c r="J95" s="414">
        <v>0</v>
      </c>
      <c r="K95" s="54"/>
      <c r="L95" s="54"/>
    </row>
    <row r="96" spans="1:12" ht="15.95" customHeight="1" thickBot="1" x14ac:dyDescent="0.25">
      <c r="A96" s="1"/>
      <c r="B96" s="443">
        <v>7</v>
      </c>
      <c r="C96" s="52"/>
      <c r="D96" s="52"/>
      <c r="E96" s="52"/>
      <c r="F96" s="52"/>
      <c r="G96" s="52"/>
      <c r="H96" s="52"/>
      <c r="I96" s="52"/>
      <c r="J96" s="52"/>
      <c r="K96" s="54"/>
      <c r="L96" s="54"/>
    </row>
    <row r="97" spans="1:12" ht="15.95" customHeight="1" x14ac:dyDescent="0.2">
      <c r="A97" s="1"/>
      <c r="B97" s="485" t="s">
        <v>321</v>
      </c>
      <c r="C97" s="486"/>
      <c r="D97" s="335"/>
      <c r="E97" s="52"/>
      <c r="F97" s="52"/>
      <c r="G97" s="52"/>
      <c r="H97" s="52"/>
      <c r="I97" s="52"/>
      <c r="J97" s="52"/>
      <c r="K97" s="54"/>
      <c r="L97" s="54"/>
    </row>
    <row r="98" spans="1:12" ht="15.95" customHeight="1" x14ac:dyDescent="0.2">
      <c r="A98" s="1"/>
      <c r="B98" s="423" t="s">
        <v>182</v>
      </c>
      <c r="C98" s="424">
        <f>SUM(D99:D100)</f>
        <v>0</v>
      </c>
      <c r="D98" s="52"/>
      <c r="E98" s="52"/>
      <c r="F98" s="52"/>
      <c r="G98" s="52"/>
      <c r="H98" s="52"/>
      <c r="I98" s="52"/>
      <c r="J98" s="52"/>
      <c r="K98" s="54"/>
      <c r="L98" s="54"/>
    </row>
    <row r="99" spans="1:12" ht="15.95" customHeight="1" x14ac:dyDescent="0.2">
      <c r="A99" s="1"/>
      <c r="B99" s="425" t="s">
        <v>183</v>
      </c>
      <c r="C99" s="426"/>
      <c r="D99" s="416"/>
      <c r="E99" s="52"/>
      <c r="F99" s="52"/>
      <c r="G99" s="52"/>
      <c r="H99" s="52"/>
      <c r="I99" s="52"/>
      <c r="J99" s="52"/>
      <c r="K99" s="54"/>
      <c r="L99" s="54"/>
    </row>
    <row r="100" spans="1:12" ht="15.95" customHeight="1" x14ac:dyDescent="0.2">
      <c r="A100" s="1"/>
      <c r="B100" s="425" t="s">
        <v>184</v>
      </c>
      <c r="C100" s="426"/>
      <c r="D100" s="416"/>
      <c r="E100" s="52"/>
      <c r="F100" s="52"/>
      <c r="G100" s="52"/>
      <c r="H100" s="52"/>
      <c r="I100" s="52"/>
      <c r="J100" s="52"/>
      <c r="K100" s="54"/>
      <c r="L100" s="54"/>
    </row>
    <row r="101" spans="1:12" ht="15.95" customHeight="1" x14ac:dyDescent="0.2">
      <c r="A101" s="1"/>
      <c r="B101" s="487" t="s">
        <v>185</v>
      </c>
      <c r="C101" s="488"/>
      <c r="D101" s="57"/>
      <c r="E101" s="52"/>
      <c r="F101" s="52"/>
      <c r="G101" s="52"/>
      <c r="H101" s="52"/>
      <c r="I101" s="52"/>
      <c r="J101" s="52"/>
      <c r="K101" s="54"/>
      <c r="L101" s="54"/>
    </row>
    <row r="102" spans="1:12" ht="15.95" customHeight="1" x14ac:dyDescent="0.2">
      <c r="A102" s="1"/>
      <c r="B102" s="425" t="s">
        <v>186</v>
      </c>
      <c r="C102" s="426"/>
      <c r="D102" s="416"/>
      <c r="E102" s="52"/>
      <c r="F102" s="52"/>
      <c r="G102" s="52"/>
      <c r="H102" s="52"/>
      <c r="I102" s="52"/>
      <c r="J102" s="52"/>
      <c r="K102" s="54"/>
      <c r="L102" s="54"/>
    </row>
    <row r="103" spans="1:12" ht="15.95" customHeight="1" x14ac:dyDescent="0.2">
      <c r="A103" s="1"/>
      <c r="B103" s="425" t="s">
        <v>187</v>
      </c>
      <c r="C103" s="426"/>
      <c r="D103" s="416"/>
      <c r="E103" s="52"/>
      <c r="F103" s="52"/>
      <c r="G103" s="52"/>
      <c r="H103" s="52"/>
      <c r="I103" s="52"/>
      <c r="J103" s="52"/>
      <c r="K103" s="54"/>
      <c r="L103" s="54"/>
    </row>
    <row r="104" spans="1:12" ht="15.95" customHeight="1" x14ac:dyDescent="0.2">
      <c r="A104" s="1"/>
      <c r="B104" s="425" t="s">
        <v>188</v>
      </c>
      <c r="C104" s="426"/>
      <c r="D104" s="416"/>
      <c r="E104" s="52"/>
      <c r="F104" s="52"/>
      <c r="G104" s="52"/>
      <c r="H104" s="52"/>
      <c r="I104" s="52"/>
      <c r="J104" s="52"/>
      <c r="K104" s="54"/>
      <c r="L104" s="54"/>
    </row>
    <row r="105" spans="1:12" ht="15.95" customHeight="1" x14ac:dyDescent="0.2">
      <c r="A105" s="1"/>
      <c r="B105" s="487" t="s">
        <v>322</v>
      </c>
      <c r="C105" s="488"/>
      <c r="D105" s="57"/>
      <c r="E105" s="52"/>
      <c r="F105" s="52"/>
      <c r="G105" s="52"/>
      <c r="H105" s="52"/>
      <c r="I105" s="52"/>
      <c r="J105" s="52"/>
      <c r="K105" s="54"/>
      <c r="L105" s="54"/>
    </row>
    <row r="106" spans="1:12" ht="15.95" customHeight="1" x14ac:dyDescent="0.2">
      <c r="A106" s="1"/>
      <c r="B106" s="423" t="s">
        <v>189</v>
      </c>
      <c r="C106" s="424">
        <f>SUM(C107:C109)</f>
        <v>0</v>
      </c>
      <c r="D106" s="57"/>
      <c r="E106" s="52"/>
      <c r="F106" s="52"/>
      <c r="G106" s="52"/>
      <c r="H106" s="52"/>
      <c r="I106" s="52"/>
      <c r="J106" s="52"/>
      <c r="K106" s="54"/>
      <c r="L106" s="54"/>
    </row>
    <row r="107" spans="1:12" ht="15.95" customHeight="1" x14ac:dyDescent="0.2">
      <c r="A107" s="1"/>
      <c r="B107" s="425" t="s">
        <v>190</v>
      </c>
      <c r="C107" s="426"/>
      <c r="D107" s="416"/>
      <c r="E107" s="52"/>
      <c r="F107" s="52"/>
      <c r="G107" s="52"/>
      <c r="H107" s="52"/>
      <c r="I107" s="52"/>
      <c r="J107" s="52"/>
      <c r="K107" s="54"/>
      <c r="L107" s="54"/>
    </row>
    <row r="108" spans="1:12" ht="15.95" customHeight="1" x14ac:dyDescent="0.2">
      <c r="A108" s="1"/>
      <c r="B108" s="425" t="s">
        <v>191</v>
      </c>
      <c r="C108" s="426"/>
      <c r="D108" s="416"/>
      <c r="E108" s="52"/>
      <c r="F108" s="52"/>
      <c r="G108" s="52"/>
      <c r="H108" s="52"/>
      <c r="I108" s="52"/>
      <c r="J108" s="52"/>
      <c r="K108" s="54"/>
      <c r="L108" s="54"/>
    </row>
    <row r="109" spans="1:12" ht="15.95" customHeight="1" thickBot="1" x14ac:dyDescent="0.25">
      <c r="A109" s="1"/>
      <c r="B109" s="429" t="s">
        <v>192</v>
      </c>
      <c r="C109" s="430"/>
      <c r="D109" s="416"/>
      <c r="E109" s="52"/>
      <c r="F109" s="52"/>
      <c r="G109" s="52"/>
      <c r="H109" s="52"/>
      <c r="I109" s="52"/>
      <c r="J109" s="52"/>
      <c r="K109" s="54"/>
      <c r="L109" s="54"/>
    </row>
    <row r="110" spans="1:12" ht="15.95" customHeight="1" x14ac:dyDescent="0.2">
      <c r="A110" s="1"/>
      <c r="B110" s="489" t="s">
        <v>323</v>
      </c>
      <c r="C110" s="490"/>
      <c r="D110" s="57"/>
      <c r="E110" s="52"/>
      <c r="F110" s="52"/>
      <c r="G110" s="52"/>
      <c r="H110" s="52"/>
      <c r="I110" s="52"/>
      <c r="J110" s="52"/>
      <c r="K110" s="54"/>
      <c r="L110" s="54"/>
    </row>
    <row r="111" spans="1:12" ht="15.95" customHeight="1" x14ac:dyDescent="0.2">
      <c r="A111" s="1"/>
      <c r="B111" s="423" t="s">
        <v>324</v>
      </c>
      <c r="C111" s="424">
        <f>SUM(D112:D114)</f>
        <v>0</v>
      </c>
      <c r="D111" s="57"/>
      <c r="E111" s="52"/>
      <c r="F111" s="52"/>
      <c r="G111" s="52"/>
      <c r="H111" s="52"/>
      <c r="I111" s="52"/>
      <c r="J111" s="52"/>
      <c r="K111" s="54"/>
      <c r="L111" s="54"/>
    </row>
    <row r="112" spans="1:12" ht="15.95" customHeight="1" x14ac:dyDescent="0.2">
      <c r="A112" s="1"/>
      <c r="B112" s="425" t="s">
        <v>325</v>
      </c>
      <c r="C112" s="426"/>
      <c r="D112" s="416"/>
      <c r="E112" s="52"/>
      <c r="F112" s="52"/>
      <c r="G112" s="52"/>
      <c r="H112" s="52"/>
      <c r="I112" s="52"/>
      <c r="J112" s="52"/>
      <c r="K112" s="54"/>
      <c r="L112" s="54"/>
    </row>
    <row r="113" spans="1:12" ht="15.95" customHeight="1" x14ac:dyDescent="0.2">
      <c r="A113" s="1"/>
      <c r="B113" s="425" t="s">
        <v>326</v>
      </c>
      <c r="C113" s="426"/>
      <c r="D113" s="416"/>
      <c r="E113" s="52"/>
      <c r="F113" s="52"/>
      <c r="G113" s="52"/>
      <c r="H113" s="52"/>
      <c r="I113" s="52"/>
      <c r="J113" s="52"/>
      <c r="K113" s="54"/>
      <c r="L113" s="54"/>
    </row>
    <row r="114" spans="1:12" ht="15.95" customHeight="1" thickBot="1" x14ac:dyDescent="0.25">
      <c r="A114" s="1"/>
      <c r="B114" s="429" t="s">
        <v>192</v>
      </c>
      <c r="C114" s="430"/>
      <c r="D114" s="416"/>
      <c r="E114" s="52"/>
      <c r="F114" s="52"/>
      <c r="G114" s="52"/>
      <c r="H114" s="52"/>
      <c r="I114" s="52"/>
      <c r="J114" s="52"/>
      <c r="K114" s="54"/>
      <c r="L114" s="54"/>
    </row>
    <row r="115" spans="1:12" ht="15.95" customHeight="1" thickBot="1" x14ac:dyDescent="0.25">
      <c r="A115" s="1"/>
      <c r="B115" s="443">
        <v>8</v>
      </c>
      <c r="C115" s="52"/>
      <c r="D115" s="57"/>
      <c r="E115" s="52"/>
      <c r="F115" s="52"/>
      <c r="G115" s="52"/>
      <c r="H115" s="52"/>
      <c r="I115" s="52"/>
      <c r="J115" s="52"/>
      <c r="K115" s="54"/>
      <c r="L115" s="54"/>
    </row>
    <row r="116" spans="1:12" ht="15.95" customHeight="1" x14ac:dyDescent="0.2">
      <c r="A116" s="1"/>
      <c r="B116" s="489" t="s">
        <v>179</v>
      </c>
      <c r="C116" s="490"/>
      <c r="D116" s="80"/>
      <c r="E116" s="54"/>
      <c r="F116" s="54"/>
      <c r="G116" s="54"/>
      <c r="H116" s="54"/>
      <c r="I116" s="54"/>
      <c r="J116" s="54"/>
      <c r="K116" s="54"/>
      <c r="L116" s="54"/>
    </row>
    <row r="117" spans="1:12" ht="15.95" customHeight="1" x14ac:dyDescent="0.2">
      <c r="A117" s="1"/>
      <c r="B117" s="425" t="s">
        <v>180</v>
      </c>
      <c r="C117" s="426"/>
      <c r="D117" s="416"/>
      <c r="E117" s="52"/>
      <c r="F117" s="52"/>
      <c r="G117" s="52"/>
      <c r="H117" s="52"/>
      <c r="I117" s="52"/>
      <c r="J117" s="52"/>
      <c r="K117" s="54"/>
      <c r="L117" s="54"/>
    </row>
    <row r="118" spans="1:12" ht="15.95" customHeight="1" x14ac:dyDescent="0.2">
      <c r="A118" s="1"/>
      <c r="B118" s="425" t="s">
        <v>181</v>
      </c>
      <c r="C118" s="426"/>
      <c r="D118" s="416"/>
      <c r="E118" s="52"/>
      <c r="F118" s="52"/>
      <c r="G118" s="52"/>
      <c r="H118" s="52"/>
      <c r="I118" s="52"/>
      <c r="J118" s="52"/>
      <c r="K118" s="54"/>
      <c r="L118" s="54"/>
    </row>
    <row r="119" spans="1:12" ht="15.95" customHeight="1" thickBot="1" x14ac:dyDescent="0.25">
      <c r="A119" s="1"/>
      <c r="B119" s="429" t="s">
        <v>327</v>
      </c>
      <c r="C119" s="430"/>
      <c r="D119" s="416"/>
      <c r="E119" s="52"/>
      <c r="F119" s="52"/>
      <c r="G119" s="52"/>
      <c r="H119" s="52"/>
      <c r="I119" s="52"/>
      <c r="J119" s="52"/>
      <c r="K119" s="54"/>
      <c r="L119" s="54"/>
    </row>
    <row r="120" spans="1:12" ht="15.95" customHeight="1" thickBot="1" x14ac:dyDescent="0.25">
      <c r="A120" s="1"/>
      <c r="B120" s="443">
        <v>9</v>
      </c>
      <c r="C120" s="80"/>
      <c r="D120" s="57"/>
      <c r="E120" s="52"/>
      <c r="F120" s="52"/>
      <c r="G120" s="52"/>
      <c r="H120" s="52"/>
      <c r="I120" s="52"/>
      <c r="J120" s="52"/>
      <c r="K120" s="54"/>
      <c r="L120" s="54"/>
    </row>
    <row r="121" spans="1:12" ht="15.95" customHeight="1" x14ac:dyDescent="0.2">
      <c r="A121" s="1"/>
      <c r="B121" s="489" t="s">
        <v>193</v>
      </c>
      <c r="C121" s="490"/>
      <c r="D121" s="57"/>
      <c r="E121" s="52"/>
      <c r="F121" s="52"/>
      <c r="G121" s="52"/>
      <c r="H121" s="52"/>
      <c r="I121" s="52"/>
      <c r="J121" s="52"/>
      <c r="K121" s="54"/>
      <c r="L121" s="54"/>
    </row>
    <row r="122" spans="1:12" ht="15.95" customHeight="1" x14ac:dyDescent="0.2">
      <c r="A122" s="1"/>
      <c r="B122" s="425" t="s">
        <v>17</v>
      </c>
      <c r="C122" s="426"/>
      <c r="D122" s="416"/>
      <c r="E122" s="52"/>
      <c r="F122" s="52"/>
      <c r="G122" s="52"/>
      <c r="H122" s="52"/>
      <c r="I122" s="52"/>
      <c r="J122" s="52"/>
      <c r="K122" s="54"/>
      <c r="L122" s="54"/>
    </row>
    <row r="123" spans="1:12" ht="15.95" customHeight="1" x14ac:dyDescent="0.2">
      <c r="A123" s="1"/>
      <c r="B123" s="425" t="s">
        <v>18</v>
      </c>
      <c r="C123" s="426"/>
      <c r="D123" s="416"/>
      <c r="E123" s="52"/>
      <c r="F123" s="52"/>
      <c r="G123" s="52"/>
      <c r="H123" s="52"/>
      <c r="I123" s="52"/>
      <c r="J123" s="52"/>
      <c r="K123" s="54"/>
      <c r="L123" s="54"/>
    </row>
    <row r="124" spans="1:12" ht="15.95" customHeight="1" thickBot="1" x14ac:dyDescent="0.25">
      <c r="A124" s="1"/>
      <c r="B124" s="429" t="s">
        <v>19</v>
      </c>
      <c r="C124" s="430"/>
      <c r="D124" s="416"/>
      <c r="E124" s="52"/>
      <c r="F124" s="52"/>
      <c r="G124" s="52"/>
      <c r="H124" s="52"/>
      <c r="I124" s="52"/>
      <c r="J124" s="52"/>
      <c r="K124" s="54"/>
      <c r="L124" s="54"/>
    </row>
    <row r="125" spans="1:12" ht="15.95" customHeight="1" thickBot="1" x14ac:dyDescent="0.25">
      <c r="A125" s="46"/>
      <c r="B125" s="46"/>
      <c r="C125" s="38"/>
      <c r="D125" s="52"/>
      <c r="E125" s="52"/>
      <c r="F125" s="52"/>
      <c r="G125" s="52"/>
      <c r="H125" s="52"/>
      <c r="I125" s="52"/>
    </row>
    <row r="126" spans="1:12" ht="15.95" customHeight="1" x14ac:dyDescent="0.2">
      <c r="A126" s="1"/>
      <c r="B126" s="467" t="s">
        <v>195</v>
      </c>
      <c r="C126" s="468"/>
      <c r="D126" s="468"/>
      <c r="E126" s="468"/>
      <c r="F126" s="468"/>
      <c r="G126" s="468"/>
      <c r="H126" s="468"/>
      <c r="I126" s="468"/>
      <c r="J126" s="469"/>
    </row>
    <row r="127" spans="1:12" ht="15.95" customHeight="1" thickBot="1" x14ac:dyDescent="0.25">
      <c r="A127" s="1"/>
      <c r="B127" s="470"/>
      <c r="C127" s="471"/>
      <c r="D127" s="471"/>
      <c r="E127" s="471"/>
      <c r="F127" s="471"/>
      <c r="G127" s="471"/>
      <c r="H127" s="471"/>
      <c r="I127" s="471"/>
      <c r="J127" s="472"/>
    </row>
    <row r="128" spans="1:12" ht="15.95" customHeight="1" thickBot="1" x14ac:dyDescent="0.25">
      <c r="A128" s="1"/>
      <c r="B128" s="454">
        <v>10</v>
      </c>
      <c r="C128" s="23"/>
      <c r="D128" s="441"/>
      <c r="E128" s="442"/>
      <c r="F128" s="364"/>
      <c r="G128" s="364"/>
      <c r="H128" s="364"/>
      <c r="I128" s="364"/>
      <c r="J128" s="444"/>
    </row>
    <row r="129" spans="1:10" ht="15.95" customHeight="1" x14ac:dyDescent="0.2">
      <c r="A129" s="1"/>
      <c r="B129" s="431" t="s">
        <v>4</v>
      </c>
      <c r="C129" s="336" t="s">
        <v>23</v>
      </c>
      <c r="D129" s="337" t="s">
        <v>5</v>
      </c>
      <c r="E129" s="337" t="s">
        <v>108</v>
      </c>
      <c r="F129" s="337" t="s">
        <v>109</v>
      </c>
      <c r="G129" s="337" t="s">
        <v>110</v>
      </c>
      <c r="H129" s="337" t="s">
        <v>111</v>
      </c>
      <c r="I129" s="338" t="s">
        <v>112</v>
      </c>
      <c r="J129" s="376" t="s">
        <v>11</v>
      </c>
    </row>
    <row r="130" spans="1:10" ht="15.95" customHeight="1" x14ac:dyDescent="0.2">
      <c r="A130" s="1"/>
      <c r="B130" s="476" t="s">
        <v>328</v>
      </c>
      <c r="C130" s="387" t="s">
        <v>25</v>
      </c>
      <c r="D130" s="388">
        <f>SUM(E130:I130)</f>
        <v>0</v>
      </c>
      <c r="E130" s="388">
        <f t="shared" ref="E130:J130" si="29">SUM(E131:E132)</f>
        <v>0</v>
      </c>
      <c r="F130" s="388">
        <f t="shared" si="29"/>
        <v>0</v>
      </c>
      <c r="G130" s="388">
        <f t="shared" si="29"/>
        <v>0</v>
      </c>
      <c r="H130" s="388">
        <f t="shared" si="29"/>
        <v>0</v>
      </c>
      <c r="I130" s="388">
        <f t="shared" si="29"/>
        <v>0</v>
      </c>
      <c r="J130" s="406">
        <f t="shared" si="29"/>
        <v>0</v>
      </c>
    </row>
    <row r="131" spans="1:10" ht="15.95" customHeight="1" x14ac:dyDescent="0.2">
      <c r="A131" s="1"/>
      <c r="B131" s="477"/>
      <c r="C131" s="391" t="s">
        <v>26</v>
      </c>
      <c r="D131" s="388">
        <f>SUM(E131:I131)</f>
        <v>0</v>
      </c>
      <c r="E131" s="392">
        <v>0</v>
      </c>
      <c r="F131" s="392">
        <v>0</v>
      </c>
      <c r="G131" s="392">
        <v>0</v>
      </c>
      <c r="H131" s="392">
        <v>0</v>
      </c>
      <c r="I131" s="393">
        <v>0</v>
      </c>
      <c r="J131" s="394">
        <v>0</v>
      </c>
    </row>
    <row r="132" spans="1:10" ht="15.95" customHeight="1" thickBot="1" x14ac:dyDescent="0.25">
      <c r="A132" s="1"/>
      <c r="B132" s="478"/>
      <c r="C132" s="395" t="s">
        <v>27</v>
      </c>
      <c r="D132" s="396">
        <f>SUM(E132:I132)</f>
        <v>0</v>
      </c>
      <c r="E132" s="397">
        <v>0</v>
      </c>
      <c r="F132" s="397">
        <v>0</v>
      </c>
      <c r="G132" s="397">
        <v>0</v>
      </c>
      <c r="H132" s="397">
        <v>0</v>
      </c>
      <c r="I132" s="398">
        <v>0</v>
      </c>
      <c r="J132" s="399">
        <v>0</v>
      </c>
    </row>
    <row r="133" spans="1:10" ht="15.95" customHeight="1" x14ac:dyDescent="0.2">
      <c r="A133" s="1"/>
      <c r="B133" s="443">
        <v>11</v>
      </c>
      <c r="C133" s="445"/>
      <c r="D133" s="445"/>
      <c r="E133" s="446"/>
      <c r="F133" s="446"/>
      <c r="G133" s="446"/>
      <c r="H133" s="446"/>
      <c r="I133" s="447"/>
      <c r="J133" s="447"/>
    </row>
    <row r="134" spans="1:10" ht="15.95" customHeight="1" x14ac:dyDescent="0.2">
      <c r="A134" s="1"/>
      <c r="B134" s="427" t="s">
        <v>168</v>
      </c>
      <c r="C134" s="356" t="s">
        <v>23</v>
      </c>
      <c r="D134" s="375" t="s">
        <v>5</v>
      </c>
      <c r="E134" s="375" t="s">
        <v>108</v>
      </c>
      <c r="F134" s="375" t="s">
        <v>109</v>
      </c>
      <c r="G134" s="375" t="s">
        <v>110</v>
      </c>
      <c r="H134" s="375" t="s">
        <v>111</v>
      </c>
      <c r="I134" s="375" t="s">
        <v>112</v>
      </c>
      <c r="J134" s="428" t="s">
        <v>11</v>
      </c>
    </row>
    <row r="135" spans="1:10" ht="15.95" customHeight="1" x14ac:dyDescent="0.2">
      <c r="A135" s="1"/>
      <c r="B135" s="400" t="s">
        <v>13</v>
      </c>
      <c r="C135" s="432" t="s">
        <v>25</v>
      </c>
      <c r="D135" s="388">
        <f>SUM(E135:I135)</f>
        <v>0</v>
      </c>
      <c r="E135" s="388">
        <f t="shared" ref="E135:J135" si="30">SUM(E136:E137)</f>
        <v>0</v>
      </c>
      <c r="F135" s="388">
        <f t="shared" si="30"/>
        <v>0</v>
      </c>
      <c r="G135" s="388">
        <f t="shared" si="30"/>
        <v>0</v>
      </c>
      <c r="H135" s="388">
        <f t="shared" si="30"/>
        <v>0</v>
      </c>
      <c r="I135" s="388">
        <f t="shared" si="30"/>
        <v>0</v>
      </c>
      <c r="J135" s="406">
        <f t="shared" si="30"/>
        <v>0</v>
      </c>
    </row>
    <row r="136" spans="1:10" ht="15.95" customHeight="1" x14ac:dyDescent="0.2">
      <c r="A136" s="1"/>
      <c r="B136" s="407"/>
      <c r="C136" s="391" t="s">
        <v>26</v>
      </c>
      <c r="D136" s="388">
        <f t="shared" ref="D136:D146" si="31">SUM(E136:I136)</f>
        <v>0</v>
      </c>
      <c r="E136" s="388">
        <f t="shared" ref="E136:I137" si="32">E139+E142+E145</f>
        <v>0</v>
      </c>
      <c r="F136" s="388">
        <f t="shared" si="32"/>
        <v>0</v>
      </c>
      <c r="G136" s="388">
        <f t="shared" si="32"/>
        <v>0</v>
      </c>
      <c r="H136" s="388">
        <f t="shared" si="32"/>
        <v>0</v>
      </c>
      <c r="I136" s="388">
        <f t="shared" si="32"/>
        <v>0</v>
      </c>
      <c r="J136" s="394">
        <v>0</v>
      </c>
    </row>
    <row r="137" spans="1:10" ht="15.95" customHeight="1" x14ac:dyDescent="0.2">
      <c r="A137" s="1"/>
      <c r="B137" s="409"/>
      <c r="C137" s="391" t="s">
        <v>27</v>
      </c>
      <c r="D137" s="388">
        <f t="shared" si="31"/>
        <v>0</v>
      </c>
      <c r="E137" s="388">
        <f t="shared" si="32"/>
        <v>0</v>
      </c>
      <c r="F137" s="388">
        <f t="shared" si="32"/>
        <v>0</v>
      </c>
      <c r="G137" s="388">
        <f t="shared" si="32"/>
        <v>0</v>
      </c>
      <c r="H137" s="388">
        <f t="shared" si="32"/>
        <v>0</v>
      </c>
      <c r="I137" s="388">
        <f t="shared" si="32"/>
        <v>0</v>
      </c>
      <c r="J137" s="406">
        <f>J140+J143+J146</f>
        <v>0</v>
      </c>
    </row>
    <row r="138" spans="1:10" ht="15.95" customHeight="1" x14ac:dyDescent="0.2">
      <c r="A138" s="1"/>
      <c r="B138" s="377" t="s">
        <v>196</v>
      </c>
      <c r="C138" s="432" t="s">
        <v>25</v>
      </c>
      <c r="D138" s="388">
        <f t="shared" si="31"/>
        <v>0</v>
      </c>
      <c r="E138" s="388">
        <f t="shared" ref="E138:J138" si="33">SUM(E139:E140)</f>
        <v>0</v>
      </c>
      <c r="F138" s="388">
        <f t="shared" si="33"/>
        <v>0</v>
      </c>
      <c r="G138" s="388">
        <f t="shared" si="33"/>
        <v>0</v>
      </c>
      <c r="H138" s="388">
        <f t="shared" si="33"/>
        <v>0</v>
      </c>
      <c r="I138" s="388">
        <f t="shared" si="33"/>
        <v>0</v>
      </c>
      <c r="J138" s="406">
        <f t="shared" si="33"/>
        <v>0</v>
      </c>
    </row>
    <row r="139" spans="1:10" ht="15.95" customHeight="1" x14ac:dyDescent="0.2">
      <c r="A139" s="1"/>
      <c r="B139" s="407"/>
      <c r="C139" s="391" t="s">
        <v>26</v>
      </c>
      <c r="D139" s="388">
        <f t="shared" si="31"/>
        <v>0</v>
      </c>
      <c r="E139" s="392">
        <v>0</v>
      </c>
      <c r="F139" s="392">
        <v>0</v>
      </c>
      <c r="G139" s="392">
        <v>0</v>
      </c>
      <c r="H139" s="392">
        <v>0</v>
      </c>
      <c r="I139" s="392">
        <v>0</v>
      </c>
      <c r="J139" s="394">
        <v>0</v>
      </c>
    </row>
    <row r="140" spans="1:10" ht="15.95" customHeight="1" x14ac:dyDescent="0.2">
      <c r="A140" s="1"/>
      <c r="B140" s="409"/>
      <c r="C140" s="391" t="s">
        <v>27</v>
      </c>
      <c r="D140" s="388">
        <f t="shared" si="31"/>
        <v>0</v>
      </c>
      <c r="E140" s="392">
        <v>0</v>
      </c>
      <c r="F140" s="392">
        <v>0</v>
      </c>
      <c r="G140" s="392">
        <v>0</v>
      </c>
      <c r="H140" s="392">
        <v>0</v>
      </c>
      <c r="I140" s="392">
        <v>0</v>
      </c>
      <c r="J140" s="433">
        <v>0</v>
      </c>
    </row>
    <row r="141" spans="1:10" ht="15.95" customHeight="1" x14ac:dyDescent="0.2">
      <c r="A141" s="1"/>
      <c r="B141" s="378" t="s">
        <v>197</v>
      </c>
      <c r="C141" s="432" t="s">
        <v>25</v>
      </c>
      <c r="D141" s="388">
        <f t="shared" si="31"/>
        <v>0</v>
      </c>
      <c r="E141" s="388">
        <f t="shared" ref="E141:J141" si="34">SUM(E142:E143)</f>
        <v>0</v>
      </c>
      <c r="F141" s="388">
        <f t="shared" si="34"/>
        <v>0</v>
      </c>
      <c r="G141" s="388">
        <f t="shared" si="34"/>
        <v>0</v>
      </c>
      <c r="H141" s="388">
        <f t="shared" si="34"/>
        <v>0</v>
      </c>
      <c r="I141" s="388">
        <f t="shared" si="34"/>
        <v>0</v>
      </c>
      <c r="J141" s="406">
        <f t="shared" si="34"/>
        <v>0</v>
      </c>
    </row>
    <row r="142" spans="1:10" ht="15.95" customHeight="1" x14ac:dyDescent="0.2">
      <c r="A142" s="1"/>
      <c r="B142" s="378"/>
      <c r="C142" s="391" t="s">
        <v>26</v>
      </c>
      <c r="D142" s="388">
        <f t="shared" si="31"/>
        <v>0</v>
      </c>
      <c r="E142" s="392">
        <v>0</v>
      </c>
      <c r="F142" s="392">
        <v>0</v>
      </c>
      <c r="G142" s="392">
        <v>0</v>
      </c>
      <c r="H142" s="392">
        <v>0</v>
      </c>
      <c r="I142" s="392">
        <v>0</v>
      </c>
      <c r="J142" s="394">
        <v>0</v>
      </c>
    </row>
    <row r="143" spans="1:10" ht="15.95" customHeight="1" x14ac:dyDescent="0.2">
      <c r="A143" s="1"/>
      <c r="B143" s="420"/>
      <c r="C143" s="391" t="s">
        <v>27</v>
      </c>
      <c r="D143" s="388">
        <f t="shared" si="31"/>
        <v>0</v>
      </c>
      <c r="E143" s="392">
        <v>0</v>
      </c>
      <c r="F143" s="392">
        <v>0</v>
      </c>
      <c r="G143" s="392">
        <v>0</v>
      </c>
      <c r="H143" s="392">
        <v>0</v>
      </c>
      <c r="I143" s="392">
        <v>0</v>
      </c>
      <c r="J143" s="433">
        <v>0</v>
      </c>
    </row>
    <row r="144" spans="1:10" ht="15.95" customHeight="1" x14ac:dyDescent="0.2">
      <c r="A144" s="1"/>
      <c r="B144" s="378" t="s">
        <v>198</v>
      </c>
      <c r="C144" s="434" t="s">
        <v>25</v>
      </c>
      <c r="D144" s="388">
        <f t="shared" si="31"/>
        <v>0</v>
      </c>
      <c r="E144" s="388">
        <f t="shared" ref="E144:J144" si="35">SUM(E145:E146)</f>
        <v>0</v>
      </c>
      <c r="F144" s="388">
        <f t="shared" si="35"/>
        <v>0</v>
      </c>
      <c r="G144" s="388">
        <f t="shared" si="35"/>
        <v>0</v>
      </c>
      <c r="H144" s="388">
        <f t="shared" si="35"/>
        <v>0</v>
      </c>
      <c r="I144" s="388">
        <f t="shared" si="35"/>
        <v>0</v>
      </c>
      <c r="J144" s="406">
        <f t="shared" si="35"/>
        <v>0</v>
      </c>
    </row>
    <row r="145" spans="1:12" ht="15.95" customHeight="1" x14ac:dyDescent="0.2">
      <c r="A145" s="1"/>
      <c r="B145" s="378"/>
      <c r="C145" s="391" t="s">
        <v>26</v>
      </c>
      <c r="D145" s="388">
        <f t="shared" si="31"/>
        <v>0</v>
      </c>
      <c r="E145" s="392">
        <v>0</v>
      </c>
      <c r="F145" s="392">
        <v>0</v>
      </c>
      <c r="G145" s="392">
        <v>0</v>
      </c>
      <c r="H145" s="392">
        <v>0</v>
      </c>
      <c r="I145" s="392">
        <v>0</v>
      </c>
      <c r="J145" s="394">
        <v>0</v>
      </c>
    </row>
    <row r="146" spans="1:12" ht="15.95" customHeight="1" x14ac:dyDescent="0.2">
      <c r="A146" s="1"/>
      <c r="B146" s="420"/>
      <c r="C146" s="391" t="s">
        <v>27</v>
      </c>
      <c r="D146" s="388">
        <f t="shared" si="31"/>
        <v>0</v>
      </c>
      <c r="E146" s="392">
        <v>0</v>
      </c>
      <c r="F146" s="392">
        <v>0</v>
      </c>
      <c r="G146" s="392">
        <v>0</v>
      </c>
      <c r="H146" s="392">
        <v>0</v>
      </c>
      <c r="I146" s="392">
        <v>0</v>
      </c>
      <c r="J146" s="433">
        <v>0</v>
      </c>
    </row>
    <row r="147" spans="1:12" ht="15.95" customHeight="1" x14ac:dyDescent="0.2">
      <c r="A147" s="1"/>
      <c r="B147" s="443">
        <v>12</v>
      </c>
      <c r="C147" s="448"/>
      <c r="D147" s="449"/>
      <c r="E147" s="450"/>
      <c r="F147" s="450"/>
      <c r="G147" s="450"/>
      <c r="H147" s="450"/>
      <c r="I147" s="450"/>
      <c r="J147" s="450"/>
    </row>
    <row r="148" spans="1:12" ht="15.95" customHeight="1" x14ac:dyDescent="0.2">
      <c r="A148" s="1"/>
      <c r="B148" s="427" t="s">
        <v>173</v>
      </c>
      <c r="C148" s="356" t="s">
        <v>23</v>
      </c>
      <c r="D148" s="375" t="s">
        <v>5</v>
      </c>
      <c r="E148" s="375" t="s">
        <v>108</v>
      </c>
      <c r="F148" s="375" t="s">
        <v>109</v>
      </c>
      <c r="G148" s="375" t="s">
        <v>110</v>
      </c>
      <c r="H148" s="375" t="s">
        <v>111</v>
      </c>
      <c r="I148" s="375" t="s">
        <v>112</v>
      </c>
      <c r="J148" s="428" t="s">
        <v>11</v>
      </c>
    </row>
    <row r="149" spans="1:12" ht="15.95" customHeight="1" x14ac:dyDescent="0.2">
      <c r="A149" s="1"/>
      <c r="B149" s="377" t="s">
        <v>12</v>
      </c>
      <c r="C149" s="432" t="s">
        <v>25</v>
      </c>
      <c r="D149" s="388">
        <f>SUM(E149:I149)</f>
        <v>0</v>
      </c>
      <c r="E149" s="388">
        <f t="shared" ref="E149:J149" si="36">SUM(E150:E151)</f>
        <v>0</v>
      </c>
      <c r="F149" s="388">
        <f t="shared" si="36"/>
        <v>0</v>
      </c>
      <c r="G149" s="388">
        <f t="shared" si="36"/>
        <v>0</v>
      </c>
      <c r="H149" s="388">
        <f t="shared" si="36"/>
        <v>0</v>
      </c>
      <c r="I149" s="388">
        <f t="shared" si="36"/>
        <v>0</v>
      </c>
      <c r="J149" s="406">
        <f t="shared" si="36"/>
        <v>0</v>
      </c>
    </row>
    <row r="150" spans="1:12" ht="15.95" customHeight="1" x14ac:dyDescent="0.2">
      <c r="A150" s="1"/>
      <c r="B150" s="353"/>
      <c r="C150" s="391" t="s">
        <v>26</v>
      </c>
      <c r="D150" s="388">
        <f>SUM(E150:I150)</f>
        <v>0</v>
      </c>
      <c r="E150" s="392">
        <v>0</v>
      </c>
      <c r="F150" s="392">
        <v>0</v>
      </c>
      <c r="G150" s="392">
        <v>0</v>
      </c>
      <c r="H150" s="392">
        <v>0</v>
      </c>
      <c r="I150" s="392">
        <v>0</v>
      </c>
      <c r="J150" s="394">
        <v>0</v>
      </c>
    </row>
    <row r="151" spans="1:12" ht="15.95" customHeight="1" x14ac:dyDescent="0.2">
      <c r="A151" s="1"/>
      <c r="B151" s="365"/>
      <c r="C151" s="391" t="s">
        <v>27</v>
      </c>
      <c r="D151" s="388">
        <f>SUM(E151:I151)</f>
        <v>0</v>
      </c>
      <c r="E151" s="392">
        <v>0</v>
      </c>
      <c r="F151" s="392">
        <v>0</v>
      </c>
      <c r="G151" s="392">
        <v>0</v>
      </c>
      <c r="H151" s="392">
        <v>0</v>
      </c>
      <c r="I151" s="392">
        <v>0</v>
      </c>
      <c r="J151" s="433">
        <v>0</v>
      </c>
    </row>
    <row r="152" spans="1:12" s="5" customFormat="1" ht="15.95" customHeight="1" thickBot="1" x14ac:dyDescent="0.25">
      <c r="B152" s="443">
        <v>13</v>
      </c>
      <c r="C152" s="405"/>
      <c r="D152" s="461"/>
      <c r="E152" s="462"/>
      <c r="F152" s="462"/>
      <c r="G152" s="462"/>
      <c r="H152" s="462"/>
      <c r="I152" s="462"/>
      <c r="J152" s="462"/>
    </row>
    <row r="153" spans="1:12" ht="15.95" customHeight="1" x14ac:dyDescent="0.2">
      <c r="A153" s="1"/>
      <c r="B153" s="463" t="s">
        <v>311</v>
      </c>
      <c r="C153" s="464"/>
      <c r="D153" s="464"/>
      <c r="E153" s="464"/>
      <c r="F153" s="464"/>
      <c r="G153" s="464"/>
      <c r="H153" s="464"/>
      <c r="I153" s="464"/>
      <c r="J153" s="465"/>
      <c r="K153" s="46"/>
      <c r="L153" s="46"/>
    </row>
    <row r="154" spans="1:12" ht="15.95" customHeight="1" x14ac:dyDescent="0.15">
      <c r="A154" s="1"/>
      <c r="B154" s="355" t="s">
        <v>117</v>
      </c>
      <c r="C154" s="460" t="s">
        <v>23</v>
      </c>
      <c r="D154" s="460" t="s">
        <v>5</v>
      </c>
      <c r="E154" s="460" t="s">
        <v>108</v>
      </c>
      <c r="F154" s="460" t="s">
        <v>109</v>
      </c>
      <c r="G154" s="460" t="s">
        <v>110</v>
      </c>
      <c r="H154" s="460" t="s">
        <v>111</v>
      </c>
      <c r="I154" s="357" t="s">
        <v>112</v>
      </c>
      <c r="J154" s="366" t="s">
        <v>11</v>
      </c>
      <c r="K154" s="80"/>
      <c r="L154" s="80"/>
    </row>
    <row r="155" spans="1:12" ht="15.95" customHeight="1" x14ac:dyDescent="0.15">
      <c r="A155" s="1"/>
      <c r="B155" s="349" t="s">
        <v>329</v>
      </c>
      <c r="C155" s="455" t="s">
        <v>25</v>
      </c>
      <c r="D155" s="456">
        <f>SUM(E155:J155)</f>
        <v>0</v>
      </c>
      <c r="E155" s="339">
        <f>SUM(E156:E157)</f>
        <v>0</v>
      </c>
      <c r="F155" s="339">
        <f>SUM(F156:F157)</f>
        <v>0</v>
      </c>
      <c r="G155" s="339">
        <f>SUM(G156:G157)</f>
        <v>0</v>
      </c>
      <c r="H155" s="339">
        <f>SUM(H156:H157)</f>
        <v>0</v>
      </c>
      <c r="I155" s="339">
        <f>SUM(I156:I157)</f>
        <v>0</v>
      </c>
      <c r="J155" s="348">
        <f>J157</f>
        <v>0</v>
      </c>
      <c r="K155" s="358"/>
      <c r="L155" s="358"/>
    </row>
    <row r="156" spans="1:12" ht="15.95" customHeight="1" x14ac:dyDescent="0.15">
      <c r="A156" s="1"/>
      <c r="B156" s="350"/>
      <c r="C156" s="457" t="s">
        <v>26</v>
      </c>
      <c r="D156" s="339">
        <f>SUM(E156:I156)</f>
        <v>0</v>
      </c>
      <c r="E156" s="340">
        <v>0</v>
      </c>
      <c r="F156" s="340">
        <v>0</v>
      </c>
      <c r="G156" s="340">
        <v>0</v>
      </c>
      <c r="H156" s="340">
        <v>0</v>
      </c>
      <c r="I156" s="341">
        <v>0</v>
      </c>
      <c r="J156" s="342">
        <v>0</v>
      </c>
      <c r="K156" s="80"/>
      <c r="L156" s="80"/>
    </row>
    <row r="157" spans="1:12" ht="15.95" customHeight="1" x14ac:dyDescent="0.15">
      <c r="A157" s="1"/>
      <c r="B157" s="351"/>
      <c r="C157" s="457" t="s">
        <v>27</v>
      </c>
      <c r="D157" s="339">
        <f>SUM(E157:J157)</f>
        <v>0</v>
      </c>
      <c r="E157" s="340">
        <v>0</v>
      </c>
      <c r="F157" s="340">
        <v>0</v>
      </c>
      <c r="G157" s="340">
        <v>0</v>
      </c>
      <c r="H157" s="340">
        <v>0</v>
      </c>
      <c r="I157" s="341">
        <v>0</v>
      </c>
      <c r="J157" s="458">
        <v>0</v>
      </c>
      <c r="K157" s="80"/>
      <c r="L157" s="80"/>
    </row>
    <row r="158" spans="1:12" ht="15.95" customHeight="1" x14ac:dyDescent="0.15">
      <c r="A158" s="1"/>
      <c r="B158" s="349" t="s">
        <v>330</v>
      </c>
      <c r="C158" s="455" t="s">
        <v>25</v>
      </c>
      <c r="D158" s="456">
        <f>SUM(E158:J158)</f>
        <v>0</v>
      </c>
      <c r="E158" s="339">
        <f>SUM(E159:E160)</f>
        <v>0</v>
      </c>
      <c r="F158" s="339">
        <f>SUM(F159:F160)</f>
        <v>0</v>
      </c>
      <c r="G158" s="339">
        <f>SUM(G159:G160)</f>
        <v>0</v>
      </c>
      <c r="H158" s="339">
        <f>SUM(H159:H160)</f>
        <v>0</v>
      </c>
      <c r="I158" s="339">
        <f>SUM(I159:I160)</f>
        <v>0</v>
      </c>
      <c r="J158" s="348">
        <f>J160</f>
        <v>0</v>
      </c>
      <c r="K158" s="358"/>
      <c r="L158" s="358"/>
    </row>
    <row r="159" spans="1:12" ht="15.95" customHeight="1" x14ac:dyDescent="0.15">
      <c r="A159" s="1"/>
      <c r="B159" s="350"/>
      <c r="C159" s="457" t="s">
        <v>26</v>
      </c>
      <c r="D159" s="339">
        <f>SUM(E159:I159)</f>
        <v>0</v>
      </c>
      <c r="E159" s="340">
        <v>0</v>
      </c>
      <c r="F159" s="340">
        <v>0</v>
      </c>
      <c r="G159" s="340">
        <v>0</v>
      </c>
      <c r="H159" s="340">
        <v>0</v>
      </c>
      <c r="I159" s="341">
        <v>0</v>
      </c>
      <c r="J159" s="342">
        <v>0</v>
      </c>
      <c r="K159" s="80"/>
      <c r="L159" s="80"/>
    </row>
    <row r="160" spans="1:12" ht="15.95" customHeight="1" x14ac:dyDescent="0.15">
      <c r="A160" s="1"/>
      <c r="B160" s="351"/>
      <c r="C160" s="457" t="s">
        <v>27</v>
      </c>
      <c r="D160" s="339">
        <f>SUM(E160:J160)</f>
        <v>0</v>
      </c>
      <c r="E160" s="340">
        <v>0</v>
      </c>
      <c r="F160" s="340">
        <v>0</v>
      </c>
      <c r="G160" s="340">
        <v>0</v>
      </c>
      <c r="H160" s="340">
        <v>0</v>
      </c>
      <c r="I160" s="341">
        <v>0</v>
      </c>
      <c r="J160" s="458">
        <v>0</v>
      </c>
      <c r="K160" s="80"/>
      <c r="L160" s="80"/>
    </row>
    <row r="161" spans="1:12" ht="15.95" customHeight="1" x14ac:dyDescent="0.15">
      <c r="A161" s="1"/>
      <c r="B161" s="349" t="s">
        <v>331</v>
      </c>
      <c r="C161" s="455" t="s">
        <v>25</v>
      </c>
      <c r="D161" s="456">
        <f>SUM(E161:J161)</f>
        <v>0</v>
      </c>
      <c r="E161" s="339">
        <f>SUM(E162:E163)</f>
        <v>0</v>
      </c>
      <c r="F161" s="339">
        <f>SUM(F162:F163)</f>
        <v>0</v>
      </c>
      <c r="G161" s="339">
        <f>SUM(G162:G163)</f>
        <v>0</v>
      </c>
      <c r="H161" s="339">
        <f>SUM(H162:H163)</f>
        <v>0</v>
      </c>
      <c r="I161" s="339">
        <f>SUM(I162:I163)</f>
        <v>0</v>
      </c>
      <c r="J161" s="348">
        <f>J163</f>
        <v>0</v>
      </c>
      <c r="K161" s="358"/>
      <c r="L161" s="358"/>
    </row>
    <row r="162" spans="1:12" ht="15.95" customHeight="1" x14ac:dyDescent="0.15">
      <c r="A162" s="1"/>
      <c r="B162" s="350"/>
      <c r="C162" s="457" t="s">
        <v>26</v>
      </c>
      <c r="D162" s="339">
        <f>SUM(E162:I162)</f>
        <v>0</v>
      </c>
      <c r="E162" s="340">
        <v>0</v>
      </c>
      <c r="F162" s="340">
        <v>0</v>
      </c>
      <c r="G162" s="340">
        <v>0</v>
      </c>
      <c r="H162" s="340">
        <v>0</v>
      </c>
      <c r="I162" s="341">
        <v>0</v>
      </c>
      <c r="J162" s="342">
        <v>0</v>
      </c>
      <c r="K162" s="54"/>
      <c r="L162" s="54"/>
    </row>
    <row r="163" spans="1:12" ht="15.95" customHeight="1" x14ac:dyDescent="0.15">
      <c r="A163" s="1"/>
      <c r="B163" s="351"/>
      <c r="C163" s="457" t="s">
        <v>27</v>
      </c>
      <c r="D163" s="339">
        <f>SUM(E163:J163)</f>
        <v>0</v>
      </c>
      <c r="E163" s="340">
        <v>0</v>
      </c>
      <c r="F163" s="340">
        <v>0</v>
      </c>
      <c r="G163" s="340">
        <v>0</v>
      </c>
      <c r="H163" s="340">
        <v>0</v>
      </c>
      <c r="I163" s="341">
        <v>0</v>
      </c>
      <c r="J163" s="458">
        <v>0</v>
      </c>
      <c r="K163" s="54"/>
      <c r="L163" s="54"/>
    </row>
    <row r="164" spans="1:12" ht="15.95" customHeight="1" x14ac:dyDescent="0.15">
      <c r="A164" s="1"/>
      <c r="B164" s="494" t="s">
        <v>312</v>
      </c>
      <c r="C164" s="455" t="s">
        <v>25</v>
      </c>
      <c r="D164" s="456">
        <f>SUM(E164:J164)</f>
        <v>0</v>
      </c>
      <c r="E164" s="339">
        <f>SUM(E165:E166)</f>
        <v>0</v>
      </c>
      <c r="F164" s="339">
        <f>SUM(F165:F166)</f>
        <v>0</v>
      </c>
      <c r="G164" s="339">
        <f>SUM(G165:G166)</f>
        <v>0</v>
      </c>
      <c r="H164" s="339">
        <f>SUM(H165:H166)</f>
        <v>0</v>
      </c>
      <c r="I164" s="339">
        <f>SUM(I165:I166)</f>
        <v>0</v>
      </c>
      <c r="J164" s="348">
        <f>J166</f>
        <v>0</v>
      </c>
      <c r="K164" s="80"/>
      <c r="L164" s="80"/>
    </row>
    <row r="165" spans="1:12" ht="15.95" customHeight="1" x14ac:dyDescent="0.15">
      <c r="A165" s="1"/>
      <c r="B165" s="495"/>
      <c r="C165" s="457" t="s">
        <v>26</v>
      </c>
      <c r="D165" s="339">
        <f>SUM(E165:I165)</f>
        <v>0</v>
      </c>
      <c r="E165" s="340">
        <v>0</v>
      </c>
      <c r="F165" s="340">
        <v>0</v>
      </c>
      <c r="G165" s="340">
        <v>0</v>
      </c>
      <c r="H165" s="340">
        <v>0</v>
      </c>
      <c r="I165" s="341">
        <v>0</v>
      </c>
      <c r="J165" s="342">
        <v>0</v>
      </c>
      <c r="K165" s="80"/>
      <c r="L165" s="80"/>
    </row>
    <row r="166" spans="1:12" ht="15.95" customHeight="1" thickBot="1" x14ac:dyDescent="0.2">
      <c r="A166" s="1"/>
      <c r="B166" s="496"/>
      <c r="C166" s="459" t="s">
        <v>27</v>
      </c>
      <c r="D166" s="343">
        <f>SUM(E166:J166)</f>
        <v>0</v>
      </c>
      <c r="E166" s="344">
        <v>0</v>
      </c>
      <c r="F166" s="344">
        <v>0</v>
      </c>
      <c r="G166" s="344">
        <v>0</v>
      </c>
      <c r="H166" s="344">
        <v>0</v>
      </c>
      <c r="I166" s="345">
        <v>0</v>
      </c>
      <c r="J166" s="346">
        <v>0</v>
      </c>
      <c r="K166" s="80"/>
      <c r="L166" s="80"/>
    </row>
    <row r="167" spans="1:12" ht="15.95" customHeight="1" thickBot="1" x14ac:dyDescent="0.25">
      <c r="A167" s="1"/>
      <c r="B167" s="443">
        <v>14</v>
      </c>
      <c r="C167" s="451"/>
      <c r="D167" s="452"/>
      <c r="E167" s="452"/>
      <c r="F167" s="452"/>
      <c r="G167" s="452"/>
      <c r="H167" s="452"/>
      <c r="I167" s="452"/>
      <c r="J167" s="452"/>
    </row>
    <row r="168" spans="1:12" ht="15.95" customHeight="1" x14ac:dyDescent="0.2">
      <c r="A168" s="1"/>
      <c r="B168" s="479" t="s">
        <v>313</v>
      </c>
      <c r="C168" s="480"/>
      <c r="D168" s="480"/>
      <c r="E168" s="480"/>
      <c r="F168" s="480"/>
      <c r="G168" s="480"/>
      <c r="H168" s="480"/>
      <c r="I168" s="480"/>
      <c r="J168" s="481"/>
    </row>
    <row r="169" spans="1:12" ht="15.95" customHeight="1" x14ac:dyDescent="0.2">
      <c r="A169" s="1"/>
      <c r="B169" s="417" t="s">
        <v>175</v>
      </c>
      <c r="C169" s="359" t="s">
        <v>23</v>
      </c>
      <c r="D169" s="360" t="s">
        <v>5</v>
      </c>
      <c r="E169" s="360" t="s">
        <v>108</v>
      </c>
      <c r="F169" s="360" t="s">
        <v>109</v>
      </c>
      <c r="G169" s="360" t="s">
        <v>110</v>
      </c>
      <c r="H169" s="360" t="s">
        <v>111</v>
      </c>
      <c r="I169" s="361" t="s">
        <v>112</v>
      </c>
      <c r="J169" s="362" t="s">
        <v>11</v>
      </c>
    </row>
    <row r="170" spans="1:12" ht="15.95" customHeight="1" x14ac:dyDescent="0.2">
      <c r="A170" s="1"/>
      <c r="B170" s="418" t="s">
        <v>13</v>
      </c>
      <c r="C170" s="387" t="s">
        <v>25</v>
      </c>
      <c r="D170" s="388">
        <f t="shared" ref="D170:D178" si="37">SUM(E170:I170)</f>
        <v>0</v>
      </c>
      <c r="E170" s="388">
        <f t="shared" ref="E170:J170" si="38">SUM(E171:E172)</f>
        <v>0</v>
      </c>
      <c r="F170" s="388">
        <f t="shared" si="38"/>
        <v>0</v>
      </c>
      <c r="G170" s="388">
        <f t="shared" si="38"/>
        <v>0</v>
      </c>
      <c r="H170" s="388">
        <f t="shared" si="38"/>
        <v>0</v>
      </c>
      <c r="I170" s="388">
        <f t="shared" si="38"/>
        <v>0</v>
      </c>
      <c r="J170" s="406">
        <f t="shared" si="38"/>
        <v>0</v>
      </c>
    </row>
    <row r="171" spans="1:12" ht="15.95" customHeight="1" x14ac:dyDescent="0.2">
      <c r="A171" s="1"/>
      <c r="B171" s="378"/>
      <c r="C171" s="391" t="s">
        <v>26</v>
      </c>
      <c r="D171" s="388">
        <f t="shared" si="37"/>
        <v>0</v>
      </c>
      <c r="E171" s="388">
        <f t="shared" ref="E171:I172" si="39">E174+E177</f>
        <v>0</v>
      </c>
      <c r="F171" s="388">
        <f t="shared" si="39"/>
        <v>0</v>
      </c>
      <c r="G171" s="388">
        <f t="shared" si="39"/>
        <v>0</v>
      </c>
      <c r="H171" s="388">
        <f t="shared" si="39"/>
        <v>0</v>
      </c>
      <c r="I171" s="388">
        <f t="shared" si="39"/>
        <v>0</v>
      </c>
      <c r="J171" s="419">
        <v>0</v>
      </c>
    </row>
    <row r="172" spans="1:12" ht="15.95" customHeight="1" x14ac:dyDescent="0.2">
      <c r="A172" s="1"/>
      <c r="B172" s="420"/>
      <c r="C172" s="391" t="s">
        <v>27</v>
      </c>
      <c r="D172" s="388">
        <f t="shared" si="37"/>
        <v>0</v>
      </c>
      <c r="E172" s="388">
        <f t="shared" si="39"/>
        <v>0</v>
      </c>
      <c r="F172" s="388">
        <f t="shared" si="39"/>
        <v>0</v>
      </c>
      <c r="G172" s="388">
        <f t="shared" si="39"/>
        <v>0</v>
      </c>
      <c r="H172" s="388">
        <f t="shared" si="39"/>
        <v>0</v>
      </c>
      <c r="I172" s="388">
        <f t="shared" si="39"/>
        <v>0</v>
      </c>
      <c r="J172" s="406">
        <f>J175+J178</f>
        <v>0</v>
      </c>
    </row>
    <row r="173" spans="1:12" ht="15.95" customHeight="1" x14ac:dyDescent="0.2">
      <c r="A173" s="1"/>
      <c r="B173" s="476" t="s">
        <v>314</v>
      </c>
      <c r="C173" s="387" t="s">
        <v>25</v>
      </c>
      <c r="D173" s="388">
        <f>SUM(E173:I173)</f>
        <v>0</v>
      </c>
      <c r="E173" s="388">
        <f t="shared" ref="E173:J173" si="40">SUM(E174:E175)</f>
        <v>0</v>
      </c>
      <c r="F173" s="388">
        <f t="shared" si="40"/>
        <v>0</v>
      </c>
      <c r="G173" s="388">
        <f t="shared" si="40"/>
        <v>0</v>
      </c>
      <c r="H173" s="388">
        <f t="shared" si="40"/>
        <v>0</v>
      </c>
      <c r="I173" s="388">
        <f t="shared" si="40"/>
        <v>0</v>
      </c>
      <c r="J173" s="406">
        <f t="shared" si="40"/>
        <v>0</v>
      </c>
    </row>
    <row r="174" spans="1:12" ht="15.95" customHeight="1" x14ac:dyDescent="0.2">
      <c r="A174" s="1"/>
      <c r="B174" s="477"/>
      <c r="C174" s="391" t="s">
        <v>26</v>
      </c>
      <c r="D174" s="388">
        <f t="shared" si="37"/>
        <v>0</v>
      </c>
      <c r="E174" s="392">
        <v>0</v>
      </c>
      <c r="F174" s="392">
        <v>0</v>
      </c>
      <c r="G174" s="392">
        <v>0</v>
      </c>
      <c r="H174" s="392">
        <v>0</v>
      </c>
      <c r="I174" s="411">
        <v>0</v>
      </c>
      <c r="J174" s="394">
        <v>0</v>
      </c>
    </row>
    <row r="175" spans="1:12" ht="15.95" customHeight="1" x14ac:dyDescent="0.2">
      <c r="A175" s="1"/>
      <c r="B175" s="482"/>
      <c r="C175" s="391" t="s">
        <v>27</v>
      </c>
      <c r="D175" s="388">
        <f t="shared" si="37"/>
        <v>0</v>
      </c>
      <c r="E175" s="392">
        <v>0</v>
      </c>
      <c r="F175" s="392">
        <v>0</v>
      </c>
      <c r="G175" s="392">
        <v>0</v>
      </c>
      <c r="H175" s="392">
        <v>0</v>
      </c>
      <c r="I175" s="411">
        <v>0</v>
      </c>
      <c r="J175" s="412">
        <v>0</v>
      </c>
    </row>
    <row r="176" spans="1:12" ht="15.95" customHeight="1" x14ac:dyDescent="0.2">
      <c r="A176" s="1"/>
      <c r="B176" s="377" t="s">
        <v>315</v>
      </c>
      <c r="C176" s="387" t="s">
        <v>25</v>
      </c>
      <c r="D176" s="388">
        <f>SUM(E176:I176)</f>
        <v>0</v>
      </c>
      <c r="E176" s="388">
        <f t="shared" ref="E176:J176" si="41">SUM(E177:E178)</f>
        <v>0</v>
      </c>
      <c r="F176" s="388">
        <f t="shared" si="41"/>
        <v>0</v>
      </c>
      <c r="G176" s="388">
        <f t="shared" si="41"/>
        <v>0</v>
      </c>
      <c r="H176" s="388">
        <f t="shared" si="41"/>
        <v>0</v>
      </c>
      <c r="I176" s="388">
        <f t="shared" si="41"/>
        <v>0</v>
      </c>
      <c r="J176" s="406">
        <f t="shared" si="41"/>
        <v>0</v>
      </c>
    </row>
    <row r="177" spans="1:10" ht="15.95" customHeight="1" x14ac:dyDescent="0.2">
      <c r="A177" s="1"/>
      <c r="B177" s="378"/>
      <c r="C177" s="391" t="s">
        <v>26</v>
      </c>
      <c r="D177" s="388">
        <f t="shared" si="37"/>
        <v>0</v>
      </c>
      <c r="E177" s="392">
        <v>0</v>
      </c>
      <c r="F177" s="392">
        <v>0</v>
      </c>
      <c r="G177" s="392">
        <v>0</v>
      </c>
      <c r="H177" s="392">
        <v>0</v>
      </c>
      <c r="I177" s="411">
        <v>0</v>
      </c>
      <c r="J177" s="394">
        <v>0</v>
      </c>
    </row>
    <row r="178" spans="1:10" ht="15.95" customHeight="1" x14ac:dyDescent="0.2">
      <c r="A178" s="1"/>
      <c r="B178" s="378"/>
      <c r="C178" s="391" t="s">
        <v>27</v>
      </c>
      <c r="D178" s="388">
        <f t="shared" si="37"/>
        <v>0</v>
      </c>
      <c r="E178" s="392">
        <v>0</v>
      </c>
      <c r="F178" s="392">
        <v>0</v>
      </c>
      <c r="G178" s="392">
        <v>0</v>
      </c>
      <c r="H178" s="392">
        <v>0</v>
      </c>
      <c r="I178" s="411">
        <v>0</v>
      </c>
      <c r="J178" s="412">
        <v>0</v>
      </c>
    </row>
    <row r="179" spans="1:10" ht="15.95" customHeight="1" x14ac:dyDescent="0.2">
      <c r="A179" s="1"/>
      <c r="B179" s="363" t="s">
        <v>176</v>
      </c>
      <c r="C179" s="359" t="s">
        <v>23</v>
      </c>
      <c r="D179" s="360" t="s">
        <v>5</v>
      </c>
      <c r="E179" s="360" t="s">
        <v>108</v>
      </c>
      <c r="F179" s="360" t="s">
        <v>109</v>
      </c>
      <c r="G179" s="360" t="s">
        <v>110</v>
      </c>
      <c r="H179" s="360" t="s">
        <v>111</v>
      </c>
      <c r="I179" s="361" t="s">
        <v>112</v>
      </c>
      <c r="J179" s="362" t="s">
        <v>11</v>
      </c>
    </row>
    <row r="180" spans="1:10" ht="15.95" customHeight="1" x14ac:dyDescent="0.2">
      <c r="A180" s="1"/>
      <c r="B180" s="418" t="s">
        <v>13</v>
      </c>
      <c r="C180" s="387" t="s">
        <v>25</v>
      </c>
      <c r="D180" s="388">
        <f t="shared" ref="D180:D188" si="42">SUM(E180:I180)</f>
        <v>0</v>
      </c>
      <c r="E180" s="388">
        <f t="shared" ref="E180:J180" si="43">SUM(E181:E182)</f>
        <v>0</v>
      </c>
      <c r="F180" s="388">
        <f t="shared" si="43"/>
        <v>0</v>
      </c>
      <c r="G180" s="388">
        <f t="shared" si="43"/>
        <v>0</v>
      </c>
      <c r="H180" s="388">
        <f t="shared" si="43"/>
        <v>0</v>
      </c>
      <c r="I180" s="388">
        <f t="shared" si="43"/>
        <v>0</v>
      </c>
      <c r="J180" s="406">
        <f t="shared" si="43"/>
        <v>0</v>
      </c>
    </row>
    <row r="181" spans="1:10" ht="15.95" customHeight="1" x14ac:dyDescent="0.2">
      <c r="A181" s="1"/>
      <c r="B181" s="378"/>
      <c r="C181" s="391" t="s">
        <v>26</v>
      </c>
      <c r="D181" s="388">
        <f t="shared" si="42"/>
        <v>0</v>
      </c>
      <c r="E181" s="388">
        <f t="shared" ref="E181:I182" si="44">E184+E187</f>
        <v>0</v>
      </c>
      <c r="F181" s="388">
        <f t="shared" si="44"/>
        <v>0</v>
      </c>
      <c r="G181" s="388">
        <f t="shared" si="44"/>
        <v>0</v>
      </c>
      <c r="H181" s="388">
        <f t="shared" si="44"/>
        <v>0</v>
      </c>
      <c r="I181" s="388">
        <f t="shared" si="44"/>
        <v>0</v>
      </c>
      <c r="J181" s="394">
        <v>0</v>
      </c>
    </row>
    <row r="182" spans="1:10" ht="15.95" customHeight="1" x14ac:dyDescent="0.2">
      <c r="A182" s="1"/>
      <c r="B182" s="420"/>
      <c r="C182" s="391" t="s">
        <v>27</v>
      </c>
      <c r="D182" s="388">
        <f t="shared" si="42"/>
        <v>0</v>
      </c>
      <c r="E182" s="388">
        <f t="shared" si="44"/>
        <v>0</v>
      </c>
      <c r="F182" s="388">
        <f t="shared" si="44"/>
        <v>0</v>
      </c>
      <c r="G182" s="388">
        <f t="shared" si="44"/>
        <v>0</v>
      </c>
      <c r="H182" s="388">
        <f t="shared" si="44"/>
        <v>0</v>
      </c>
      <c r="I182" s="388">
        <f t="shared" si="44"/>
        <v>0</v>
      </c>
      <c r="J182" s="406">
        <f>J185+J188</f>
        <v>0</v>
      </c>
    </row>
    <row r="183" spans="1:10" ht="15.95" customHeight="1" x14ac:dyDescent="0.2">
      <c r="A183" s="1"/>
      <c r="B183" s="377" t="s">
        <v>316</v>
      </c>
      <c r="C183" s="387" t="s">
        <v>25</v>
      </c>
      <c r="D183" s="388">
        <f>SUM(E183:I183)</f>
        <v>0</v>
      </c>
      <c r="E183" s="388">
        <f t="shared" ref="E183:J183" si="45">SUM(E184:E185)</f>
        <v>0</v>
      </c>
      <c r="F183" s="388">
        <f t="shared" si="45"/>
        <v>0</v>
      </c>
      <c r="G183" s="388">
        <f t="shared" si="45"/>
        <v>0</v>
      </c>
      <c r="H183" s="388">
        <f t="shared" si="45"/>
        <v>0</v>
      </c>
      <c r="I183" s="388">
        <f t="shared" si="45"/>
        <v>0</v>
      </c>
      <c r="J183" s="406">
        <f t="shared" si="45"/>
        <v>0</v>
      </c>
    </row>
    <row r="184" spans="1:10" ht="15.95" customHeight="1" x14ac:dyDescent="0.2">
      <c r="A184" s="1"/>
      <c r="B184" s="378"/>
      <c r="C184" s="391" t="s">
        <v>26</v>
      </c>
      <c r="D184" s="388">
        <f t="shared" si="42"/>
        <v>0</v>
      </c>
      <c r="E184" s="392">
        <v>0</v>
      </c>
      <c r="F184" s="392">
        <v>0</v>
      </c>
      <c r="G184" s="392">
        <v>0</v>
      </c>
      <c r="H184" s="392">
        <v>0</v>
      </c>
      <c r="I184" s="411">
        <v>0</v>
      </c>
      <c r="J184" s="394">
        <v>0</v>
      </c>
    </row>
    <row r="185" spans="1:10" ht="15.95" customHeight="1" x14ac:dyDescent="0.2">
      <c r="A185" s="1"/>
      <c r="B185" s="420"/>
      <c r="C185" s="391" t="s">
        <v>27</v>
      </c>
      <c r="D185" s="388">
        <f t="shared" si="42"/>
        <v>0</v>
      </c>
      <c r="E185" s="392">
        <v>0</v>
      </c>
      <c r="F185" s="392">
        <v>0</v>
      </c>
      <c r="G185" s="392">
        <v>0</v>
      </c>
      <c r="H185" s="392">
        <v>0</v>
      </c>
      <c r="I185" s="411">
        <v>0</v>
      </c>
      <c r="J185" s="412">
        <v>0</v>
      </c>
    </row>
    <row r="186" spans="1:10" ht="15.95" customHeight="1" x14ac:dyDescent="0.2">
      <c r="A186" s="1"/>
      <c r="B186" s="377" t="s">
        <v>317</v>
      </c>
      <c r="C186" s="387" t="s">
        <v>25</v>
      </c>
      <c r="D186" s="388">
        <f>SUM(E186:I186)</f>
        <v>0</v>
      </c>
      <c r="E186" s="388">
        <f t="shared" ref="E186:J186" si="46">SUM(E187:E188)</f>
        <v>0</v>
      </c>
      <c r="F186" s="388">
        <f t="shared" si="46"/>
        <v>0</v>
      </c>
      <c r="G186" s="388">
        <f t="shared" si="46"/>
        <v>0</v>
      </c>
      <c r="H186" s="388">
        <f t="shared" si="46"/>
        <v>0</v>
      </c>
      <c r="I186" s="388">
        <f t="shared" si="46"/>
        <v>0</v>
      </c>
      <c r="J186" s="406">
        <f t="shared" si="46"/>
        <v>0</v>
      </c>
    </row>
    <row r="187" spans="1:10" ht="15.95" customHeight="1" x14ac:dyDescent="0.2">
      <c r="A187" s="1"/>
      <c r="B187" s="378"/>
      <c r="C187" s="391" t="s">
        <v>26</v>
      </c>
      <c r="D187" s="388">
        <f t="shared" si="42"/>
        <v>0</v>
      </c>
      <c r="E187" s="392">
        <v>0</v>
      </c>
      <c r="F187" s="392">
        <v>0</v>
      </c>
      <c r="G187" s="392">
        <v>0</v>
      </c>
      <c r="H187" s="392">
        <v>0</v>
      </c>
      <c r="I187" s="411">
        <v>0</v>
      </c>
      <c r="J187" s="394">
        <v>0</v>
      </c>
    </row>
    <row r="188" spans="1:10" ht="15.95" customHeight="1" x14ac:dyDescent="0.2">
      <c r="A188" s="1"/>
      <c r="B188" s="420"/>
      <c r="C188" s="391" t="s">
        <v>27</v>
      </c>
      <c r="D188" s="388">
        <f t="shared" si="42"/>
        <v>0</v>
      </c>
      <c r="E188" s="392">
        <v>0</v>
      </c>
      <c r="F188" s="392">
        <v>0</v>
      </c>
      <c r="G188" s="392">
        <v>0</v>
      </c>
      <c r="H188" s="392">
        <v>0</v>
      </c>
      <c r="I188" s="411">
        <v>0</v>
      </c>
      <c r="J188" s="412">
        <v>0</v>
      </c>
    </row>
    <row r="189" spans="1:10" ht="15.95" customHeight="1" x14ac:dyDescent="0.2">
      <c r="A189" s="1"/>
      <c r="B189" s="363" t="s">
        <v>177</v>
      </c>
      <c r="C189" s="359" t="s">
        <v>23</v>
      </c>
      <c r="D189" s="360" t="s">
        <v>5</v>
      </c>
      <c r="E189" s="360" t="s">
        <v>108</v>
      </c>
      <c r="F189" s="360" t="s">
        <v>109</v>
      </c>
      <c r="G189" s="360" t="s">
        <v>110</v>
      </c>
      <c r="H189" s="360" t="s">
        <v>111</v>
      </c>
      <c r="I189" s="361" t="s">
        <v>112</v>
      </c>
      <c r="J189" s="362" t="s">
        <v>11</v>
      </c>
    </row>
    <row r="190" spans="1:10" ht="15.95" customHeight="1" x14ac:dyDescent="0.2">
      <c r="A190" s="1"/>
      <c r="B190" s="378" t="s">
        <v>178</v>
      </c>
      <c r="C190" s="387" t="s">
        <v>25</v>
      </c>
      <c r="D190" s="388">
        <f>SUM(E190:I190)</f>
        <v>0</v>
      </c>
      <c r="E190" s="388">
        <f t="shared" ref="E190:J190" si="47">SUM(E191:E192)</f>
        <v>0</v>
      </c>
      <c r="F190" s="388">
        <f t="shared" si="47"/>
        <v>0</v>
      </c>
      <c r="G190" s="388">
        <f t="shared" si="47"/>
        <v>0</v>
      </c>
      <c r="H190" s="388">
        <f t="shared" si="47"/>
        <v>0</v>
      </c>
      <c r="I190" s="388">
        <f t="shared" si="47"/>
        <v>0</v>
      </c>
      <c r="J190" s="406">
        <f t="shared" si="47"/>
        <v>0</v>
      </c>
    </row>
    <row r="191" spans="1:10" ht="15.95" customHeight="1" x14ac:dyDescent="0.2">
      <c r="A191" s="1"/>
      <c r="B191" s="378"/>
      <c r="C191" s="391" t="s">
        <v>26</v>
      </c>
      <c r="D191" s="388">
        <f>SUM(E191:I191)</f>
        <v>0</v>
      </c>
      <c r="E191" s="392">
        <v>0</v>
      </c>
      <c r="F191" s="392">
        <v>0</v>
      </c>
      <c r="G191" s="392">
        <v>0</v>
      </c>
      <c r="H191" s="392">
        <v>0</v>
      </c>
      <c r="I191" s="411">
        <v>0</v>
      </c>
      <c r="J191" s="394">
        <v>0</v>
      </c>
    </row>
    <row r="192" spans="1:10" ht="15.95" customHeight="1" x14ac:dyDescent="0.2">
      <c r="A192" s="1"/>
      <c r="B192" s="420"/>
      <c r="C192" s="391" t="s">
        <v>27</v>
      </c>
      <c r="D192" s="388">
        <f>SUM(E192:I192)</f>
        <v>0</v>
      </c>
      <c r="E192" s="392">
        <v>0</v>
      </c>
      <c r="F192" s="392">
        <v>0</v>
      </c>
      <c r="G192" s="392">
        <v>0</v>
      </c>
      <c r="H192" s="392">
        <v>0</v>
      </c>
      <c r="I192" s="411">
        <v>0</v>
      </c>
      <c r="J192" s="412">
        <v>0</v>
      </c>
    </row>
    <row r="193" spans="1:10" ht="15.95" customHeight="1" x14ac:dyDescent="0.2">
      <c r="A193" s="1"/>
      <c r="B193" s="378" t="s">
        <v>318</v>
      </c>
      <c r="C193" s="387" t="s">
        <v>25</v>
      </c>
      <c r="D193" s="388">
        <f>SUM(E193:I193)</f>
        <v>0</v>
      </c>
      <c r="E193" s="388">
        <f t="shared" ref="E193:J193" si="48">SUM(E194:E195)</f>
        <v>0</v>
      </c>
      <c r="F193" s="388">
        <f t="shared" si="48"/>
        <v>0</v>
      </c>
      <c r="G193" s="388">
        <f t="shared" si="48"/>
        <v>0</v>
      </c>
      <c r="H193" s="388">
        <f t="shared" si="48"/>
        <v>0</v>
      </c>
      <c r="I193" s="388">
        <f t="shared" si="48"/>
        <v>0</v>
      </c>
      <c r="J193" s="406">
        <f t="shared" si="48"/>
        <v>0</v>
      </c>
    </row>
    <row r="194" spans="1:10" ht="15.95" customHeight="1" x14ac:dyDescent="0.2">
      <c r="A194" s="1"/>
      <c r="B194" s="378"/>
      <c r="C194" s="391" t="s">
        <v>26</v>
      </c>
      <c r="D194" s="388">
        <f t="shared" ref="D194:D204" si="49">SUM(E194:I194)</f>
        <v>0</v>
      </c>
      <c r="E194" s="392">
        <v>0</v>
      </c>
      <c r="F194" s="392">
        <v>0</v>
      </c>
      <c r="G194" s="392">
        <v>0</v>
      </c>
      <c r="H194" s="392">
        <v>0</v>
      </c>
      <c r="I194" s="411">
        <v>0</v>
      </c>
      <c r="J194" s="394">
        <v>0</v>
      </c>
    </row>
    <row r="195" spans="1:10" ht="15.95" customHeight="1" x14ac:dyDescent="0.2">
      <c r="A195" s="1"/>
      <c r="B195" s="378"/>
      <c r="C195" s="391" t="s">
        <v>27</v>
      </c>
      <c r="D195" s="388">
        <f t="shared" si="49"/>
        <v>0</v>
      </c>
      <c r="E195" s="392">
        <v>0</v>
      </c>
      <c r="F195" s="392">
        <v>0</v>
      </c>
      <c r="G195" s="392">
        <v>0</v>
      </c>
      <c r="H195" s="392">
        <v>0</v>
      </c>
      <c r="I195" s="411">
        <v>0</v>
      </c>
      <c r="J195" s="412">
        <v>0</v>
      </c>
    </row>
    <row r="196" spans="1:10" ht="15.95" customHeight="1" x14ac:dyDescent="0.2">
      <c r="A196" s="1"/>
      <c r="B196" s="377" t="s">
        <v>319</v>
      </c>
      <c r="C196" s="387" t="s">
        <v>25</v>
      </c>
      <c r="D196" s="388">
        <f>SUM(E196:I196)</f>
        <v>0</v>
      </c>
      <c r="E196" s="388">
        <f t="shared" ref="E196:J196" si="50">SUM(E197:E198)</f>
        <v>0</v>
      </c>
      <c r="F196" s="388">
        <f t="shared" si="50"/>
        <v>0</v>
      </c>
      <c r="G196" s="388">
        <f t="shared" si="50"/>
        <v>0</v>
      </c>
      <c r="H196" s="388">
        <f t="shared" si="50"/>
        <v>0</v>
      </c>
      <c r="I196" s="388">
        <f t="shared" si="50"/>
        <v>0</v>
      </c>
      <c r="J196" s="406">
        <f t="shared" si="50"/>
        <v>0</v>
      </c>
    </row>
    <row r="197" spans="1:10" ht="15.95" customHeight="1" x14ac:dyDescent="0.2">
      <c r="A197" s="1"/>
      <c r="B197" s="421"/>
      <c r="C197" s="391" t="s">
        <v>26</v>
      </c>
      <c r="D197" s="388">
        <f t="shared" si="49"/>
        <v>0</v>
      </c>
      <c r="E197" s="392">
        <v>0</v>
      </c>
      <c r="F197" s="392">
        <v>0</v>
      </c>
      <c r="G197" s="392">
        <v>0</v>
      </c>
      <c r="H197" s="392">
        <v>0</v>
      </c>
      <c r="I197" s="411">
        <v>0</v>
      </c>
      <c r="J197" s="394">
        <v>0</v>
      </c>
    </row>
    <row r="198" spans="1:10" ht="15.95" customHeight="1" x14ac:dyDescent="0.2">
      <c r="A198" s="1"/>
      <c r="B198" s="420"/>
      <c r="C198" s="391" t="s">
        <v>27</v>
      </c>
      <c r="D198" s="388">
        <f t="shared" si="49"/>
        <v>0</v>
      </c>
      <c r="E198" s="392">
        <v>0</v>
      </c>
      <c r="F198" s="392">
        <v>0</v>
      </c>
      <c r="G198" s="392">
        <v>0</v>
      </c>
      <c r="H198" s="392">
        <v>0</v>
      </c>
      <c r="I198" s="411">
        <v>0</v>
      </c>
      <c r="J198" s="412">
        <v>0</v>
      </c>
    </row>
    <row r="199" spans="1:10" ht="15.95" customHeight="1" x14ac:dyDescent="0.2">
      <c r="A199" s="1"/>
      <c r="B199" s="377" t="s">
        <v>320</v>
      </c>
      <c r="C199" s="387" t="s">
        <v>25</v>
      </c>
      <c r="D199" s="388">
        <f>SUM(E199:I199)</f>
        <v>0</v>
      </c>
      <c r="E199" s="388">
        <f t="shared" ref="E199:J199" si="51">SUM(E200:E201)</f>
        <v>0</v>
      </c>
      <c r="F199" s="388">
        <f t="shared" si="51"/>
        <v>0</v>
      </c>
      <c r="G199" s="388">
        <f t="shared" si="51"/>
        <v>0</v>
      </c>
      <c r="H199" s="388">
        <f t="shared" si="51"/>
        <v>0</v>
      </c>
      <c r="I199" s="388">
        <f t="shared" si="51"/>
        <v>0</v>
      </c>
      <c r="J199" s="406">
        <f t="shared" si="51"/>
        <v>0</v>
      </c>
    </row>
    <row r="200" spans="1:10" ht="15.95" customHeight="1" x14ac:dyDescent="0.2">
      <c r="A200" s="1"/>
      <c r="B200" s="421"/>
      <c r="C200" s="391" t="s">
        <v>26</v>
      </c>
      <c r="D200" s="388">
        <f>SUM(E200:I200)</f>
        <v>0</v>
      </c>
      <c r="E200" s="392">
        <v>0</v>
      </c>
      <c r="F200" s="392">
        <v>0</v>
      </c>
      <c r="G200" s="392">
        <v>0</v>
      </c>
      <c r="H200" s="392">
        <v>0</v>
      </c>
      <c r="I200" s="411">
        <v>0</v>
      </c>
      <c r="J200" s="394">
        <v>0</v>
      </c>
    </row>
    <row r="201" spans="1:10" ht="15.95" customHeight="1" x14ac:dyDescent="0.2">
      <c r="A201" s="1"/>
      <c r="B201" s="420"/>
      <c r="C201" s="391" t="s">
        <v>27</v>
      </c>
      <c r="D201" s="388">
        <f>SUM(E201:I201)</f>
        <v>0</v>
      </c>
      <c r="E201" s="392">
        <v>0</v>
      </c>
      <c r="F201" s="392">
        <v>0</v>
      </c>
      <c r="G201" s="392">
        <v>0</v>
      </c>
      <c r="H201" s="392">
        <v>0</v>
      </c>
      <c r="I201" s="411">
        <v>0</v>
      </c>
      <c r="J201" s="412">
        <v>0</v>
      </c>
    </row>
    <row r="202" spans="1:10" ht="15.95" customHeight="1" x14ac:dyDescent="0.2">
      <c r="A202" s="1"/>
      <c r="B202" s="483" t="s">
        <v>312</v>
      </c>
      <c r="C202" s="422" t="s">
        <v>25</v>
      </c>
      <c r="D202" s="388">
        <f>SUM(E202:I202)</f>
        <v>0</v>
      </c>
      <c r="E202" s="388">
        <f t="shared" ref="E202:J202" si="52">SUM(E203:E204)</f>
        <v>0</v>
      </c>
      <c r="F202" s="388">
        <f t="shared" si="52"/>
        <v>0</v>
      </c>
      <c r="G202" s="388">
        <f t="shared" si="52"/>
        <v>0</v>
      </c>
      <c r="H202" s="388">
        <f t="shared" si="52"/>
        <v>0</v>
      </c>
      <c r="I202" s="388">
        <f t="shared" si="52"/>
        <v>0</v>
      </c>
      <c r="J202" s="406">
        <f t="shared" si="52"/>
        <v>0</v>
      </c>
    </row>
    <row r="203" spans="1:10" ht="15.95" customHeight="1" x14ac:dyDescent="0.2">
      <c r="A203" s="1"/>
      <c r="B203" s="483"/>
      <c r="C203" s="391" t="s">
        <v>26</v>
      </c>
      <c r="D203" s="388">
        <f t="shared" si="49"/>
        <v>0</v>
      </c>
      <c r="E203" s="392">
        <v>0</v>
      </c>
      <c r="F203" s="392">
        <v>0</v>
      </c>
      <c r="G203" s="392">
        <v>0</v>
      </c>
      <c r="H203" s="392">
        <v>0</v>
      </c>
      <c r="I203" s="411">
        <v>0</v>
      </c>
      <c r="J203" s="394">
        <v>0</v>
      </c>
    </row>
    <row r="204" spans="1:10" ht="15.95" customHeight="1" thickBot="1" x14ac:dyDescent="0.25">
      <c r="A204" s="1"/>
      <c r="B204" s="484"/>
      <c r="C204" s="395" t="s">
        <v>27</v>
      </c>
      <c r="D204" s="396">
        <f t="shared" si="49"/>
        <v>0</v>
      </c>
      <c r="E204" s="397">
        <v>0</v>
      </c>
      <c r="F204" s="397">
        <v>0</v>
      </c>
      <c r="G204" s="397">
        <v>0</v>
      </c>
      <c r="H204" s="397">
        <v>0</v>
      </c>
      <c r="I204" s="413">
        <v>0</v>
      </c>
      <c r="J204" s="414">
        <v>0</v>
      </c>
    </row>
    <row r="205" spans="1:10" ht="15.95" customHeight="1" x14ac:dyDescent="0.2">
      <c r="A205" s="1"/>
      <c r="B205" s="443">
        <v>15</v>
      </c>
      <c r="C205" s="23"/>
      <c r="D205" s="52"/>
      <c r="E205" s="57"/>
      <c r="F205" s="435"/>
      <c r="G205" s="435"/>
      <c r="H205" s="52"/>
      <c r="I205" s="52"/>
      <c r="J205" s="52"/>
    </row>
    <row r="206" spans="1:10" ht="15.95" customHeight="1" x14ac:dyDescent="0.2">
      <c r="A206" s="1"/>
      <c r="B206" s="497" t="s">
        <v>202</v>
      </c>
      <c r="C206" s="497"/>
      <c r="D206" s="335"/>
      <c r="E206" s="57"/>
      <c r="F206" s="52"/>
      <c r="G206" s="52"/>
      <c r="H206" s="52"/>
      <c r="I206" s="52"/>
      <c r="J206" s="52"/>
    </row>
    <row r="207" spans="1:10" ht="15.95" customHeight="1" x14ac:dyDescent="0.2">
      <c r="A207" s="1"/>
      <c r="B207" s="436" t="s">
        <v>203</v>
      </c>
      <c r="C207" s="437"/>
      <c r="D207" s="416"/>
      <c r="E207" s="57"/>
      <c r="F207" s="57"/>
      <c r="G207" s="57"/>
      <c r="H207" s="57"/>
      <c r="I207" s="57"/>
      <c r="J207" s="57"/>
    </row>
    <row r="208" spans="1:10" ht="15.95" customHeight="1" x14ac:dyDescent="0.2">
      <c r="A208" s="1"/>
      <c r="B208" s="436" t="s">
        <v>204</v>
      </c>
      <c r="C208" s="437"/>
      <c r="D208" s="416"/>
      <c r="E208" s="57"/>
      <c r="F208" s="57"/>
      <c r="G208" s="57"/>
      <c r="H208" s="57"/>
      <c r="I208" s="57"/>
      <c r="J208" s="57"/>
    </row>
    <row r="209" spans="1:11" ht="15.95" customHeight="1" x14ac:dyDescent="0.2">
      <c r="A209" s="1"/>
      <c r="B209" s="497" t="s">
        <v>179</v>
      </c>
      <c r="C209" s="497"/>
      <c r="D209" s="438"/>
      <c r="E209" s="57"/>
      <c r="F209" s="57"/>
      <c r="G209" s="57"/>
      <c r="H209" s="57"/>
      <c r="I209" s="57"/>
      <c r="J209" s="57"/>
    </row>
    <row r="210" spans="1:11" ht="15.95" customHeight="1" x14ac:dyDescent="0.2">
      <c r="A210" s="1"/>
      <c r="B210" s="436" t="s">
        <v>199</v>
      </c>
      <c r="C210" s="437"/>
      <c r="D210" s="416"/>
      <c r="E210" s="57"/>
      <c r="F210" s="57"/>
      <c r="G210" s="57"/>
      <c r="H210" s="438"/>
      <c r="I210" s="57"/>
      <c r="J210" s="57"/>
    </row>
    <row r="211" spans="1:11" ht="15.95" customHeight="1" x14ac:dyDescent="0.2">
      <c r="A211" s="1"/>
      <c r="B211" s="436" t="s">
        <v>200</v>
      </c>
      <c r="C211" s="437"/>
      <c r="D211" s="416"/>
      <c r="E211" s="57"/>
      <c r="F211" s="57"/>
      <c r="G211" s="57"/>
      <c r="H211" s="57"/>
      <c r="I211" s="57"/>
      <c r="J211" s="57"/>
    </row>
    <row r="212" spans="1:11" ht="15.95" customHeight="1" x14ac:dyDescent="0.2">
      <c r="A212" s="1"/>
      <c r="B212" s="436" t="s">
        <v>201</v>
      </c>
      <c r="C212" s="437"/>
      <c r="D212" s="416"/>
      <c r="E212" s="57"/>
      <c r="F212" s="57"/>
      <c r="G212" s="57"/>
      <c r="H212" s="57"/>
      <c r="I212" s="57"/>
      <c r="J212" s="57"/>
    </row>
    <row r="213" spans="1:11" ht="15.95" customHeight="1" x14ac:dyDescent="0.2">
      <c r="A213" s="1"/>
      <c r="B213" s="497" t="s">
        <v>205</v>
      </c>
      <c r="C213" s="497"/>
      <c r="D213" s="438"/>
      <c r="E213" s="57"/>
      <c r="F213" s="57"/>
      <c r="G213" s="57"/>
      <c r="H213" s="57"/>
      <c r="I213" s="57"/>
      <c r="J213" s="57"/>
    </row>
    <row r="214" spans="1:11" ht="15.95" customHeight="1" x14ac:dyDescent="0.2">
      <c r="A214" s="1"/>
      <c r="B214" s="439" t="s">
        <v>17</v>
      </c>
      <c r="C214" s="437"/>
      <c r="D214" s="416"/>
      <c r="E214" s="57"/>
      <c r="F214" s="57"/>
      <c r="G214" s="57"/>
      <c r="H214" s="57"/>
      <c r="I214" s="57"/>
      <c r="J214" s="57"/>
    </row>
    <row r="215" spans="1:11" ht="15.95" customHeight="1" x14ac:dyDescent="0.2">
      <c r="A215" s="1"/>
      <c r="B215" s="439" t="s">
        <v>18</v>
      </c>
      <c r="C215" s="437"/>
      <c r="D215" s="416"/>
      <c r="E215" s="57"/>
      <c r="F215" s="57"/>
      <c r="G215" s="57"/>
      <c r="H215" s="57"/>
      <c r="I215" s="57"/>
      <c r="J215" s="57"/>
    </row>
    <row r="216" spans="1:11" ht="15.95" customHeight="1" x14ac:dyDescent="0.2">
      <c r="A216" s="1"/>
      <c r="B216" s="439" t="s">
        <v>19</v>
      </c>
      <c r="C216" s="437"/>
      <c r="D216" s="416"/>
      <c r="E216" s="57"/>
      <c r="F216" s="57"/>
      <c r="G216" s="57"/>
      <c r="H216" s="57"/>
      <c r="I216" s="57"/>
      <c r="J216" s="57"/>
    </row>
    <row r="217" spans="1:11" ht="15.95" customHeight="1" x14ac:dyDescent="0.2">
      <c r="A217" s="1"/>
      <c r="B217" s="46"/>
      <c r="C217" s="46"/>
      <c r="D217" s="38"/>
      <c r="E217" s="57"/>
      <c r="F217" s="57"/>
      <c r="G217" s="57"/>
      <c r="H217" s="57"/>
      <c r="I217" s="57"/>
      <c r="J217" s="57"/>
    </row>
    <row r="218" spans="1:11" ht="17.25" customHeight="1" x14ac:dyDescent="0.2">
      <c r="D218" s="22"/>
      <c r="E218" s="9"/>
      <c r="H218" s="36"/>
    </row>
    <row r="219" spans="1:11" ht="17.25" customHeight="1" x14ac:dyDescent="0.2">
      <c r="B219" s="474" t="s">
        <v>20</v>
      </c>
      <c r="C219" s="474"/>
      <c r="D219" s="474"/>
      <c r="E219" s="474"/>
      <c r="F219" s="474"/>
      <c r="G219" s="474"/>
      <c r="H219" s="474"/>
      <c r="I219" s="474"/>
      <c r="J219" s="474"/>
      <c r="K219" s="3"/>
    </row>
    <row r="220" spans="1:11" ht="17.25" customHeight="1" x14ac:dyDescent="0.2">
      <c r="B220" s="4" t="s">
        <v>21</v>
      </c>
      <c r="C220" s="4"/>
    </row>
    <row r="221" spans="1:11" s="5" customFormat="1" ht="17.25" customHeight="1" x14ac:dyDescent="0.2">
      <c r="A221" s="324"/>
      <c r="B221" s="382" t="s">
        <v>22</v>
      </c>
      <c r="C221" s="6" t="s">
        <v>23</v>
      </c>
      <c r="D221" s="6" t="s">
        <v>5</v>
      </c>
      <c r="E221" s="382" t="s">
        <v>6</v>
      </c>
      <c r="F221" s="382" t="s">
        <v>7</v>
      </c>
      <c r="G221" s="382" t="s">
        <v>8</v>
      </c>
      <c r="H221" s="382" t="s">
        <v>9</v>
      </c>
      <c r="I221" s="7" t="s">
        <v>10</v>
      </c>
      <c r="J221" s="40" t="s">
        <v>11</v>
      </c>
    </row>
    <row r="222" spans="1:11" ht="17.25" customHeight="1" x14ac:dyDescent="0.2">
      <c r="B222" s="25" t="s">
        <v>24</v>
      </c>
      <c r="C222" s="24" t="s">
        <v>25</v>
      </c>
      <c r="D222" s="11"/>
      <c r="E222" s="11"/>
      <c r="F222" s="11"/>
      <c r="G222" s="11"/>
      <c r="H222" s="11"/>
      <c r="I222" s="12"/>
      <c r="J222" s="13"/>
    </row>
    <row r="223" spans="1:11" ht="17.25" customHeight="1" x14ac:dyDescent="0.2">
      <c r="B223" s="10"/>
      <c r="C223" s="14" t="s">
        <v>26</v>
      </c>
      <c r="D223" s="14"/>
      <c r="E223" s="14"/>
      <c r="F223" s="14"/>
      <c r="G223" s="14"/>
      <c r="H223" s="14"/>
      <c r="I223" s="15"/>
      <c r="J223" s="41"/>
    </row>
    <row r="224" spans="1:11" ht="17.25" customHeight="1" x14ac:dyDescent="0.2">
      <c r="B224" s="10"/>
      <c r="C224" s="14" t="s">
        <v>27</v>
      </c>
      <c r="D224" s="14"/>
      <c r="E224" s="14"/>
      <c r="F224" s="14"/>
      <c r="G224" s="14"/>
      <c r="H224" s="14"/>
      <c r="I224" s="15"/>
      <c r="J224" s="16"/>
    </row>
    <row r="225" spans="2:10" ht="17.25" customHeight="1" x14ac:dyDescent="0.2">
      <c r="B225" s="10" t="s">
        <v>28</v>
      </c>
      <c r="C225" s="42" t="s">
        <v>25</v>
      </c>
      <c r="D225" s="14"/>
      <c r="E225" s="14"/>
      <c r="F225" s="14"/>
      <c r="G225" s="14"/>
      <c r="H225" s="14"/>
      <c r="I225" s="15"/>
      <c r="J225" s="16"/>
    </row>
    <row r="226" spans="2:10" ht="17.25" customHeight="1" x14ac:dyDescent="0.2">
      <c r="B226" s="10"/>
      <c r="C226" s="14" t="s">
        <v>26</v>
      </c>
      <c r="D226" s="14"/>
      <c r="E226" s="14"/>
      <c r="F226" s="14"/>
      <c r="G226" s="14"/>
      <c r="H226" s="14"/>
      <c r="I226" s="15"/>
      <c r="J226" s="41"/>
    </row>
    <row r="227" spans="2:10" ht="17.25" customHeight="1" x14ac:dyDescent="0.2">
      <c r="B227" s="10"/>
      <c r="C227" s="14" t="s">
        <v>27</v>
      </c>
      <c r="D227" s="14"/>
      <c r="E227" s="14"/>
      <c r="F227" s="14"/>
      <c r="G227" s="14"/>
      <c r="H227" s="14"/>
      <c r="I227" s="15"/>
      <c r="J227" s="16"/>
    </row>
    <row r="228" spans="2:10" ht="17.25" customHeight="1" x14ac:dyDescent="0.2">
      <c r="B228" s="10" t="s">
        <v>29</v>
      </c>
      <c r="C228" s="42" t="s">
        <v>25</v>
      </c>
      <c r="D228" s="14"/>
      <c r="E228" s="14"/>
      <c r="F228" s="14"/>
      <c r="G228" s="14"/>
      <c r="H228" s="14"/>
      <c r="I228" s="15"/>
      <c r="J228" s="16"/>
    </row>
    <row r="229" spans="2:10" ht="17.25" customHeight="1" x14ac:dyDescent="0.2">
      <c r="B229" s="10"/>
      <c r="C229" s="14" t="s">
        <v>26</v>
      </c>
      <c r="D229" s="14"/>
      <c r="E229" s="14"/>
      <c r="F229" s="14"/>
      <c r="G229" s="14"/>
      <c r="H229" s="14"/>
      <c r="I229" s="15"/>
      <c r="J229" s="41"/>
    </row>
    <row r="230" spans="2:10" ht="17.25" customHeight="1" x14ac:dyDescent="0.2">
      <c r="B230" s="10"/>
      <c r="C230" s="14" t="s">
        <v>27</v>
      </c>
      <c r="D230" s="14"/>
      <c r="E230" s="14"/>
      <c r="F230" s="14"/>
      <c r="G230" s="14"/>
      <c r="H230" s="14"/>
      <c r="I230" s="15"/>
      <c r="J230" s="16"/>
    </row>
    <row r="231" spans="2:10" ht="17.25" customHeight="1" x14ac:dyDescent="0.2">
      <c r="B231" s="10" t="s">
        <v>30</v>
      </c>
      <c r="C231" s="42" t="s">
        <v>25</v>
      </c>
      <c r="D231" s="14"/>
      <c r="E231" s="14"/>
      <c r="F231" s="14"/>
      <c r="G231" s="14"/>
      <c r="H231" s="14"/>
      <c r="I231" s="15"/>
      <c r="J231" s="16"/>
    </row>
    <row r="232" spans="2:10" ht="17.25" customHeight="1" x14ac:dyDescent="0.2">
      <c r="B232" s="10"/>
      <c r="C232" s="14" t="s">
        <v>26</v>
      </c>
      <c r="D232" s="14"/>
      <c r="E232" s="14"/>
      <c r="F232" s="14"/>
      <c r="G232" s="14"/>
      <c r="H232" s="14"/>
      <c r="I232" s="15"/>
      <c r="J232" s="41"/>
    </row>
    <row r="233" spans="2:10" ht="17.25" customHeight="1" x14ac:dyDescent="0.2">
      <c r="B233" s="10"/>
      <c r="C233" s="14" t="s">
        <v>27</v>
      </c>
      <c r="D233" s="14"/>
      <c r="E233" s="14"/>
      <c r="F233" s="14"/>
      <c r="G233" s="14"/>
      <c r="H233" s="14"/>
      <c r="I233" s="15"/>
      <c r="J233" s="16"/>
    </row>
    <row r="234" spans="2:10" ht="17.25" customHeight="1" x14ac:dyDescent="0.2">
      <c r="B234" s="10" t="s">
        <v>31</v>
      </c>
      <c r="C234" s="42" t="s">
        <v>25</v>
      </c>
      <c r="D234" s="14"/>
      <c r="E234" s="14"/>
      <c r="F234" s="14"/>
      <c r="G234" s="14"/>
      <c r="H234" s="14"/>
      <c r="I234" s="15"/>
      <c r="J234" s="16"/>
    </row>
    <row r="235" spans="2:10" ht="17.25" customHeight="1" x14ac:dyDescent="0.2">
      <c r="B235" s="10"/>
      <c r="C235" s="14" t="s">
        <v>26</v>
      </c>
      <c r="D235" s="14"/>
      <c r="E235" s="14"/>
      <c r="F235" s="14"/>
      <c r="G235" s="14"/>
      <c r="H235" s="14"/>
      <c r="I235" s="15"/>
      <c r="J235" s="41"/>
    </row>
    <row r="236" spans="2:10" ht="17.25" customHeight="1" x14ac:dyDescent="0.2">
      <c r="B236" s="10"/>
      <c r="C236" s="14" t="s">
        <v>27</v>
      </c>
      <c r="D236" s="14"/>
      <c r="E236" s="14"/>
      <c r="F236" s="14"/>
      <c r="G236" s="14"/>
      <c r="H236" s="14"/>
      <c r="I236" s="15"/>
      <c r="J236" s="16"/>
    </row>
    <row r="237" spans="2:10" ht="17.25" customHeight="1" x14ac:dyDescent="0.2">
      <c r="B237" s="10" t="s">
        <v>32</v>
      </c>
      <c r="C237" s="42" t="s">
        <v>25</v>
      </c>
      <c r="D237" s="14"/>
      <c r="E237" s="14"/>
      <c r="F237" s="14"/>
      <c r="G237" s="14"/>
      <c r="H237" s="14"/>
      <c r="I237" s="15"/>
      <c r="J237" s="16"/>
    </row>
    <row r="238" spans="2:10" ht="17.25" customHeight="1" x14ac:dyDescent="0.2">
      <c r="B238" s="10"/>
      <c r="C238" s="14" t="s">
        <v>26</v>
      </c>
      <c r="D238" s="14"/>
      <c r="E238" s="14"/>
      <c r="F238" s="14"/>
      <c r="G238" s="14"/>
      <c r="H238" s="14"/>
      <c r="I238" s="15"/>
      <c r="J238" s="41"/>
    </row>
    <row r="239" spans="2:10" ht="17.25" customHeight="1" x14ac:dyDescent="0.2">
      <c r="B239" s="10"/>
      <c r="C239" s="14" t="s">
        <v>27</v>
      </c>
      <c r="D239" s="19"/>
      <c r="E239" s="19"/>
      <c r="F239" s="19"/>
      <c r="G239" s="19"/>
      <c r="H239" s="19"/>
      <c r="I239" s="20"/>
      <c r="J239" s="21"/>
    </row>
    <row r="240" spans="2:10" ht="17.25" customHeight="1" x14ac:dyDescent="0.2">
      <c r="B240" s="25" t="s">
        <v>33</v>
      </c>
      <c r="C240" s="24" t="s">
        <v>25</v>
      </c>
      <c r="D240" s="43"/>
      <c r="E240" s="43"/>
      <c r="F240" s="43"/>
      <c r="G240" s="43"/>
      <c r="H240" s="43"/>
      <c r="I240" s="27"/>
      <c r="J240" s="28"/>
    </row>
    <row r="241" spans="1:11" ht="17.25" customHeight="1" x14ac:dyDescent="0.2">
      <c r="B241" s="10"/>
      <c r="C241" s="14" t="s">
        <v>26</v>
      </c>
      <c r="D241" s="44"/>
      <c r="E241" s="44"/>
      <c r="F241" s="44"/>
      <c r="G241" s="44"/>
      <c r="H241" s="44"/>
      <c r="I241" s="30"/>
      <c r="J241" s="41"/>
    </row>
    <row r="242" spans="1:11" ht="17.25" customHeight="1" x14ac:dyDescent="0.2">
      <c r="B242" s="18"/>
      <c r="C242" s="19" t="s">
        <v>27</v>
      </c>
      <c r="D242" s="45"/>
      <c r="E242" s="45"/>
      <c r="F242" s="45"/>
      <c r="G242" s="45"/>
      <c r="H242" s="45"/>
      <c r="I242" s="33"/>
      <c r="J242" s="34"/>
    </row>
    <row r="243" spans="1:11" ht="17.25" customHeight="1" x14ac:dyDescent="0.2">
      <c r="B243" s="22"/>
      <c r="C243" s="22"/>
      <c r="D243" s="22"/>
      <c r="E243" s="22"/>
      <c r="F243" s="22"/>
      <c r="G243" s="22"/>
      <c r="H243" s="22"/>
      <c r="I243" s="22"/>
      <c r="J243" s="22"/>
      <c r="K243" s="22"/>
    </row>
    <row r="244" spans="1:11" ht="17.25" customHeight="1" x14ac:dyDescent="0.2">
      <c r="B244" s="4" t="s">
        <v>34</v>
      </c>
    </row>
    <row r="245" spans="1:11" s="5" customFormat="1" ht="17.25" customHeight="1" x14ac:dyDescent="0.2">
      <c r="A245" s="325"/>
      <c r="B245" s="380" t="s">
        <v>35</v>
      </c>
      <c r="C245" s="6" t="s">
        <v>5</v>
      </c>
      <c r="D245" s="382" t="s">
        <v>6</v>
      </c>
      <c r="E245" s="382" t="s">
        <v>7</v>
      </c>
      <c r="F245" s="382" t="s">
        <v>8</v>
      </c>
      <c r="G245" s="382" t="s">
        <v>9</v>
      </c>
      <c r="H245" s="7" t="s">
        <v>10</v>
      </c>
    </row>
    <row r="246" spans="1:11" ht="17.25" customHeight="1" x14ac:dyDescent="0.2">
      <c r="A246" s="326"/>
      <c r="B246" s="85" t="s">
        <v>36</v>
      </c>
      <c r="C246" s="43"/>
      <c r="D246" s="43"/>
      <c r="E246" s="43"/>
      <c r="F246" s="43"/>
      <c r="G246" s="43"/>
      <c r="H246" s="44"/>
    </row>
    <row r="247" spans="1:11" ht="17.25" customHeight="1" x14ac:dyDescent="0.2">
      <c r="A247" s="327"/>
      <c r="B247" s="440" t="s">
        <v>37</v>
      </c>
      <c r="C247" s="45"/>
      <c r="D247" s="45"/>
      <c r="E247" s="45"/>
      <c r="F247" s="45"/>
      <c r="G247" s="45"/>
      <c r="H247" s="45"/>
    </row>
    <row r="248" spans="1:11" ht="17.25" customHeight="1" x14ac:dyDescent="0.2">
      <c r="A248" s="327"/>
      <c r="B248" s="38"/>
      <c r="C248" s="38"/>
      <c r="D248" s="5"/>
      <c r="E248" s="5"/>
      <c r="F248" s="5"/>
      <c r="G248" s="5"/>
      <c r="H248" s="5"/>
      <c r="I248" s="5"/>
    </row>
    <row r="249" spans="1:11" ht="17.25" customHeight="1" x14ac:dyDescent="0.2">
      <c r="B249" s="37" t="s">
        <v>38</v>
      </c>
      <c r="C249" s="38"/>
      <c r="D249" s="5"/>
      <c r="E249" s="5"/>
      <c r="F249" s="5"/>
      <c r="G249" s="5"/>
      <c r="H249" s="47"/>
      <c r="I249" s="5"/>
    </row>
    <row r="250" spans="1:11" ht="17.25" customHeight="1" x14ac:dyDescent="0.2">
      <c r="B250" s="48" t="s">
        <v>16</v>
      </c>
      <c r="C250" s="382" t="s">
        <v>14</v>
      </c>
      <c r="D250" s="5"/>
      <c r="E250" s="5"/>
      <c r="F250" s="5"/>
      <c r="G250" s="5"/>
      <c r="H250" s="47"/>
      <c r="I250" s="5"/>
    </row>
    <row r="251" spans="1:11" ht="17.25" customHeight="1" x14ac:dyDescent="0.2">
      <c r="B251" s="49" t="s">
        <v>17</v>
      </c>
      <c r="C251" s="29"/>
      <c r="D251" s="5"/>
      <c r="E251" s="5"/>
      <c r="F251" s="5"/>
      <c r="G251" s="5"/>
      <c r="H251" s="47"/>
      <c r="I251" s="5"/>
    </row>
    <row r="252" spans="1:11" ht="17.25" customHeight="1" x14ac:dyDescent="0.2">
      <c r="B252" s="50" t="s">
        <v>18</v>
      </c>
      <c r="C252" s="29"/>
      <c r="D252" s="5"/>
      <c r="E252" s="5"/>
      <c r="F252" s="5"/>
      <c r="G252" s="5"/>
      <c r="H252" s="47"/>
      <c r="I252" s="5"/>
    </row>
    <row r="253" spans="1:11" ht="17.25" customHeight="1" x14ac:dyDescent="0.2">
      <c r="B253" s="51" t="s">
        <v>19</v>
      </c>
      <c r="C253" s="32"/>
      <c r="D253" s="5"/>
      <c r="E253" s="5"/>
      <c r="F253" s="5"/>
      <c r="G253" s="5"/>
      <c r="H253" s="47"/>
      <c r="I253" s="5"/>
    </row>
    <row r="254" spans="1:11" ht="17.25" customHeight="1" x14ac:dyDescent="0.2">
      <c r="D254" s="22"/>
      <c r="E254" s="22"/>
      <c r="F254" s="22"/>
    </row>
    <row r="255" spans="1:11" s="52" customFormat="1" ht="17.25" customHeight="1" x14ac:dyDescent="0.2">
      <c r="A255" s="328"/>
      <c r="B255" s="474" t="s">
        <v>39</v>
      </c>
      <c r="C255" s="474"/>
      <c r="D255" s="474"/>
      <c r="E255" s="474"/>
      <c r="F255" s="474"/>
      <c r="G255" s="474"/>
      <c r="H255" s="474"/>
      <c r="I255" s="474"/>
      <c r="J255" s="474"/>
      <c r="K255" s="3"/>
    </row>
    <row r="256" spans="1:11" s="52" customFormat="1" ht="17.25" customHeight="1" x14ac:dyDescent="0.2">
      <c r="A256" s="328"/>
      <c r="B256" s="4" t="s">
        <v>40</v>
      </c>
      <c r="C256" s="4"/>
      <c r="D256" s="1"/>
      <c r="E256" s="1"/>
      <c r="F256" s="1"/>
      <c r="G256" s="1"/>
      <c r="H256" s="1"/>
      <c r="I256" s="1"/>
      <c r="J256" s="1"/>
    </row>
    <row r="257" spans="1:10" s="54" customFormat="1" ht="17.25" customHeight="1" x14ac:dyDescent="0.2">
      <c r="A257" s="324"/>
      <c r="B257" s="382" t="s">
        <v>41</v>
      </c>
      <c r="C257" s="382" t="s">
        <v>5</v>
      </c>
      <c r="D257" s="382" t="s">
        <v>6</v>
      </c>
      <c r="E257" s="382" t="s">
        <v>7</v>
      </c>
      <c r="F257" s="382" t="s">
        <v>8</v>
      </c>
      <c r="G257" s="382" t="s">
        <v>9</v>
      </c>
      <c r="H257" s="7" t="s">
        <v>10</v>
      </c>
      <c r="I257" s="40" t="s">
        <v>11</v>
      </c>
    </row>
    <row r="258" spans="1:10" ht="17.25" customHeight="1" x14ac:dyDescent="0.2">
      <c r="A258" s="329"/>
      <c r="B258" s="58" t="s">
        <v>42</v>
      </c>
      <c r="C258" s="14"/>
      <c r="D258" s="55"/>
      <c r="E258" s="55"/>
      <c r="F258" s="14"/>
      <c r="G258" s="55"/>
      <c r="H258" s="15"/>
      <c r="I258" s="13"/>
    </row>
    <row r="259" spans="1:10" ht="17.25" customHeight="1" x14ac:dyDescent="0.2">
      <c r="A259" s="329"/>
      <c r="B259" s="58" t="s">
        <v>43</v>
      </c>
      <c r="C259" s="14"/>
      <c r="D259" s="55"/>
      <c r="E259" s="55"/>
      <c r="F259" s="14"/>
      <c r="G259" s="55"/>
      <c r="H259" s="15"/>
      <c r="I259" s="16"/>
    </row>
    <row r="260" spans="1:10" ht="17.25" customHeight="1" x14ac:dyDescent="0.2">
      <c r="A260" s="329"/>
      <c r="B260" s="58" t="s">
        <v>44</v>
      </c>
      <c r="C260" s="14"/>
      <c r="D260" s="55"/>
      <c r="E260" s="55"/>
      <c r="F260" s="14"/>
      <c r="G260" s="55"/>
      <c r="H260" s="15"/>
      <c r="I260" s="16"/>
    </row>
    <row r="261" spans="1:10" ht="17.25" customHeight="1" x14ac:dyDescent="0.2">
      <c r="A261" s="329"/>
      <c r="B261" s="58" t="s">
        <v>45</v>
      </c>
      <c r="C261" s="14"/>
      <c r="D261" s="55"/>
      <c r="E261" s="55"/>
      <c r="F261" s="14"/>
      <c r="G261" s="55"/>
      <c r="H261" s="15"/>
      <c r="I261" s="16"/>
    </row>
    <row r="262" spans="1:10" ht="17.25" customHeight="1" x14ac:dyDescent="0.2">
      <c r="A262" s="329"/>
      <c r="B262" s="58" t="s">
        <v>46</v>
      </c>
      <c r="C262" s="14"/>
      <c r="D262" s="55"/>
      <c r="E262" s="55"/>
      <c r="F262" s="14"/>
      <c r="G262" s="55"/>
      <c r="H262" s="15"/>
      <c r="I262" s="16"/>
    </row>
    <row r="263" spans="1:10" ht="17.25" customHeight="1" x14ac:dyDescent="0.2">
      <c r="A263" s="329"/>
      <c r="B263" s="59" t="s">
        <v>47</v>
      </c>
      <c r="C263" s="19"/>
      <c r="D263" s="60"/>
      <c r="E263" s="60"/>
      <c r="F263" s="19"/>
      <c r="G263" s="60"/>
      <c r="H263" s="20"/>
      <c r="I263" s="21"/>
    </row>
    <row r="264" spans="1:10" ht="17.25" customHeight="1" x14ac:dyDescent="0.2">
      <c r="A264" s="329"/>
      <c r="B264" s="61" t="s">
        <v>48</v>
      </c>
      <c r="C264" s="11"/>
      <c r="D264" s="56"/>
      <c r="E264" s="56"/>
      <c r="F264" s="11"/>
      <c r="G264" s="56"/>
      <c r="H264" s="12"/>
      <c r="I264" s="13"/>
    </row>
    <row r="265" spans="1:10" ht="17.25" customHeight="1" x14ac:dyDescent="0.2">
      <c r="A265" s="329"/>
      <c r="B265" s="58" t="s">
        <v>49</v>
      </c>
      <c r="C265" s="14"/>
      <c r="D265" s="55"/>
      <c r="E265" s="55"/>
      <c r="F265" s="14"/>
      <c r="G265" s="55"/>
      <c r="H265" s="15"/>
      <c r="I265" s="16"/>
    </row>
    <row r="266" spans="1:10" ht="17.25" customHeight="1" x14ac:dyDescent="0.2">
      <c r="A266" s="329"/>
      <c r="B266" s="62" t="s">
        <v>50</v>
      </c>
      <c r="C266" s="29"/>
      <c r="D266" s="29"/>
      <c r="E266" s="29"/>
      <c r="F266" s="29"/>
      <c r="G266" s="29"/>
      <c r="H266" s="30"/>
      <c r="I266" s="31"/>
    </row>
    <row r="267" spans="1:10" ht="17.25" customHeight="1" x14ac:dyDescent="0.2">
      <c r="A267" s="329"/>
      <c r="B267" s="59" t="s">
        <v>12</v>
      </c>
      <c r="C267" s="32"/>
      <c r="D267" s="45"/>
      <c r="E267" s="45"/>
      <c r="F267" s="32"/>
      <c r="G267" s="45"/>
      <c r="H267" s="33"/>
      <c r="I267" s="34"/>
    </row>
    <row r="268" spans="1:10" ht="17.25" customHeight="1" x14ac:dyDescent="0.2">
      <c r="A268" s="329"/>
      <c r="B268" s="36"/>
    </row>
    <row r="269" spans="1:10" ht="17.25" customHeight="1" x14ac:dyDescent="0.2">
      <c r="B269" s="4" t="s">
        <v>51</v>
      </c>
      <c r="C269" s="4"/>
    </row>
    <row r="270" spans="1:10" ht="17.25" customHeight="1" x14ac:dyDescent="0.2">
      <c r="A270" s="329"/>
      <c r="B270" s="475" t="s">
        <v>52</v>
      </c>
      <c r="C270" s="475" t="s">
        <v>53</v>
      </c>
      <c r="D270" s="475"/>
      <c r="E270" s="475"/>
      <c r="G270" s="63"/>
      <c r="H270" s="52"/>
      <c r="I270" s="64"/>
      <c r="J270" s="52"/>
    </row>
    <row r="271" spans="1:10" ht="17.25" customHeight="1" x14ac:dyDescent="0.2">
      <c r="A271" s="329"/>
      <c r="B271" s="475"/>
      <c r="C271" s="384" t="s">
        <v>15</v>
      </c>
      <c r="D271" s="384" t="s">
        <v>54</v>
      </c>
      <c r="E271" s="384" t="s">
        <v>55</v>
      </c>
      <c r="G271" s="63"/>
      <c r="H271" s="52"/>
      <c r="I271" s="64"/>
      <c r="J271" s="52"/>
    </row>
    <row r="272" spans="1:10" ht="17.25" customHeight="1" x14ac:dyDescent="0.2">
      <c r="A272" s="330"/>
      <c r="B272" s="66" t="s">
        <v>56</v>
      </c>
      <c r="C272" s="26"/>
      <c r="D272" s="26"/>
      <c r="E272" s="44"/>
      <c r="G272" s="63"/>
      <c r="H272" s="52"/>
      <c r="I272" s="64"/>
      <c r="J272" s="52"/>
    </row>
    <row r="273" spans="1:9" ht="17.25" customHeight="1" x14ac:dyDescent="0.2">
      <c r="A273" s="329"/>
      <c r="B273" s="58" t="s">
        <v>57</v>
      </c>
      <c r="C273" s="44"/>
      <c r="D273" s="44"/>
      <c r="E273" s="44"/>
    </row>
    <row r="274" spans="1:9" ht="17.25" customHeight="1" x14ac:dyDescent="0.2">
      <c r="A274" s="329"/>
      <c r="B274" s="58" t="s">
        <v>58</v>
      </c>
      <c r="C274" s="44"/>
      <c r="D274" s="44"/>
      <c r="E274" s="44"/>
    </row>
    <row r="275" spans="1:9" ht="17.25" customHeight="1" x14ac:dyDescent="0.2">
      <c r="A275" s="329"/>
      <c r="B275" s="59" t="s">
        <v>59</v>
      </c>
      <c r="C275" s="45"/>
      <c r="D275" s="45"/>
      <c r="E275" s="32"/>
    </row>
    <row r="276" spans="1:9" ht="17.25" customHeight="1" x14ac:dyDescent="0.2">
      <c r="A276" s="329"/>
      <c r="B276" s="36"/>
    </row>
    <row r="277" spans="1:9" ht="17.25" customHeight="1" x14ac:dyDescent="0.2">
      <c r="B277" s="4" t="s">
        <v>60</v>
      </c>
      <c r="C277" s="52"/>
      <c r="D277" s="52"/>
      <c r="E277" s="52"/>
    </row>
    <row r="278" spans="1:9" ht="17.25" customHeight="1" x14ac:dyDescent="0.2">
      <c r="A278" s="331"/>
      <c r="B278" s="67" t="s">
        <v>35</v>
      </c>
      <c r="C278" s="381" t="s">
        <v>5</v>
      </c>
      <c r="D278" s="382" t="s">
        <v>6</v>
      </c>
      <c r="E278" s="382" t="s">
        <v>7</v>
      </c>
      <c r="F278" s="382" t="s">
        <v>8</v>
      </c>
      <c r="G278" s="382" t="s">
        <v>9</v>
      </c>
      <c r="H278" s="7" t="s">
        <v>10</v>
      </c>
      <c r="I278" s="8" t="s">
        <v>11</v>
      </c>
    </row>
    <row r="279" spans="1:9" ht="17.25" customHeight="1" x14ac:dyDescent="0.2">
      <c r="A279" s="326"/>
      <c r="B279" s="25" t="s">
        <v>36</v>
      </c>
      <c r="C279" s="43"/>
      <c r="D279" s="43"/>
      <c r="E279" s="43"/>
      <c r="F279" s="43"/>
      <c r="G279" s="43"/>
      <c r="H279" s="27"/>
      <c r="I279" s="28"/>
    </row>
    <row r="280" spans="1:9" ht="17.25" customHeight="1" x14ac:dyDescent="0.2">
      <c r="A280" s="329"/>
      <c r="B280" s="18" t="s">
        <v>37</v>
      </c>
      <c r="C280" s="45"/>
      <c r="D280" s="45"/>
      <c r="E280" s="45"/>
      <c r="F280" s="45"/>
      <c r="G280" s="45"/>
      <c r="H280" s="33"/>
      <c r="I280" s="34"/>
    </row>
    <row r="281" spans="1:9" ht="17.25" customHeight="1" x14ac:dyDescent="0.2">
      <c r="A281" s="329"/>
      <c r="B281" s="36"/>
    </row>
    <row r="282" spans="1:9" ht="17.25" customHeight="1" x14ac:dyDescent="0.2">
      <c r="B282" s="4" t="s">
        <v>61</v>
      </c>
      <c r="C282" s="52"/>
    </row>
    <row r="283" spans="1:9" ht="17.25" customHeight="1" x14ac:dyDescent="0.2">
      <c r="A283" s="331"/>
      <c r="B283" s="67" t="s">
        <v>35</v>
      </c>
      <c r="C283" s="381" t="s">
        <v>5</v>
      </c>
      <c r="D283" s="382" t="s">
        <v>6</v>
      </c>
      <c r="E283" s="382" t="s">
        <v>7</v>
      </c>
      <c r="F283" s="382" t="s">
        <v>8</v>
      </c>
      <c r="G283" s="382" t="s">
        <v>9</v>
      </c>
      <c r="H283" s="7" t="s">
        <v>10</v>
      </c>
      <c r="I283" s="8" t="s">
        <v>11</v>
      </c>
    </row>
    <row r="284" spans="1:9" ht="17.25" customHeight="1" x14ac:dyDescent="0.2">
      <c r="A284" s="326"/>
      <c r="B284" s="25" t="s">
        <v>36</v>
      </c>
      <c r="C284" s="43"/>
      <c r="D284" s="43"/>
      <c r="E284" s="43"/>
      <c r="F284" s="43"/>
      <c r="G284" s="43"/>
      <c r="H284" s="27"/>
      <c r="I284" s="28"/>
    </row>
    <row r="285" spans="1:9" ht="17.25" customHeight="1" x14ac:dyDescent="0.2">
      <c r="A285" s="329"/>
      <c r="B285" s="18" t="s">
        <v>37</v>
      </c>
      <c r="C285" s="45"/>
      <c r="D285" s="45"/>
      <c r="E285" s="45"/>
      <c r="F285" s="45"/>
      <c r="G285" s="45"/>
      <c r="H285" s="33"/>
      <c r="I285" s="34"/>
    </row>
    <row r="286" spans="1:9" ht="17.25" customHeight="1" x14ac:dyDescent="0.2">
      <c r="A286" s="329"/>
      <c r="B286" s="36"/>
    </row>
    <row r="287" spans="1:9" ht="17.25" customHeight="1" x14ac:dyDescent="0.2">
      <c r="B287" s="4" t="s">
        <v>62</v>
      </c>
    </row>
    <row r="288" spans="1:9" ht="17.25" customHeight="1" x14ac:dyDescent="0.2">
      <c r="A288" s="329"/>
      <c r="B288" s="384" t="s">
        <v>16</v>
      </c>
      <c r="C288" s="384" t="s">
        <v>14</v>
      </c>
    </row>
    <row r="289" spans="1:11" ht="17.25" customHeight="1" x14ac:dyDescent="0.2">
      <c r="A289" s="329"/>
      <c r="B289" s="58" t="s">
        <v>63</v>
      </c>
      <c r="C289" s="44"/>
    </row>
    <row r="290" spans="1:11" ht="17.25" customHeight="1" x14ac:dyDescent="0.2">
      <c r="A290" s="329"/>
      <c r="B290" s="58" t="s">
        <v>64</v>
      </c>
      <c r="C290" s="44"/>
    </row>
    <row r="291" spans="1:11" ht="17.25" customHeight="1" x14ac:dyDescent="0.2">
      <c r="A291" s="329"/>
      <c r="B291" s="59" t="s">
        <v>65</v>
      </c>
      <c r="C291" s="45"/>
    </row>
    <row r="292" spans="1:11" ht="17.25" customHeight="1" x14ac:dyDescent="0.2">
      <c r="A292" s="329"/>
      <c r="B292" s="36"/>
    </row>
    <row r="293" spans="1:11" s="52" customFormat="1" ht="17.25" customHeight="1" x14ac:dyDescent="0.2">
      <c r="A293" s="323"/>
      <c r="B293" s="37" t="s">
        <v>66</v>
      </c>
      <c r="C293" s="38"/>
      <c r="H293" s="64"/>
    </row>
    <row r="294" spans="1:11" s="52" customFormat="1" ht="17.25" customHeight="1" x14ac:dyDescent="0.2">
      <c r="A294" s="323"/>
      <c r="B294" s="48" t="s">
        <v>16</v>
      </c>
      <c r="C294" s="384" t="s">
        <v>14</v>
      </c>
      <c r="H294" s="64"/>
    </row>
    <row r="295" spans="1:11" s="52" customFormat="1" ht="17.25" customHeight="1" x14ac:dyDescent="0.2">
      <c r="A295" s="323"/>
      <c r="B295" s="49" t="s">
        <v>17</v>
      </c>
      <c r="C295" s="29"/>
      <c r="H295" s="64"/>
    </row>
    <row r="296" spans="1:11" s="52" customFormat="1" ht="17.25" customHeight="1" x14ac:dyDescent="0.2">
      <c r="A296" s="323"/>
      <c r="B296" s="50" t="s">
        <v>18</v>
      </c>
      <c r="C296" s="29"/>
      <c r="H296" s="64"/>
    </row>
    <row r="297" spans="1:11" s="52" customFormat="1" ht="17.25" customHeight="1" x14ac:dyDescent="0.2">
      <c r="A297" s="323"/>
      <c r="B297" s="51" t="s">
        <v>19</v>
      </c>
      <c r="C297" s="32"/>
      <c r="H297" s="64"/>
    </row>
    <row r="298" spans="1:11" ht="17.25" customHeight="1" x14ac:dyDescent="0.2">
      <c r="D298" s="22"/>
      <c r="E298" s="22"/>
      <c r="F298" s="22"/>
    </row>
    <row r="299" spans="1:11" s="52" customFormat="1" ht="17.25" customHeight="1" x14ac:dyDescent="0.2">
      <c r="A299" s="328"/>
      <c r="B299" s="473" t="s">
        <v>67</v>
      </c>
      <c r="C299" s="473"/>
      <c r="D299" s="473"/>
      <c r="E299" s="473"/>
      <c r="F299" s="473"/>
      <c r="G299" s="473"/>
      <c r="H299" s="473"/>
      <c r="I299" s="473"/>
      <c r="J299" s="473"/>
      <c r="K299" s="53"/>
    </row>
    <row r="300" spans="1:11" s="52" customFormat="1" ht="17.25" customHeight="1" x14ac:dyDescent="0.2">
      <c r="A300" s="328"/>
      <c r="B300" s="4" t="s">
        <v>68</v>
      </c>
      <c r="C300" s="68"/>
      <c r="D300" s="1"/>
      <c r="E300" s="1"/>
      <c r="F300" s="1"/>
      <c r="G300" s="1"/>
      <c r="H300" s="1"/>
      <c r="I300" s="1"/>
      <c r="J300" s="1"/>
      <c r="K300" s="1"/>
    </row>
    <row r="301" spans="1:11" s="54" customFormat="1" ht="17.25" customHeight="1" x14ac:dyDescent="0.2">
      <c r="A301" s="324"/>
      <c r="B301" s="382" t="s">
        <v>69</v>
      </c>
      <c r="C301" s="382" t="s">
        <v>23</v>
      </c>
      <c r="D301" s="382" t="s">
        <v>5</v>
      </c>
      <c r="E301" s="382" t="s">
        <v>6</v>
      </c>
      <c r="F301" s="382" t="s">
        <v>7</v>
      </c>
      <c r="G301" s="382" t="s">
        <v>8</v>
      </c>
      <c r="H301" s="382" t="s">
        <v>9</v>
      </c>
      <c r="I301" s="7" t="s">
        <v>10</v>
      </c>
      <c r="J301" s="8" t="s">
        <v>11</v>
      </c>
    </row>
    <row r="302" spans="1:11" s="52" customFormat="1" ht="17.25" customHeight="1" x14ac:dyDescent="0.2">
      <c r="A302" s="329"/>
      <c r="B302" s="61" t="s">
        <v>70</v>
      </c>
      <c r="C302" s="69" t="s">
        <v>25</v>
      </c>
      <c r="D302" s="56"/>
      <c r="E302" s="56"/>
      <c r="F302" s="56"/>
      <c r="G302" s="56"/>
      <c r="H302" s="56"/>
      <c r="I302" s="12"/>
      <c r="J302" s="16"/>
    </row>
    <row r="303" spans="1:11" s="52" customFormat="1" ht="17.25" customHeight="1" x14ac:dyDescent="0.2">
      <c r="A303" s="329"/>
      <c r="B303" s="58"/>
      <c r="C303" s="55" t="s">
        <v>26</v>
      </c>
      <c r="D303" s="55"/>
      <c r="E303" s="55"/>
      <c r="F303" s="55"/>
      <c r="G303" s="55"/>
      <c r="H303" s="55"/>
      <c r="I303" s="15"/>
      <c r="J303" s="41"/>
    </row>
    <row r="304" spans="1:11" s="52" customFormat="1" ht="17.25" customHeight="1" x14ac:dyDescent="0.2">
      <c r="A304" s="329"/>
      <c r="B304" s="58"/>
      <c r="C304" s="55" t="s">
        <v>27</v>
      </c>
      <c r="D304" s="55"/>
      <c r="E304" s="55"/>
      <c r="F304" s="55"/>
      <c r="G304" s="55"/>
      <c r="H304" s="55"/>
      <c r="I304" s="15"/>
      <c r="J304" s="16"/>
    </row>
    <row r="305" spans="1:10" s="52" customFormat="1" ht="17.25" customHeight="1" x14ac:dyDescent="0.2">
      <c r="A305" s="329"/>
      <c r="B305" s="58" t="s">
        <v>71</v>
      </c>
      <c r="C305" s="70" t="s">
        <v>25</v>
      </c>
      <c r="D305" s="55"/>
      <c r="E305" s="55"/>
      <c r="F305" s="55"/>
      <c r="G305" s="55"/>
      <c r="H305" s="55"/>
      <c r="I305" s="15"/>
      <c r="J305" s="16"/>
    </row>
    <row r="306" spans="1:10" s="52" customFormat="1" ht="17.25" customHeight="1" x14ac:dyDescent="0.2">
      <c r="A306" s="329"/>
      <c r="B306" s="58"/>
      <c r="C306" s="55" t="s">
        <v>26</v>
      </c>
      <c r="D306" s="55"/>
      <c r="E306" s="55"/>
      <c r="F306" s="55"/>
      <c r="G306" s="55"/>
      <c r="H306" s="55"/>
      <c r="I306" s="15"/>
      <c r="J306" s="41"/>
    </row>
    <row r="307" spans="1:10" s="52" customFormat="1" ht="17.25" customHeight="1" x14ac:dyDescent="0.2">
      <c r="A307" s="329"/>
      <c r="B307" s="58"/>
      <c r="C307" s="55" t="s">
        <v>27</v>
      </c>
      <c r="D307" s="55"/>
      <c r="E307" s="55"/>
      <c r="F307" s="55"/>
      <c r="G307" s="55"/>
      <c r="H307" s="55"/>
      <c r="I307" s="15"/>
      <c r="J307" s="16"/>
    </row>
    <row r="308" spans="1:10" s="52" customFormat="1" ht="17.25" customHeight="1" x14ac:dyDescent="0.2">
      <c r="A308" s="329"/>
      <c r="B308" s="58" t="s">
        <v>72</v>
      </c>
      <c r="C308" s="70" t="s">
        <v>25</v>
      </c>
      <c r="D308" s="55"/>
      <c r="E308" s="55"/>
      <c r="F308" s="55"/>
      <c r="G308" s="55"/>
      <c r="H308" s="55"/>
      <c r="I308" s="15"/>
      <c r="J308" s="16"/>
    </row>
    <row r="309" spans="1:10" s="52" customFormat="1" ht="17.25" customHeight="1" x14ac:dyDescent="0.2">
      <c r="A309" s="329"/>
      <c r="B309" s="58"/>
      <c r="C309" s="55" t="s">
        <v>26</v>
      </c>
      <c r="D309" s="55"/>
      <c r="E309" s="55"/>
      <c r="F309" s="55"/>
      <c r="G309" s="55"/>
      <c r="H309" s="55"/>
      <c r="I309" s="15"/>
      <c r="J309" s="41"/>
    </row>
    <row r="310" spans="1:10" s="52" customFormat="1" ht="17.25" customHeight="1" x14ac:dyDescent="0.2">
      <c r="A310" s="329"/>
      <c r="B310" s="58"/>
      <c r="C310" s="55" t="s">
        <v>27</v>
      </c>
      <c r="D310" s="55"/>
      <c r="E310" s="55"/>
      <c r="F310" s="55"/>
      <c r="G310" s="55"/>
      <c r="H310" s="55"/>
      <c r="I310" s="15"/>
      <c r="J310" s="16"/>
    </row>
    <row r="311" spans="1:10" s="52" customFormat="1" ht="17.25" customHeight="1" x14ac:dyDescent="0.2">
      <c r="A311" s="329"/>
      <c r="B311" s="58" t="s">
        <v>73</v>
      </c>
      <c r="C311" s="70" t="s">
        <v>25</v>
      </c>
      <c r="D311" s="55"/>
      <c r="E311" s="55"/>
      <c r="F311" s="55"/>
      <c r="G311" s="55"/>
      <c r="H311" s="55"/>
      <c r="I311" s="15"/>
      <c r="J311" s="16"/>
    </row>
    <row r="312" spans="1:10" s="52" customFormat="1" ht="17.25" customHeight="1" x14ac:dyDescent="0.2">
      <c r="A312" s="329"/>
      <c r="B312" s="58"/>
      <c r="C312" s="55" t="s">
        <v>26</v>
      </c>
      <c r="D312" s="55"/>
      <c r="E312" s="55"/>
      <c r="F312" s="55"/>
      <c r="G312" s="55"/>
      <c r="H312" s="55"/>
      <c r="I312" s="15"/>
      <c r="J312" s="41"/>
    </row>
    <row r="313" spans="1:10" s="52" customFormat="1" ht="17.25" customHeight="1" x14ac:dyDescent="0.2">
      <c r="A313" s="329"/>
      <c r="B313" s="58"/>
      <c r="C313" s="55" t="s">
        <v>27</v>
      </c>
      <c r="D313" s="55"/>
      <c r="E313" s="55"/>
      <c r="F313" s="55"/>
      <c r="G313" s="55"/>
      <c r="H313" s="55"/>
      <c r="I313" s="15"/>
      <c r="J313" s="16"/>
    </row>
    <row r="314" spans="1:10" s="52" customFormat="1" ht="17.25" customHeight="1" x14ac:dyDescent="0.2">
      <c r="A314" s="329"/>
      <c r="B314" s="58" t="s">
        <v>74</v>
      </c>
      <c r="C314" s="70"/>
      <c r="D314" s="55"/>
      <c r="E314" s="55"/>
      <c r="F314" s="55"/>
      <c r="G314" s="55"/>
      <c r="H314" s="55"/>
      <c r="I314" s="15"/>
      <c r="J314" s="16"/>
    </row>
    <row r="315" spans="1:10" s="52" customFormat="1" ht="17.25" customHeight="1" x14ac:dyDescent="0.2">
      <c r="A315" s="329"/>
      <c r="B315" s="62" t="s">
        <v>75</v>
      </c>
      <c r="C315" s="70" t="s">
        <v>25</v>
      </c>
      <c r="D315" s="55"/>
      <c r="E315" s="55"/>
      <c r="F315" s="55"/>
      <c r="G315" s="55"/>
      <c r="H315" s="55"/>
      <c r="I315" s="15"/>
      <c r="J315" s="16"/>
    </row>
    <row r="316" spans="1:10" s="52" customFormat="1" ht="17.25" customHeight="1" x14ac:dyDescent="0.2">
      <c r="A316" s="329"/>
      <c r="B316" s="62"/>
      <c r="C316" s="55" t="s">
        <v>26</v>
      </c>
      <c r="D316" s="55"/>
      <c r="E316" s="55"/>
      <c r="F316" s="55"/>
      <c r="G316" s="55"/>
      <c r="H316" s="55"/>
      <c r="I316" s="15"/>
      <c r="J316" s="41"/>
    </row>
    <row r="317" spans="1:10" s="57" customFormat="1" ht="17.25" customHeight="1" x14ac:dyDescent="0.2">
      <c r="A317" s="330"/>
      <c r="B317" s="17"/>
      <c r="C317" s="55" t="s">
        <v>27</v>
      </c>
      <c r="D317" s="55"/>
      <c r="E317" s="55"/>
      <c r="F317" s="55"/>
      <c r="G317" s="55"/>
      <c r="H317" s="55"/>
      <c r="I317" s="15"/>
      <c r="J317" s="16"/>
    </row>
    <row r="318" spans="1:10" s="57" customFormat="1" ht="17.25" customHeight="1" x14ac:dyDescent="0.2">
      <c r="A318" s="330"/>
      <c r="B318" s="17" t="s">
        <v>76</v>
      </c>
      <c r="C318" s="70" t="s">
        <v>25</v>
      </c>
      <c r="D318" s="55"/>
      <c r="E318" s="55"/>
      <c r="F318" s="55"/>
      <c r="G318" s="55"/>
      <c r="H318" s="55"/>
      <c r="I318" s="15"/>
      <c r="J318" s="16"/>
    </row>
    <row r="319" spans="1:10" s="57" customFormat="1" ht="17.25" customHeight="1" x14ac:dyDescent="0.2">
      <c r="A319" s="330"/>
      <c r="B319" s="65"/>
      <c r="C319" s="55" t="s">
        <v>26</v>
      </c>
      <c r="D319" s="55"/>
      <c r="E319" s="55"/>
      <c r="F319" s="55"/>
      <c r="G319" s="55"/>
      <c r="H319" s="55"/>
      <c r="I319" s="15"/>
      <c r="J319" s="41"/>
    </row>
    <row r="320" spans="1:10" s="57" customFormat="1" ht="17.25" customHeight="1" x14ac:dyDescent="0.2">
      <c r="A320" s="330"/>
      <c r="B320" s="58"/>
      <c r="C320" s="19" t="s">
        <v>27</v>
      </c>
      <c r="D320" s="55"/>
      <c r="E320" s="55"/>
      <c r="F320" s="55"/>
      <c r="G320" s="55"/>
      <c r="H320" s="55"/>
      <c r="I320" s="15"/>
      <c r="J320" s="16"/>
    </row>
    <row r="321" spans="1:11" s="52" customFormat="1" ht="17.25" customHeight="1" x14ac:dyDescent="0.2">
      <c r="A321" s="329"/>
      <c r="B321" s="25" t="s">
        <v>12</v>
      </c>
      <c r="C321" s="70" t="s">
        <v>25</v>
      </c>
      <c r="D321" s="11"/>
      <c r="E321" s="56"/>
      <c r="F321" s="56"/>
      <c r="G321" s="56"/>
      <c r="H321" s="56"/>
      <c r="I321" s="12"/>
      <c r="J321" s="13"/>
    </row>
    <row r="322" spans="1:11" s="52" customFormat="1" ht="17.25" customHeight="1" x14ac:dyDescent="0.2">
      <c r="A322" s="329"/>
      <c r="B322" s="10"/>
      <c r="C322" s="70" t="s">
        <v>26</v>
      </c>
      <c r="D322" s="14"/>
      <c r="E322" s="55"/>
      <c r="F322" s="55"/>
      <c r="G322" s="55"/>
      <c r="H322" s="55"/>
      <c r="I322" s="15"/>
      <c r="J322" s="41"/>
    </row>
    <row r="323" spans="1:11" s="52" customFormat="1" ht="17.25" customHeight="1" x14ac:dyDescent="0.2">
      <c r="A323" s="329"/>
      <c r="B323" s="18"/>
      <c r="C323" s="71" t="s">
        <v>27</v>
      </c>
      <c r="D323" s="19"/>
      <c r="E323" s="60"/>
      <c r="F323" s="60"/>
      <c r="G323" s="60"/>
      <c r="H323" s="60"/>
      <c r="I323" s="20"/>
      <c r="J323" s="21"/>
    </row>
    <row r="324" spans="1:11" s="52" customFormat="1" ht="17.25" customHeight="1" x14ac:dyDescent="0.2">
      <c r="A324" s="328"/>
      <c r="C324" s="63"/>
    </row>
    <row r="325" spans="1:11" s="52" customFormat="1" ht="17.25" customHeight="1" x14ac:dyDescent="0.2">
      <c r="A325" s="323"/>
      <c r="B325" s="4" t="s">
        <v>77</v>
      </c>
      <c r="C325" s="63"/>
    </row>
    <row r="326" spans="1:11" s="52" customFormat="1" ht="17.25" customHeight="1" x14ac:dyDescent="0.2">
      <c r="A326" s="331"/>
      <c r="B326" s="67" t="s">
        <v>35</v>
      </c>
      <c r="C326" s="382" t="s">
        <v>5</v>
      </c>
      <c r="D326" s="382" t="s">
        <v>6</v>
      </c>
      <c r="E326" s="382" t="s">
        <v>7</v>
      </c>
      <c r="F326" s="382" t="s">
        <v>8</v>
      </c>
      <c r="G326" s="382" t="s">
        <v>9</v>
      </c>
      <c r="H326" s="7" t="s">
        <v>10</v>
      </c>
      <c r="I326" s="8" t="s">
        <v>11</v>
      </c>
    </row>
    <row r="327" spans="1:11" s="52" customFormat="1" ht="17.25" customHeight="1" x14ac:dyDescent="0.2">
      <c r="A327" s="326"/>
      <c r="B327" s="25" t="s">
        <v>36</v>
      </c>
      <c r="C327" s="43"/>
      <c r="D327" s="43"/>
      <c r="E327" s="43"/>
      <c r="F327" s="43"/>
      <c r="G327" s="43"/>
      <c r="H327" s="27"/>
      <c r="I327" s="28"/>
    </row>
    <row r="328" spans="1:11" s="52" customFormat="1" ht="17.25" customHeight="1" x14ac:dyDescent="0.2">
      <c r="A328" s="328"/>
      <c r="B328" s="18" t="s">
        <v>78</v>
      </c>
      <c r="C328" s="45"/>
      <c r="D328" s="45"/>
      <c r="E328" s="45"/>
      <c r="F328" s="45"/>
      <c r="G328" s="45"/>
      <c r="H328" s="33"/>
      <c r="I328" s="34"/>
    </row>
    <row r="329" spans="1:11" s="52" customFormat="1" ht="17.25" customHeight="1" x14ac:dyDescent="0.2">
      <c r="A329" s="328"/>
      <c r="C329" s="63"/>
    </row>
    <row r="330" spans="1:11" s="52" customFormat="1" ht="17.25" customHeight="1" x14ac:dyDescent="0.2">
      <c r="A330" s="323"/>
      <c r="B330" s="37" t="s">
        <v>79</v>
      </c>
      <c r="C330" s="38"/>
      <c r="H330" s="64"/>
    </row>
    <row r="331" spans="1:11" s="52" customFormat="1" ht="17.25" customHeight="1" x14ac:dyDescent="0.2">
      <c r="A331" s="323"/>
      <c r="B331" s="48" t="s">
        <v>16</v>
      </c>
      <c r="C331" s="384" t="s">
        <v>14</v>
      </c>
      <c r="H331" s="64"/>
    </row>
    <row r="332" spans="1:11" s="52" customFormat="1" ht="17.25" customHeight="1" x14ac:dyDescent="0.2">
      <c r="A332" s="323"/>
      <c r="B332" s="49" t="s">
        <v>17</v>
      </c>
      <c r="C332" s="29"/>
      <c r="H332" s="64"/>
    </row>
    <row r="333" spans="1:11" s="52" customFormat="1" ht="17.25" customHeight="1" x14ac:dyDescent="0.2">
      <c r="A333" s="323"/>
      <c r="B333" s="50" t="s">
        <v>18</v>
      </c>
      <c r="C333" s="29"/>
      <c r="H333" s="64"/>
    </row>
    <row r="334" spans="1:11" s="52" customFormat="1" ht="17.25" customHeight="1" x14ac:dyDescent="0.2">
      <c r="A334" s="323"/>
      <c r="B334" s="51" t="s">
        <v>19</v>
      </c>
      <c r="C334" s="32"/>
      <c r="H334" s="64"/>
    </row>
    <row r="335" spans="1:11" ht="17.25" customHeight="1" x14ac:dyDescent="0.2">
      <c r="D335" s="22"/>
      <c r="E335" s="22"/>
      <c r="F335" s="22"/>
    </row>
    <row r="336" spans="1:11" s="52" customFormat="1" ht="17.25" customHeight="1" x14ac:dyDescent="0.2">
      <c r="A336" s="328"/>
      <c r="B336" s="473" t="s">
        <v>80</v>
      </c>
      <c r="C336" s="473"/>
      <c r="D336" s="473"/>
      <c r="E336" s="473"/>
      <c r="F336" s="473"/>
      <c r="G336" s="473"/>
      <c r="H336" s="473"/>
      <c r="I336" s="473"/>
      <c r="J336" s="473"/>
      <c r="K336" s="53"/>
    </row>
    <row r="337" spans="1:11" ht="17.25" customHeight="1" x14ac:dyDescent="0.2">
      <c r="B337" s="72" t="s">
        <v>81</v>
      </c>
      <c r="C337" s="4"/>
    </row>
    <row r="338" spans="1:11" s="73" customFormat="1" ht="17.25" customHeight="1" x14ac:dyDescent="0.2">
      <c r="A338" s="332"/>
      <c r="B338" s="382" t="s">
        <v>82</v>
      </c>
      <c r="C338" s="382" t="s">
        <v>5</v>
      </c>
      <c r="D338" s="382" t="s">
        <v>6</v>
      </c>
      <c r="E338" s="382" t="s">
        <v>7</v>
      </c>
      <c r="F338" s="382" t="s">
        <v>8</v>
      </c>
      <c r="G338" s="382" t="s">
        <v>9</v>
      </c>
      <c r="H338" s="7" t="s">
        <v>10</v>
      </c>
      <c r="I338" s="8" t="s">
        <v>11</v>
      </c>
    </row>
    <row r="339" spans="1:11" ht="17.25" customHeight="1" x14ac:dyDescent="0.2">
      <c r="A339" s="329"/>
      <c r="B339" s="25" t="s">
        <v>83</v>
      </c>
      <c r="C339" s="56"/>
      <c r="D339" s="56"/>
      <c r="E339" s="56"/>
      <c r="F339" s="56"/>
      <c r="G339" s="56"/>
      <c r="H339" s="12"/>
      <c r="I339" s="13"/>
    </row>
    <row r="340" spans="1:11" ht="17.25" customHeight="1" x14ac:dyDescent="0.2">
      <c r="A340" s="329"/>
      <c r="B340" s="10" t="s">
        <v>84</v>
      </c>
      <c r="C340" s="55"/>
      <c r="D340" s="55"/>
      <c r="E340" s="55"/>
      <c r="F340" s="55"/>
      <c r="G340" s="55"/>
      <c r="H340" s="15"/>
      <c r="I340" s="16"/>
    </row>
    <row r="341" spans="1:11" ht="17.25" customHeight="1" x14ac:dyDescent="0.2">
      <c r="A341" s="329"/>
      <c r="B341" s="10" t="s">
        <v>85</v>
      </c>
      <c r="C341" s="55"/>
      <c r="D341" s="55"/>
      <c r="E341" s="55"/>
      <c r="F341" s="55"/>
      <c r="G341" s="55"/>
      <c r="H341" s="15"/>
      <c r="I341" s="16"/>
    </row>
    <row r="342" spans="1:11" ht="17.25" customHeight="1" x14ac:dyDescent="0.2">
      <c r="A342" s="329"/>
      <c r="B342" s="10" t="s">
        <v>86</v>
      </c>
      <c r="C342" s="55"/>
      <c r="D342" s="55"/>
      <c r="E342" s="55"/>
      <c r="F342" s="55"/>
      <c r="G342" s="55"/>
      <c r="H342" s="15"/>
      <c r="I342" s="16"/>
    </row>
    <row r="343" spans="1:11" ht="17.25" customHeight="1" x14ac:dyDescent="0.2">
      <c r="A343" s="329"/>
      <c r="B343" s="10" t="s">
        <v>87</v>
      </c>
      <c r="C343" s="55"/>
      <c r="D343" s="55"/>
      <c r="E343" s="55"/>
      <c r="F343" s="55"/>
      <c r="G343" s="55"/>
      <c r="H343" s="15"/>
      <c r="I343" s="16"/>
    </row>
    <row r="344" spans="1:11" ht="17.25" customHeight="1" x14ac:dyDescent="0.2">
      <c r="A344" s="329"/>
      <c r="B344" s="10" t="s">
        <v>88</v>
      </c>
      <c r="C344" s="55"/>
      <c r="D344" s="55"/>
      <c r="E344" s="55"/>
      <c r="F344" s="55"/>
      <c r="G344" s="55"/>
      <c r="H344" s="15"/>
      <c r="I344" s="16"/>
    </row>
    <row r="345" spans="1:11" ht="17.25" customHeight="1" x14ac:dyDescent="0.2">
      <c r="A345" s="329"/>
      <c r="B345" s="10" t="s">
        <v>89</v>
      </c>
      <c r="C345" s="55"/>
      <c r="D345" s="55"/>
      <c r="E345" s="55"/>
      <c r="F345" s="55"/>
      <c r="G345" s="55"/>
      <c r="H345" s="15"/>
      <c r="I345" s="16"/>
    </row>
    <row r="346" spans="1:11" ht="17.25" customHeight="1" x14ac:dyDescent="0.2">
      <c r="A346" s="329"/>
      <c r="B346" s="10" t="s">
        <v>90</v>
      </c>
      <c r="C346" s="55"/>
      <c r="D346" s="55"/>
      <c r="E346" s="55"/>
      <c r="F346" s="55"/>
      <c r="G346" s="55"/>
      <c r="H346" s="15"/>
      <c r="I346" s="16"/>
    </row>
    <row r="347" spans="1:11" ht="17.25" customHeight="1" x14ac:dyDescent="0.2">
      <c r="A347" s="329"/>
      <c r="B347" s="10" t="s">
        <v>91</v>
      </c>
      <c r="C347" s="55"/>
      <c r="D347" s="55"/>
      <c r="E347" s="55"/>
      <c r="F347" s="55"/>
      <c r="G347" s="55"/>
      <c r="H347" s="15"/>
      <c r="I347" s="16"/>
    </row>
    <row r="348" spans="1:11" ht="17.25" customHeight="1" x14ac:dyDescent="0.2">
      <c r="A348" s="329"/>
      <c r="B348" s="18" t="s">
        <v>92</v>
      </c>
      <c r="C348" s="60"/>
      <c r="D348" s="60"/>
      <c r="E348" s="60"/>
      <c r="F348" s="60"/>
      <c r="G348" s="60"/>
      <c r="H348" s="20"/>
      <c r="I348" s="21"/>
    </row>
    <row r="349" spans="1:11" ht="17.25" customHeight="1" x14ac:dyDescent="0.2">
      <c r="D349" s="22"/>
      <c r="E349" s="22"/>
      <c r="F349" s="22"/>
    </row>
    <row r="350" spans="1:11" s="52" customFormat="1" ht="17.25" customHeight="1" x14ac:dyDescent="0.2">
      <c r="A350" s="328"/>
      <c r="B350" s="473" t="s">
        <v>93</v>
      </c>
      <c r="C350" s="473"/>
      <c r="D350" s="473"/>
      <c r="E350" s="473"/>
      <c r="F350" s="473"/>
      <c r="G350" s="473"/>
      <c r="H350" s="473"/>
      <c r="I350" s="473"/>
      <c r="J350" s="473"/>
      <c r="K350" s="473"/>
    </row>
    <row r="351" spans="1:11" ht="17.25" customHeight="1" x14ac:dyDescent="0.2">
      <c r="B351" s="72" t="s">
        <v>94</v>
      </c>
      <c r="C351" s="4"/>
    </row>
    <row r="352" spans="1:11" s="73" customFormat="1" ht="17.25" customHeight="1" x14ac:dyDescent="0.2">
      <c r="A352" s="332"/>
      <c r="B352" s="382" t="s">
        <v>82</v>
      </c>
      <c r="C352" s="382" t="s">
        <v>5</v>
      </c>
      <c r="D352" s="382" t="s">
        <v>6</v>
      </c>
      <c r="E352" s="382" t="s">
        <v>7</v>
      </c>
      <c r="F352" s="382" t="s">
        <v>8</v>
      </c>
      <c r="G352" s="382" t="s">
        <v>9</v>
      </c>
      <c r="H352" s="7" t="s">
        <v>10</v>
      </c>
      <c r="I352" s="8" t="s">
        <v>11</v>
      </c>
    </row>
    <row r="353" spans="1:11" ht="17.25" customHeight="1" x14ac:dyDescent="0.2">
      <c r="A353" s="329"/>
      <c r="B353" s="25" t="s">
        <v>95</v>
      </c>
      <c r="C353" s="56"/>
      <c r="D353" s="56"/>
      <c r="E353" s="56"/>
      <c r="F353" s="56"/>
      <c r="G353" s="56"/>
      <c r="H353" s="12"/>
      <c r="I353" s="13"/>
    </row>
    <row r="354" spans="1:11" ht="17.25" customHeight="1" x14ac:dyDescent="0.2">
      <c r="A354" s="329"/>
      <c r="B354" s="10" t="s">
        <v>96</v>
      </c>
      <c r="C354" s="55"/>
      <c r="D354" s="55"/>
      <c r="E354" s="55"/>
      <c r="F354" s="55"/>
      <c r="G354" s="55"/>
      <c r="H354" s="15"/>
      <c r="I354" s="16"/>
    </row>
    <row r="355" spans="1:11" ht="17.25" customHeight="1" x14ac:dyDescent="0.2">
      <c r="A355" s="329"/>
      <c r="B355" s="10" t="s">
        <v>97</v>
      </c>
      <c r="C355" s="55"/>
      <c r="D355" s="55"/>
      <c r="E355" s="55"/>
      <c r="F355" s="55"/>
      <c r="G355" s="55"/>
      <c r="H355" s="15"/>
      <c r="I355" s="16"/>
    </row>
    <row r="356" spans="1:11" ht="17.25" customHeight="1" x14ac:dyDescent="0.2">
      <c r="A356" s="329"/>
      <c r="B356" s="18" t="s">
        <v>98</v>
      </c>
      <c r="C356" s="60"/>
      <c r="D356" s="60"/>
      <c r="E356" s="60"/>
      <c r="F356" s="60"/>
      <c r="G356" s="60"/>
      <c r="H356" s="20"/>
      <c r="I356" s="21"/>
    </row>
    <row r="357" spans="1:11" ht="17.25" customHeight="1" x14ac:dyDescent="0.2"/>
    <row r="358" spans="1:11" s="52" customFormat="1" ht="17.25" customHeight="1" x14ac:dyDescent="0.2">
      <c r="A358" s="328"/>
      <c r="B358" s="473" t="s">
        <v>99</v>
      </c>
      <c r="C358" s="473"/>
      <c r="D358" s="473"/>
      <c r="E358" s="473"/>
      <c r="F358" s="473"/>
      <c r="G358" s="473"/>
      <c r="H358" s="473"/>
      <c r="I358" s="473"/>
      <c r="J358" s="473"/>
      <c r="K358" s="473"/>
    </row>
    <row r="359" spans="1:11" s="52" customFormat="1" ht="17.25" customHeight="1" x14ac:dyDescent="0.2">
      <c r="A359" s="328"/>
      <c r="B359" s="4" t="s">
        <v>100</v>
      </c>
      <c r="C359" s="4"/>
      <c r="D359" s="1"/>
      <c r="E359" s="1"/>
      <c r="F359" s="1"/>
      <c r="G359" s="1"/>
      <c r="H359" s="1"/>
      <c r="I359" s="1"/>
      <c r="J359" s="1"/>
    </row>
    <row r="360" spans="1:11" s="54" customFormat="1" ht="17.25" customHeight="1" x14ac:dyDescent="0.2">
      <c r="A360" s="324"/>
      <c r="B360" s="74" t="s">
        <v>4</v>
      </c>
      <c r="C360" s="382" t="s">
        <v>5</v>
      </c>
      <c r="D360" s="382" t="s">
        <v>6</v>
      </c>
      <c r="E360" s="382" t="s">
        <v>7</v>
      </c>
      <c r="F360" s="382" t="s">
        <v>8</v>
      </c>
      <c r="G360" s="382" t="s">
        <v>9</v>
      </c>
      <c r="H360" s="7" t="s">
        <v>10</v>
      </c>
      <c r="I360" s="40" t="s">
        <v>11</v>
      </c>
      <c r="J360" s="5"/>
    </row>
    <row r="361" spans="1:11" ht="17.25" customHeight="1" x14ac:dyDescent="0.2">
      <c r="A361" s="329"/>
      <c r="B361" s="61" t="s">
        <v>101</v>
      </c>
      <c r="C361" s="56"/>
      <c r="D361" s="56"/>
      <c r="E361" s="56"/>
      <c r="F361" s="56"/>
      <c r="G361" s="56"/>
      <c r="H361" s="12"/>
      <c r="I361" s="13"/>
    </row>
    <row r="362" spans="1:11" ht="17.25" customHeight="1" x14ac:dyDescent="0.2">
      <c r="A362" s="329"/>
      <c r="B362" s="58" t="s">
        <v>102</v>
      </c>
      <c r="C362" s="55"/>
      <c r="D362" s="55"/>
      <c r="E362" s="55"/>
      <c r="F362" s="55"/>
      <c r="G362" s="55"/>
      <c r="H362" s="15"/>
      <c r="I362" s="16"/>
    </row>
    <row r="363" spans="1:11" ht="17.25" customHeight="1" x14ac:dyDescent="0.2">
      <c r="A363" s="329"/>
      <c r="B363" s="59" t="s">
        <v>103</v>
      </c>
      <c r="C363" s="60"/>
      <c r="D363" s="60"/>
      <c r="E363" s="60"/>
      <c r="F363" s="60"/>
      <c r="G363" s="60"/>
      <c r="H363" s="20"/>
      <c r="I363" s="21"/>
    </row>
    <row r="364" spans="1:11" ht="17.25" customHeight="1" x14ac:dyDescent="0.2">
      <c r="A364" s="329"/>
      <c r="B364" s="75" t="s">
        <v>12</v>
      </c>
      <c r="C364" s="76"/>
      <c r="D364" s="76"/>
      <c r="E364" s="76"/>
      <c r="F364" s="76"/>
      <c r="G364" s="76"/>
      <c r="H364" s="77"/>
      <c r="I364" s="78"/>
    </row>
    <row r="365" spans="1:11" s="5" customFormat="1" ht="17.25" customHeight="1" x14ac:dyDescent="0.2">
      <c r="A365" s="333"/>
      <c r="B365" s="46"/>
      <c r="C365" s="46"/>
      <c r="D365" s="46"/>
    </row>
    <row r="366" spans="1:11" s="54" customFormat="1" ht="17.25" customHeight="1" x14ac:dyDescent="0.2">
      <c r="A366" s="324"/>
      <c r="B366" s="79" t="s">
        <v>104</v>
      </c>
      <c r="I366" s="80"/>
      <c r="J366" s="46"/>
      <c r="K366" s="46"/>
    </row>
    <row r="367" spans="1:11" s="52" customFormat="1" ht="17.25" customHeight="1" x14ac:dyDescent="0.2">
      <c r="A367" s="326"/>
      <c r="B367" s="81" t="s">
        <v>35</v>
      </c>
      <c r="C367" s="382" t="s">
        <v>5</v>
      </c>
      <c r="D367" s="382" t="s">
        <v>6</v>
      </c>
      <c r="E367" s="382" t="s">
        <v>7</v>
      </c>
      <c r="F367" s="382" t="s">
        <v>8</v>
      </c>
      <c r="G367" s="382" t="s">
        <v>9</v>
      </c>
      <c r="H367" s="7" t="s">
        <v>10</v>
      </c>
      <c r="I367" s="8" t="s">
        <v>11</v>
      </c>
      <c r="J367" s="22"/>
    </row>
    <row r="368" spans="1:11" s="52" customFormat="1" ht="17.25" customHeight="1" x14ac:dyDescent="0.2">
      <c r="A368" s="328"/>
      <c r="B368" s="25" t="s">
        <v>36</v>
      </c>
      <c r="C368" s="43"/>
      <c r="D368" s="43"/>
      <c r="E368" s="43"/>
      <c r="F368" s="43"/>
      <c r="G368" s="43"/>
      <c r="H368" s="27"/>
      <c r="I368" s="28"/>
      <c r="J368" s="22"/>
    </row>
    <row r="369" spans="1:11" s="52" customFormat="1" ht="17.25" customHeight="1" x14ac:dyDescent="0.2">
      <c r="A369" s="329"/>
      <c r="B369" s="18" t="s">
        <v>37</v>
      </c>
      <c r="C369" s="45"/>
      <c r="D369" s="45"/>
      <c r="E369" s="45"/>
      <c r="F369" s="45"/>
      <c r="G369" s="45"/>
      <c r="H369" s="33"/>
      <c r="I369" s="34"/>
      <c r="J369" s="22"/>
    </row>
    <row r="370" spans="1:11" s="5" customFormat="1" ht="17.25" customHeight="1" x14ac:dyDescent="0.2">
      <c r="A370" s="333"/>
      <c r="B370" s="46"/>
      <c r="C370" s="46"/>
      <c r="D370" s="46"/>
    </row>
    <row r="371" spans="1:11" s="52" customFormat="1" ht="17.25" customHeight="1" x14ac:dyDescent="0.2">
      <c r="A371" s="323"/>
      <c r="B371" s="37" t="s">
        <v>105</v>
      </c>
      <c r="C371" s="38"/>
      <c r="H371" s="64"/>
    </row>
    <row r="372" spans="1:11" s="52" customFormat="1" ht="17.25" customHeight="1" x14ac:dyDescent="0.2">
      <c r="A372" s="323"/>
      <c r="B372" s="39" t="s">
        <v>16</v>
      </c>
      <c r="C372" s="384" t="s">
        <v>14</v>
      </c>
      <c r="H372" s="64"/>
    </row>
    <row r="373" spans="1:11" s="52" customFormat="1" ht="17.25" customHeight="1" x14ac:dyDescent="0.2">
      <c r="A373" s="323"/>
      <c r="B373" s="49" t="s">
        <v>17</v>
      </c>
      <c r="C373" s="29"/>
      <c r="H373" s="64"/>
    </row>
    <row r="374" spans="1:11" s="52" customFormat="1" ht="15.95" customHeight="1" x14ac:dyDescent="0.2">
      <c r="A374" s="323"/>
      <c r="B374" s="50" t="s">
        <v>18</v>
      </c>
      <c r="C374" s="29"/>
      <c r="H374" s="64"/>
    </row>
    <row r="375" spans="1:11" s="52" customFormat="1" ht="15.95" customHeight="1" x14ac:dyDescent="0.2">
      <c r="A375" s="323"/>
      <c r="B375" s="51" t="s">
        <v>19</v>
      </c>
      <c r="C375" s="32"/>
      <c r="H375" s="64"/>
    </row>
    <row r="376" spans="1:11" s="52" customFormat="1" ht="15.95" customHeight="1" x14ac:dyDescent="0.2">
      <c r="A376" s="323"/>
      <c r="B376" s="82"/>
      <c r="C376" s="83"/>
      <c r="H376" s="64"/>
    </row>
    <row r="377" spans="1:11" s="52" customFormat="1" ht="15.95" customHeight="1" x14ac:dyDescent="0.2">
      <c r="A377" s="323"/>
      <c r="B377" s="473" t="s">
        <v>106</v>
      </c>
      <c r="C377" s="473"/>
      <c r="D377" s="473"/>
      <c r="E377" s="473"/>
      <c r="F377" s="473"/>
      <c r="G377" s="473"/>
      <c r="H377" s="473"/>
      <c r="I377" s="473"/>
      <c r="J377" s="473"/>
      <c r="K377" s="53"/>
    </row>
    <row r="378" spans="1:11" s="52" customFormat="1" ht="15.95" customHeight="1" x14ac:dyDescent="0.2">
      <c r="A378" s="323"/>
      <c r="B378" s="383"/>
      <c r="C378" s="383"/>
      <c r="D378" s="383"/>
      <c r="E378" s="383"/>
      <c r="F378" s="383"/>
      <c r="G378" s="383"/>
      <c r="H378" s="383"/>
      <c r="I378" s="383"/>
      <c r="J378" s="383"/>
      <c r="K378" s="53"/>
    </row>
    <row r="379" spans="1:11" s="52" customFormat="1" ht="15.95" customHeight="1" x14ac:dyDescent="0.2">
      <c r="A379" s="323"/>
      <c r="B379" s="37" t="s">
        <v>280</v>
      </c>
      <c r="C379" s="83"/>
      <c r="H379" s="64"/>
    </row>
    <row r="380" spans="1:11" s="52" customFormat="1" ht="17.25" customHeight="1" x14ac:dyDescent="0.2">
      <c r="A380" s="331"/>
      <c r="B380" s="382" t="s">
        <v>107</v>
      </c>
      <c r="C380" s="382" t="s">
        <v>23</v>
      </c>
      <c r="D380" s="382" t="s">
        <v>5</v>
      </c>
      <c r="E380" s="382" t="s">
        <v>108</v>
      </c>
      <c r="F380" s="382" t="s">
        <v>109</v>
      </c>
      <c r="G380" s="382" t="s">
        <v>110</v>
      </c>
      <c r="H380" s="382" t="s">
        <v>111</v>
      </c>
      <c r="I380" s="7" t="s">
        <v>112</v>
      </c>
      <c r="J380" s="8" t="s">
        <v>11</v>
      </c>
    </row>
    <row r="381" spans="1:11" ht="17.25" customHeight="1" x14ac:dyDescent="0.2">
      <c r="B381" s="25" t="s">
        <v>113</v>
      </c>
      <c r="C381" s="24" t="s">
        <v>25</v>
      </c>
      <c r="D381" s="11"/>
      <c r="E381" s="11"/>
      <c r="F381" s="11"/>
      <c r="G381" s="11"/>
      <c r="H381" s="11"/>
      <c r="I381" s="11"/>
      <c r="J381" s="11"/>
    </row>
    <row r="382" spans="1:11" ht="17.25" customHeight="1" x14ac:dyDescent="0.2">
      <c r="B382" s="10"/>
      <c r="C382" s="14" t="s">
        <v>26</v>
      </c>
      <c r="D382" s="14"/>
      <c r="E382" s="14"/>
      <c r="F382" s="14"/>
      <c r="G382" s="14"/>
      <c r="H382" s="14"/>
      <c r="I382" s="14"/>
      <c r="J382" s="84"/>
    </row>
    <row r="383" spans="1:11" ht="17.25" customHeight="1" x14ac:dyDescent="0.2">
      <c r="B383" s="18"/>
      <c r="C383" s="19" t="s">
        <v>27</v>
      </c>
      <c r="D383" s="19"/>
      <c r="E383" s="19"/>
      <c r="F383" s="19"/>
      <c r="G383" s="19"/>
      <c r="H383" s="19"/>
      <c r="I383" s="19"/>
      <c r="J383" s="19"/>
    </row>
    <row r="384" spans="1:11" s="52" customFormat="1" ht="17.25" customHeight="1" x14ac:dyDescent="0.2">
      <c r="A384" s="331"/>
      <c r="B384" s="382" t="s">
        <v>114</v>
      </c>
      <c r="C384" s="382" t="s">
        <v>23</v>
      </c>
      <c r="D384" s="382" t="s">
        <v>5</v>
      </c>
      <c r="E384" s="382" t="s">
        <v>108</v>
      </c>
      <c r="F384" s="382" t="s">
        <v>109</v>
      </c>
      <c r="G384" s="382" t="s">
        <v>110</v>
      </c>
      <c r="H384" s="382" t="s">
        <v>111</v>
      </c>
      <c r="I384" s="7" t="s">
        <v>112</v>
      </c>
      <c r="J384" s="8" t="s">
        <v>11</v>
      </c>
    </row>
    <row r="385" spans="1:11" ht="17.25" customHeight="1" x14ac:dyDescent="0.2">
      <c r="B385" s="25" t="s">
        <v>115</v>
      </c>
      <c r="C385" s="24" t="s">
        <v>25</v>
      </c>
      <c r="D385" s="11"/>
      <c r="E385" s="11"/>
      <c r="F385" s="11"/>
      <c r="G385" s="11"/>
      <c r="H385" s="11"/>
      <c r="I385" s="11"/>
      <c r="J385" s="11"/>
    </row>
    <row r="386" spans="1:11" ht="17.25" customHeight="1" x14ac:dyDescent="0.2">
      <c r="B386" s="10"/>
      <c r="C386" s="14" t="s">
        <v>26</v>
      </c>
      <c r="D386" s="14"/>
      <c r="E386" s="14"/>
      <c r="F386" s="14"/>
      <c r="G386" s="14"/>
      <c r="H386" s="14"/>
      <c r="I386" s="14"/>
      <c r="J386" s="84"/>
    </row>
    <row r="387" spans="1:11" ht="17.25" customHeight="1" x14ac:dyDescent="0.2">
      <c r="B387" s="10"/>
      <c r="C387" s="14" t="s">
        <v>27</v>
      </c>
      <c r="D387" s="14"/>
      <c r="E387" s="14"/>
      <c r="F387" s="14"/>
      <c r="G387" s="14"/>
      <c r="H387" s="14"/>
      <c r="I387" s="14"/>
      <c r="J387" s="14"/>
    </row>
    <row r="388" spans="1:11" ht="17.25" customHeight="1" x14ac:dyDescent="0.2">
      <c r="B388" s="25" t="s">
        <v>116</v>
      </c>
      <c r="C388" s="24" t="s">
        <v>25</v>
      </c>
      <c r="D388" s="11"/>
      <c r="E388" s="11"/>
      <c r="F388" s="11"/>
      <c r="G388" s="11"/>
      <c r="H388" s="11"/>
      <c r="I388" s="11"/>
      <c r="J388" s="11"/>
    </row>
    <row r="389" spans="1:11" ht="17.25" customHeight="1" x14ac:dyDescent="0.2">
      <c r="B389" s="10"/>
      <c r="C389" s="14" t="s">
        <v>26</v>
      </c>
      <c r="D389" s="14"/>
      <c r="E389" s="14"/>
      <c r="F389" s="14"/>
      <c r="G389" s="14"/>
      <c r="H389" s="14"/>
      <c r="I389" s="14"/>
      <c r="J389" s="84"/>
    </row>
    <row r="390" spans="1:11" ht="17.25" customHeight="1" x14ac:dyDescent="0.2">
      <c r="B390" s="18"/>
      <c r="C390" s="19" t="s">
        <v>27</v>
      </c>
      <c r="D390" s="19"/>
      <c r="E390" s="19"/>
      <c r="F390" s="19"/>
      <c r="G390" s="19"/>
      <c r="H390" s="19"/>
      <c r="I390" s="19"/>
      <c r="J390" s="19"/>
    </row>
    <row r="391" spans="1:11" s="52" customFormat="1" ht="17.25" customHeight="1" x14ac:dyDescent="0.2">
      <c r="A391" s="331"/>
      <c r="B391" s="382" t="s">
        <v>117</v>
      </c>
      <c r="C391" s="382" t="s">
        <v>23</v>
      </c>
      <c r="D391" s="382" t="s">
        <v>5</v>
      </c>
      <c r="E391" s="382" t="s">
        <v>108</v>
      </c>
      <c r="F391" s="382" t="s">
        <v>109</v>
      </c>
      <c r="G391" s="382" t="s">
        <v>110</v>
      </c>
      <c r="H391" s="382" t="s">
        <v>111</v>
      </c>
      <c r="I391" s="7" t="s">
        <v>112</v>
      </c>
      <c r="J391" s="8" t="s">
        <v>11</v>
      </c>
    </row>
    <row r="392" spans="1:11" ht="17.25" customHeight="1" x14ac:dyDescent="0.2">
      <c r="B392" s="25" t="s">
        <v>118</v>
      </c>
      <c r="C392" s="24" t="s">
        <v>25</v>
      </c>
      <c r="D392" s="11"/>
      <c r="E392" s="11"/>
      <c r="F392" s="11"/>
      <c r="G392" s="11"/>
      <c r="H392" s="11"/>
      <c r="I392" s="11"/>
      <c r="J392" s="11"/>
    </row>
    <row r="393" spans="1:11" ht="17.25" customHeight="1" x14ac:dyDescent="0.2">
      <c r="B393" s="10"/>
      <c r="C393" s="14" t="s">
        <v>26</v>
      </c>
      <c r="D393" s="14"/>
      <c r="E393" s="14"/>
      <c r="F393" s="14"/>
      <c r="G393" s="14"/>
      <c r="H393" s="14"/>
      <c r="I393" s="14"/>
      <c r="J393" s="84"/>
    </row>
    <row r="394" spans="1:11" ht="17.25" customHeight="1" x14ac:dyDescent="0.2">
      <c r="B394" s="18"/>
      <c r="C394" s="19" t="s">
        <v>27</v>
      </c>
      <c r="D394" s="19"/>
      <c r="E394" s="19"/>
      <c r="F394" s="19"/>
      <c r="G394" s="19"/>
      <c r="H394" s="19"/>
      <c r="I394" s="19"/>
      <c r="J394" s="19"/>
    </row>
    <row r="395" spans="1:11" s="52" customFormat="1" ht="15.95" customHeight="1" x14ac:dyDescent="0.2">
      <c r="A395" s="323"/>
      <c r="B395" s="82"/>
      <c r="C395" s="83"/>
      <c r="H395" s="64"/>
    </row>
    <row r="396" spans="1:11" s="52" customFormat="1" ht="15.95" customHeight="1" x14ac:dyDescent="0.2">
      <c r="A396" s="323"/>
      <c r="B396" s="473" t="s">
        <v>119</v>
      </c>
      <c r="C396" s="473"/>
      <c r="D396" s="473"/>
      <c r="E396" s="473"/>
      <c r="F396" s="473"/>
      <c r="G396" s="473"/>
      <c r="H396" s="473"/>
      <c r="I396" s="473"/>
      <c r="J396" s="473"/>
      <c r="K396" s="53"/>
    </row>
    <row r="397" spans="1:11" s="52" customFormat="1" ht="15.95" customHeight="1" x14ac:dyDescent="0.2">
      <c r="A397" s="323"/>
      <c r="B397" s="82"/>
      <c r="C397" s="83"/>
      <c r="H397" s="64"/>
    </row>
    <row r="398" spans="1:11" ht="15.95" customHeight="1" x14ac:dyDescent="0.2">
      <c r="B398" s="37" t="s">
        <v>281</v>
      </c>
    </row>
    <row r="399" spans="1:11" ht="15.95" customHeight="1" x14ac:dyDescent="0.2">
      <c r="A399" s="323" t="s">
        <v>285</v>
      </c>
      <c r="B399" s="380" t="s">
        <v>16</v>
      </c>
      <c r="C399" s="382" t="s">
        <v>5</v>
      </c>
      <c r="D399" s="382" t="s">
        <v>108</v>
      </c>
      <c r="E399" s="382" t="s">
        <v>109</v>
      </c>
      <c r="F399" s="382" t="s">
        <v>110</v>
      </c>
      <c r="G399" s="382" t="s">
        <v>111</v>
      </c>
      <c r="H399" s="382" t="s">
        <v>10</v>
      </c>
    </row>
    <row r="400" spans="1:11" ht="15.95" customHeight="1" x14ac:dyDescent="0.2">
      <c r="B400" s="25" t="s">
        <v>120</v>
      </c>
      <c r="C400" s="25"/>
      <c r="D400" s="25"/>
      <c r="E400" s="25"/>
      <c r="F400" s="25"/>
      <c r="G400" s="25"/>
      <c r="H400" s="25"/>
    </row>
    <row r="401" spans="2:10" ht="15.95" customHeight="1" x14ac:dyDescent="0.2">
      <c r="B401" s="10" t="s">
        <v>121</v>
      </c>
      <c r="C401" s="10"/>
      <c r="D401" s="10"/>
      <c r="E401" s="10"/>
      <c r="F401" s="10"/>
      <c r="G401" s="10"/>
      <c r="H401" s="10"/>
    </row>
    <row r="402" spans="2:10" ht="15.95" customHeight="1" x14ac:dyDescent="0.2">
      <c r="B402" s="10" t="s">
        <v>122</v>
      </c>
      <c r="C402" s="10"/>
      <c r="D402" s="10"/>
      <c r="E402" s="10"/>
      <c r="F402" s="10"/>
      <c r="G402" s="10"/>
      <c r="H402" s="10"/>
    </row>
    <row r="403" spans="2:10" ht="15.95" customHeight="1" x14ac:dyDescent="0.2">
      <c r="B403" s="10" t="s">
        <v>123</v>
      </c>
      <c r="C403" s="10"/>
      <c r="D403" s="10"/>
      <c r="E403" s="10"/>
      <c r="F403" s="10"/>
      <c r="G403" s="10"/>
      <c r="H403" s="10"/>
    </row>
    <row r="404" spans="2:10" ht="15.95" customHeight="1" x14ac:dyDescent="0.2">
      <c r="B404" s="10" t="s">
        <v>124</v>
      </c>
      <c r="C404" s="10"/>
      <c r="D404" s="10"/>
      <c r="E404" s="10"/>
      <c r="F404" s="10"/>
      <c r="G404" s="10"/>
      <c r="H404" s="10"/>
    </row>
    <row r="405" spans="2:10" ht="15.95" customHeight="1" x14ac:dyDescent="0.2">
      <c r="B405" s="10" t="s">
        <v>125</v>
      </c>
      <c r="C405" s="10"/>
      <c r="D405" s="10"/>
      <c r="E405" s="10"/>
      <c r="F405" s="10"/>
      <c r="G405" s="10"/>
      <c r="H405" s="10"/>
    </row>
    <row r="406" spans="2:10" ht="15.95" customHeight="1" x14ac:dyDescent="0.2">
      <c r="B406" s="10" t="s">
        <v>126</v>
      </c>
      <c r="C406" s="10"/>
      <c r="D406" s="10"/>
      <c r="E406" s="10"/>
      <c r="F406" s="10"/>
      <c r="G406" s="10"/>
      <c r="H406" s="10"/>
    </row>
    <row r="407" spans="2:10" ht="15.95" customHeight="1" x14ac:dyDescent="0.2">
      <c r="B407" s="10" t="s">
        <v>127</v>
      </c>
      <c r="C407" s="10"/>
      <c r="D407" s="10"/>
      <c r="E407" s="10"/>
      <c r="F407" s="10"/>
      <c r="G407" s="10"/>
      <c r="H407" s="10"/>
    </row>
    <row r="408" spans="2:10" ht="15.95" customHeight="1" x14ac:dyDescent="0.2">
      <c r="B408" s="18" t="s">
        <v>128</v>
      </c>
      <c r="C408" s="18"/>
      <c r="D408" s="18"/>
      <c r="E408" s="18"/>
      <c r="F408" s="18"/>
      <c r="G408" s="18"/>
      <c r="H408" s="18"/>
    </row>
    <row r="409" spans="2:10" ht="15.95" customHeight="1" x14ac:dyDescent="0.2">
      <c r="B409" s="22"/>
      <c r="C409" s="22"/>
      <c r="D409" s="22"/>
      <c r="E409" s="22"/>
      <c r="F409" s="22"/>
      <c r="G409" s="22"/>
      <c r="H409" s="22"/>
    </row>
    <row r="410" spans="2:10" ht="15.95" customHeight="1" x14ac:dyDescent="0.2">
      <c r="B410" s="37" t="s">
        <v>282</v>
      </c>
    </row>
    <row r="411" spans="2:10" ht="15.95" customHeight="1" x14ac:dyDescent="0.2">
      <c r="B411" s="48" t="s">
        <v>16</v>
      </c>
      <c r="C411" s="384" t="s">
        <v>14</v>
      </c>
    </row>
    <row r="412" spans="2:10" ht="15.95" customHeight="1" x14ac:dyDescent="0.2">
      <c r="B412" s="50" t="s">
        <v>130</v>
      </c>
      <c r="C412" s="29"/>
    </row>
    <row r="413" spans="2:10" ht="15.95" customHeight="1" x14ac:dyDescent="0.2">
      <c r="B413" s="51" t="s">
        <v>131</v>
      </c>
      <c r="C413" s="32"/>
    </row>
    <row r="415" spans="2:10" ht="15.95" customHeight="1" x14ac:dyDescent="0.2">
      <c r="B415" s="37" t="s">
        <v>283</v>
      </c>
    </row>
    <row r="416" spans="2:10" ht="15.95" customHeight="1" x14ac:dyDescent="0.2">
      <c r="B416" s="491" t="s">
        <v>133</v>
      </c>
      <c r="C416" s="492" t="s">
        <v>134</v>
      </c>
      <c r="D416" s="492"/>
      <c r="E416" s="493" t="s">
        <v>135</v>
      </c>
      <c r="F416" s="493"/>
      <c r="G416" s="493" t="s">
        <v>136</v>
      </c>
      <c r="H416" s="493"/>
      <c r="I416" s="492" t="s">
        <v>137</v>
      </c>
      <c r="J416" s="492"/>
    </row>
    <row r="417" spans="1:10" ht="15.95" customHeight="1" x14ac:dyDescent="0.2">
      <c r="B417" s="491"/>
      <c r="C417" s="466" t="s">
        <v>138</v>
      </c>
      <c r="D417" s="466"/>
      <c r="E417" s="493"/>
      <c r="F417" s="493"/>
      <c r="G417" s="493"/>
      <c r="H417" s="493"/>
      <c r="I417" s="466" t="s">
        <v>139</v>
      </c>
      <c r="J417" s="466"/>
    </row>
    <row r="418" spans="1:10" ht="15.95" customHeight="1" x14ac:dyDescent="0.2">
      <c r="B418" s="491"/>
      <c r="C418" s="382" t="s">
        <v>14</v>
      </c>
      <c r="D418" s="382" t="s">
        <v>140</v>
      </c>
      <c r="E418" s="382" t="s">
        <v>14</v>
      </c>
      <c r="F418" s="382" t="s">
        <v>140</v>
      </c>
      <c r="G418" s="382" t="s">
        <v>14</v>
      </c>
      <c r="H418" s="382" t="s">
        <v>140</v>
      </c>
      <c r="I418" s="382" t="s">
        <v>14</v>
      </c>
      <c r="J418" s="382" t="s">
        <v>140</v>
      </c>
    </row>
    <row r="419" spans="1:10" ht="15.95" customHeight="1" x14ac:dyDescent="0.2">
      <c r="B419" s="85" t="s">
        <v>13</v>
      </c>
      <c r="C419" s="26"/>
      <c r="D419" s="26"/>
      <c r="E419" s="26"/>
      <c r="F419" s="26"/>
      <c r="G419" s="26"/>
      <c r="H419" s="26"/>
      <c r="I419" s="26"/>
      <c r="J419" s="26"/>
    </row>
    <row r="420" spans="1:10" ht="15.95" customHeight="1" x14ac:dyDescent="0.2">
      <c r="A420" s="323" t="s">
        <v>293</v>
      </c>
      <c r="B420" s="62" t="s">
        <v>141</v>
      </c>
      <c r="C420" s="29"/>
      <c r="D420" s="29"/>
      <c r="E420" s="29"/>
      <c r="F420" s="29"/>
      <c r="G420" s="29"/>
      <c r="H420" s="29"/>
      <c r="I420" s="29"/>
      <c r="J420" s="29"/>
    </row>
    <row r="421" spans="1:10" ht="15.95" customHeight="1" x14ac:dyDescent="0.2">
      <c r="A421" s="323" t="s">
        <v>294</v>
      </c>
      <c r="B421" s="62" t="s">
        <v>142</v>
      </c>
      <c r="C421" s="29"/>
      <c r="D421" s="29"/>
      <c r="E421" s="29"/>
      <c r="F421" s="29"/>
      <c r="G421" s="29"/>
      <c r="H421" s="29"/>
      <c r="I421" s="29"/>
      <c r="J421" s="29"/>
    </row>
    <row r="422" spans="1:10" ht="15.95" customHeight="1" x14ac:dyDescent="0.2">
      <c r="A422" s="323" t="s">
        <v>295</v>
      </c>
      <c r="B422" s="62" t="s">
        <v>143</v>
      </c>
      <c r="C422" s="29"/>
      <c r="D422" s="29"/>
      <c r="E422" s="29"/>
      <c r="F422" s="29"/>
      <c r="G422" s="29"/>
      <c r="H422" s="29"/>
      <c r="I422" s="29"/>
      <c r="J422" s="29"/>
    </row>
    <row r="423" spans="1:10" ht="15.95" customHeight="1" x14ac:dyDescent="0.2">
      <c r="A423" s="323" t="s">
        <v>296</v>
      </c>
      <c r="B423" s="62" t="s">
        <v>144</v>
      </c>
      <c r="C423" s="29"/>
      <c r="D423" s="29"/>
      <c r="E423" s="29"/>
      <c r="F423" s="29"/>
      <c r="G423" s="29"/>
      <c r="H423" s="29"/>
      <c r="I423" s="29"/>
      <c r="J423" s="29"/>
    </row>
    <row r="424" spans="1:10" ht="15.95" customHeight="1" x14ac:dyDescent="0.2">
      <c r="A424" s="323" t="s">
        <v>297</v>
      </c>
      <c r="B424" s="62" t="s">
        <v>145</v>
      </c>
      <c r="C424" s="29"/>
      <c r="D424" s="29"/>
      <c r="E424" s="29"/>
      <c r="F424" s="29"/>
      <c r="G424" s="29"/>
      <c r="H424" s="29"/>
      <c r="I424" s="29"/>
      <c r="J424" s="29"/>
    </row>
    <row r="425" spans="1:10" ht="15.95" customHeight="1" x14ac:dyDescent="0.2">
      <c r="A425" s="323" t="s">
        <v>298</v>
      </c>
      <c r="B425" s="62" t="s">
        <v>146</v>
      </c>
      <c r="C425" s="29"/>
      <c r="D425" s="29"/>
      <c r="E425" s="29"/>
      <c r="F425" s="29"/>
      <c r="G425" s="29"/>
      <c r="H425" s="29"/>
      <c r="I425" s="29"/>
      <c r="J425" s="29"/>
    </row>
    <row r="426" spans="1:10" ht="15.95" customHeight="1" x14ac:dyDescent="0.2">
      <c r="A426" s="323" t="s">
        <v>299</v>
      </c>
      <c r="B426" s="62" t="s">
        <v>147</v>
      </c>
      <c r="C426" s="29"/>
      <c r="D426" s="29"/>
      <c r="E426" s="29"/>
      <c r="F426" s="29"/>
      <c r="G426" s="29"/>
      <c r="H426" s="29"/>
      <c r="I426" s="29"/>
      <c r="J426" s="29"/>
    </row>
    <row r="427" spans="1:10" ht="15.95" customHeight="1" x14ac:dyDescent="0.2">
      <c r="A427" s="323" t="s">
        <v>300</v>
      </c>
      <c r="B427" s="62" t="s">
        <v>148</v>
      </c>
      <c r="C427" s="29"/>
      <c r="D427" s="29"/>
      <c r="E427" s="29"/>
      <c r="F427" s="29"/>
      <c r="G427" s="29"/>
      <c r="H427" s="29"/>
      <c r="I427" s="29"/>
      <c r="J427" s="29"/>
    </row>
    <row r="428" spans="1:10" ht="15.95" customHeight="1" x14ac:dyDescent="0.2">
      <c r="A428" s="323" t="s">
        <v>301</v>
      </c>
      <c r="B428" s="62" t="s">
        <v>149</v>
      </c>
      <c r="C428" s="29"/>
      <c r="D428" s="29"/>
      <c r="E428" s="29"/>
      <c r="F428" s="29"/>
      <c r="G428" s="29"/>
      <c r="H428" s="29"/>
      <c r="I428" s="29"/>
      <c r="J428" s="29"/>
    </row>
    <row r="429" spans="1:10" ht="15.95" customHeight="1" x14ac:dyDescent="0.2">
      <c r="A429" s="323" t="s">
        <v>302</v>
      </c>
      <c r="B429" s="62" t="s">
        <v>150</v>
      </c>
      <c r="C429" s="29"/>
      <c r="D429" s="29"/>
      <c r="E429" s="29"/>
      <c r="F429" s="29"/>
      <c r="G429" s="29"/>
      <c r="H429" s="29"/>
      <c r="I429" s="29"/>
      <c r="J429" s="29"/>
    </row>
    <row r="430" spans="1:10" ht="15.95" customHeight="1" x14ac:dyDescent="0.2">
      <c r="A430" s="323" t="s">
        <v>303</v>
      </c>
      <c r="B430" s="62" t="s">
        <v>151</v>
      </c>
      <c r="C430" s="29"/>
      <c r="D430" s="29"/>
      <c r="E430" s="29"/>
      <c r="F430" s="29"/>
      <c r="G430" s="29"/>
      <c r="H430" s="29"/>
      <c r="I430" s="29"/>
      <c r="J430" s="29"/>
    </row>
    <row r="431" spans="1:10" ht="15.95" customHeight="1" x14ac:dyDescent="0.2">
      <c r="A431" s="323" t="s">
        <v>304</v>
      </c>
      <c r="B431" s="62" t="s">
        <v>152</v>
      </c>
      <c r="C431" s="29"/>
      <c r="D431" s="29"/>
      <c r="E431" s="29"/>
      <c r="F431" s="29"/>
      <c r="G431" s="29"/>
      <c r="H431" s="29"/>
      <c r="I431" s="29"/>
      <c r="J431" s="29"/>
    </row>
    <row r="432" spans="1:10" ht="15.95" customHeight="1" x14ac:dyDescent="0.2">
      <c r="B432" s="86" t="s">
        <v>153</v>
      </c>
      <c r="C432" s="32"/>
      <c r="D432" s="32"/>
      <c r="E432" s="32"/>
      <c r="F432" s="32"/>
      <c r="G432" s="32"/>
      <c r="H432" s="32"/>
      <c r="I432" s="32"/>
      <c r="J432" s="32"/>
    </row>
    <row r="434" spans="1:10" ht="15.95" customHeight="1" x14ac:dyDescent="0.2">
      <c r="B434" s="37" t="s">
        <v>284</v>
      </c>
    </row>
    <row r="435" spans="1:10" ht="15.95" customHeight="1" x14ac:dyDescent="0.2">
      <c r="B435" s="491" t="s">
        <v>154</v>
      </c>
      <c r="C435" s="492" t="s">
        <v>134</v>
      </c>
      <c r="D435" s="492"/>
      <c r="E435" s="493" t="s">
        <v>135</v>
      </c>
      <c r="F435" s="493"/>
      <c r="G435" s="493" t="s">
        <v>136</v>
      </c>
      <c r="H435" s="493"/>
      <c r="I435" s="492" t="s">
        <v>137</v>
      </c>
      <c r="J435" s="492"/>
    </row>
    <row r="436" spans="1:10" ht="15.95" customHeight="1" x14ac:dyDescent="0.2">
      <c r="B436" s="491" t="s">
        <v>154</v>
      </c>
      <c r="C436" s="466" t="s">
        <v>138</v>
      </c>
      <c r="D436" s="466"/>
      <c r="E436" s="493"/>
      <c r="F436" s="493"/>
      <c r="G436" s="493"/>
      <c r="H436" s="493"/>
      <c r="I436" s="466" t="s">
        <v>139</v>
      </c>
      <c r="J436" s="466"/>
    </row>
    <row r="437" spans="1:10" ht="15.95" customHeight="1" x14ac:dyDescent="0.2">
      <c r="B437" s="491"/>
      <c r="C437" s="382" t="s">
        <v>14</v>
      </c>
      <c r="D437" s="382" t="s">
        <v>140</v>
      </c>
      <c r="E437" s="382" t="s">
        <v>14</v>
      </c>
      <c r="F437" s="382" t="s">
        <v>140</v>
      </c>
      <c r="G437" s="382" t="s">
        <v>14</v>
      </c>
      <c r="H437" s="382" t="s">
        <v>140</v>
      </c>
      <c r="I437" s="382" t="s">
        <v>14</v>
      </c>
      <c r="J437" s="382" t="s">
        <v>140</v>
      </c>
    </row>
    <row r="438" spans="1:10" ht="15.95" customHeight="1" x14ac:dyDescent="0.2">
      <c r="A438" s="323" t="s">
        <v>305</v>
      </c>
      <c r="B438" s="62" t="s">
        <v>120</v>
      </c>
      <c r="C438" s="29"/>
      <c r="D438" s="29"/>
      <c r="E438" s="29"/>
      <c r="F438" s="29"/>
      <c r="G438" s="29"/>
      <c r="H438" s="29"/>
      <c r="I438" s="29"/>
      <c r="J438" s="29"/>
    </row>
    <row r="439" spans="1:10" ht="15.95" customHeight="1" x14ac:dyDescent="0.2">
      <c r="A439" s="323" t="s">
        <v>286</v>
      </c>
      <c r="B439" s="62" t="s">
        <v>121</v>
      </c>
      <c r="C439" s="29"/>
      <c r="D439" s="29"/>
      <c r="E439" s="29"/>
      <c r="F439" s="29"/>
      <c r="G439" s="29"/>
      <c r="H439" s="29"/>
      <c r="I439" s="29"/>
      <c r="J439" s="29"/>
    </row>
    <row r="440" spans="1:10" ht="15.95" customHeight="1" x14ac:dyDescent="0.2">
      <c r="A440" s="323" t="s">
        <v>287</v>
      </c>
      <c r="B440" s="62" t="s">
        <v>122</v>
      </c>
      <c r="C440" s="29"/>
      <c r="D440" s="29"/>
      <c r="E440" s="29"/>
      <c r="F440" s="29"/>
      <c r="G440" s="29"/>
      <c r="H440" s="29"/>
      <c r="I440" s="29"/>
      <c r="J440" s="29"/>
    </row>
    <row r="441" spans="1:10" ht="15.95" customHeight="1" x14ac:dyDescent="0.2">
      <c r="A441" s="323" t="s">
        <v>288</v>
      </c>
      <c r="B441" s="62" t="s">
        <v>123</v>
      </c>
      <c r="C441" s="29"/>
      <c r="D441" s="29"/>
      <c r="E441" s="29"/>
      <c r="F441" s="29"/>
      <c r="G441" s="29"/>
      <c r="H441" s="29"/>
      <c r="I441" s="29"/>
      <c r="J441" s="29"/>
    </row>
    <row r="442" spans="1:10" ht="15.95" customHeight="1" x14ac:dyDescent="0.2">
      <c r="A442" s="323" t="s">
        <v>289</v>
      </c>
      <c r="B442" s="62" t="s">
        <v>124</v>
      </c>
      <c r="C442" s="29"/>
      <c r="D442" s="29"/>
      <c r="E442" s="29"/>
      <c r="F442" s="29"/>
      <c r="G442" s="29"/>
      <c r="H442" s="29"/>
      <c r="I442" s="29"/>
      <c r="J442" s="29"/>
    </row>
    <row r="443" spans="1:10" ht="15.95" customHeight="1" x14ac:dyDescent="0.2">
      <c r="A443" s="323" t="s">
        <v>290</v>
      </c>
      <c r="B443" s="62" t="s">
        <v>155</v>
      </c>
      <c r="C443" s="29"/>
      <c r="D443" s="29"/>
      <c r="E443" s="29"/>
      <c r="F443" s="29"/>
      <c r="G443" s="29"/>
      <c r="H443" s="29"/>
      <c r="I443" s="29"/>
      <c r="J443" s="29"/>
    </row>
    <row r="444" spans="1:10" ht="15.95" customHeight="1" x14ac:dyDescent="0.2">
      <c r="A444" s="323" t="s">
        <v>291</v>
      </c>
      <c r="B444" s="62" t="s">
        <v>126</v>
      </c>
      <c r="C444" s="29"/>
      <c r="D444" s="29"/>
      <c r="E444" s="29"/>
      <c r="F444" s="29"/>
      <c r="G444" s="29"/>
      <c r="H444" s="29"/>
      <c r="I444" s="29"/>
      <c r="J444" s="29"/>
    </row>
    <row r="445" spans="1:10" ht="15.95" customHeight="1" x14ac:dyDescent="0.2">
      <c r="B445" s="62" t="s">
        <v>127</v>
      </c>
      <c r="C445" s="29"/>
      <c r="D445" s="29"/>
      <c r="E445" s="29"/>
      <c r="F445" s="29"/>
      <c r="G445" s="29"/>
      <c r="H445" s="29"/>
      <c r="I445" s="29"/>
      <c r="J445" s="29"/>
    </row>
    <row r="446" spans="1:10" ht="15.95" customHeight="1" x14ac:dyDescent="0.2">
      <c r="A446" s="323" t="s">
        <v>292</v>
      </c>
      <c r="B446" s="86" t="s">
        <v>157</v>
      </c>
      <c r="C446" s="32"/>
      <c r="D446" s="32"/>
      <c r="E446" s="32"/>
      <c r="F446" s="32"/>
      <c r="G446" s="32"/>
      <c r="H446" s="32"/>
      <c r="I446" s="32"/>
      <c r="J446" s="32"/>
    </row>
    <row r="448" spans="1:10" ht="15.95" customHeight="1" x14ac:dyDescent="0.2">
      <c r="A448" s="52"/>
      <c r="B448" s="52"/>
      <c r="C448" s="52"/>
      <c r="D448" s="57"/>
      <c r="E448" s="52"/>
      <c r="F448" s="52"/>
      <c r="G448" s="52"/>
      <c r="H448" s="52"/>
      <c r="I448" s="52"/>
    </row>
  </sheetData>
  <sheetProtection selectLockedCells="1" selectUnlockedCells="1"/>
  <mergeCells count="47">
    <mergeCell ref="I416:J416"/>
    <mergeCell ref="C435:D435"/>
    <mergeCell ref="E435:F436"/>
    <mergeCell ref="G435:H436"/>
    <mergeCell ref="I435:J435"/>
    <mergeCell ref="C436:D436"/>
    <mergeCell ref="B55:B57"/>
    <mergeCell ref="B206:C206"/>
    <mergeCell ref="B209:C209"/>
    <mergeCell ref="B213:C213"/>
    <mergeCell ref="B153:J153"/>
    <mergeCell ref="B164:B166"/>
    <mergeCell ref="B168:J168"/>
    <mergeCell ref="B173:B175"/>
    <mergeCell ref="B202:B204"/>
    <mergeCell ref="I436:J436"/>
    <mergeCell ref="B59:J59"/>
    <mergeCell ref="B64:B66"/>
    <mergeCell ref="B93:B95"/>
    <mergeCell ref="B97:C97"/>
    <mergeCell ref="B130:B132"/>
    <mergeCell ref="B101:C101"/>
    <mergeCell ref="B105:C105"/>
    <mergeCell ref="B110:C110"/>
    <mergeCell ref="B116:C116"/>
    <mergeCell ref="B121:C121"/>
    <mergeCell ref="B416:B418"/>
    <mergeCell ref="C416:D416"/>
    <mergeCell ref="E416:F417"/>
    <mergeCell ref="G416:H417"/>
    <mergeCell ref="B435:B437"/>
    <mergeCell ref="B44:J44"/>
    <mergeCell ref="C417:D417"/>
    <mergeCell ref="I417:J417"/>
    <mergeCell ref="B6:J7"/>
    <mergeCell ref="B126:J127"/>
    <mergeCell ref="B396:J396"/>
    <mergeCell ref="B219:J219"/>
    <mergeCell ref="B255:J255"/>
    <mergeCell ref="B270:B271"/>
    <mergeCell ref="C270:E270"/>
    <mergeCell ref="B299:J299"/>
    <mergeCell ref="B336:J336"/>
    <mergeCell ref="B350:K350"/>
    <mergeCell ref="B358:K358"/>
    <mergeCell ref="B377:J377"/>
    <mergeCell ref="B10:B12"/>
  </mergeCells>
  <conditionalFormatting sqref="J47">
    <cfRule type="cellIs" dxfId="7" priority="8" operator="greaterThan">
      <formula>0</formula>
    </cfRule>
  </conditionalFormatting>
  <conditionalFormatting sqref="J50">
    <cfRule type="cellIs" dxfId="6" priority="7" operator="greaterThan">
      <formula>0</formula>
    </cfRule>
  </conditionalFormatting>
  <conditionalFormatting sqref="J56">
    <cfRule type="cellIs" dxfId="5" priority="6" operator="greaterThan">
      <formula>0</formula>
    </cfRule>
  </conditionalFormatting>
  <conditionalFormatting sqref="J53">
    <cfRule type="cellIs" dxfId="4" priority="5" operator="greaterThan">
      <formula>0</formula>
    </cfRule>
  </conditionalFormatting>
  <conditionalFormatting sqref="J156">
    <cfRule type="cellIs" dxfId="3" priority="4" operator="greaterThan">
      <formula>0</formula>
    </cfRule>
  </conditionalFormatting>
  <conditionalFormatting sqref="J159">
    <cfRule type="cellIs" dxfId="2" priority="3" operator="greaterThan">
      <formula>0</formula>
    </cfRule>
  </conditionalFormatting>
  <conditionalFormatting sqref="J165">
    <cfRule type="cellIs" dxfId="1" priority="2" operator="greaterThan">
      <formula>0</formula>
    </cfRule>
  </conditionalFormatting>
  <conditionalFormatting sqref="J162">
    <cfRule type="cellIs" dxfId="0" priority="1" operator="greaterThan">
      <formula>0</formula>
    </cfRule>
  </conditionalFormatting>
  <pageMargins left="0.70833333333333337" right="0.70833333333333337" top="0.74791666666666667" bottom="0.74791666666666667" header="0.51180555555555551" footer="0.51180555555555551"/>
  <pageSetup paperSize="9" scale="73" firstPageNumber="0" orientation="portrait" horizontalDpi="300" verticalDpi="300" r:id="rId1"/>
  <headerFooter alignWithMargins="0"/>
  <rowBreaks count="4" manualBreakCount="4">
    <brk id="217" max="16383" man="1"/>
    <brk id="297" max="16383" man="1"/>
    <brk id="348" max="16383" man="1"/>
    <brk id="39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6"/>
  <sheetViews>
    <sheetView showGridLines="0" zoomScaleSheetLayoutView="75" workbookViewId="0">
      <selection activeCell="E25" sqref="E25"/>
    </sheetView>
  </sheetViews>
  <sheetFormatPr baseColWidth="10" defaultRowHeight="12.75" customHeight="1" x14ac:dyDescent="0.2"/>
  <cols>
    <col min="1" max="1" width="32.7109375" style="149" customWidth="1"/>
    <col min="2" max="2" width="7.140625" style="149" customWidth="1"/>
    <col min="3" max="6" width="10" style="149" customWidth="1"/>
    <col min="7" max="7" width="10" style="150" customWidth="1"/>
    <col min="8" max="9" width="10" style="149" customWidth="1"/>
    <col min="10" max="16384" width="11.42578125" style="149"/>
  </cols>
  <sheetData>
    <row r="1" spans="1:9" s="151" customFormat="1" ht="12.75" customHeight="1" x14ac:dyDescent="0.2">
      <c r="A1" s="88"/>
      <c r="B1" s="89"/>
      <c r="C1" s="89"/>
      <c r="D1" s="89"/>
      <c r="E1" s="90"/>
      <c r="F1" s="90"/>
      <c r="G1" s="90"/>
      <c r="H1" s="90"/>
      <c r="I1" s="91"/>
    </row>
    <row r="2" spans="1:9" s="151" customFormat="1" ht="12.75" customHeight="1" x14ac:dyDescent="0.2">
      <c r="A2" s="92"/>
      <c r="B2" s="93"/>
      <c r="C2" s="93"/>
      <c r="D2" s="93"/>
      <c r="E2" s="94"/>
      <c r="F2" s="94"/>
      <c r="G2" s="94"/>
      <c r="H2" s="94"/>
      <c r="I2" s="95"/>
    </row>
    <row r="3" spans="1:9" s="151" customFormat="1" ht="12.75" customHeight="1" x14ac:dyDescent="0.2">
      <c r="A3" s="92"/>
      <c r="B3" s="93"/>
      <c r="C3" s="93"/>
      <c r="D3" s="93"/>
      <c r="E3" s="94"/>
      <c r="F3" s="94"/>
      <c r="G3" s="94"/>
      <c r="H3" s="94"/>
      <c r="I3" s="95"/>
    </row>
    <row r="4" spans="1:9" s="151" customFormat="1" ht="12.75" customHeight="1" x14ac:dyDescent="0.2">
      <c r="A4" s="499" t="s">
        <v>206</v>
      </c>
      <c r="B4" s="499"/>
      <c r="C4" s="499"/>
      <c r="D4" s="499"/>
      <c r="E4" s="499"/>
      <c r="F4" s="499"/>
      <c r="G4" s="499"/>
      <c r="H4" s="499"/>
      <c r="I4" s="499"/>
    </row>
    <row r="5" spans="1:9" s="151" customFormat="1" ht="12.75" customHeight="1" x14ac:dyDescent="0.2">
      <c r="A5" s="92"/>
      <c r="B5" s="93"/>
      <c r="C5" s="93"/>
      <c r="D5" s="93"/>
      <c r="E5" s="94"/>
      <c r="F5" s="94"/>
      <c r="G5" s="94"/>
      <c r="H5" s="94"/>
      <c r="I5" s="95"/>
    </row>
    <row r="6" spans="1:9" s="151" customFormat="1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9" s="151" customFormat="1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9" s="151" customFormat="1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9" s="151" customFormat="1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9" s="151" customFormat="1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9" s="151" customFormat="1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9" s="87" customFormat="1" ht="12.75" customHeight="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105"/>
      <c r="I12" s="101"/>
    </row>
    <row r="13" spans="1:9" s="151" customFormat="1" ht="3" customHeight="1" x14ac:dyDescent="0.2">
      <c r="A13" s="152"/>
      <c r="B13" s="153"/>
      <c r="C13" s="113"/>
      <c r="D13" s="113"/>
      <c r="E13" s="154"/>
      <c r="F13" s="155"/>
      <c r="G13" s="154"/>
      <c r="H13" s="154"/>
      <c r="I13" s="156"/>
    </row>
    <row r="14" spans="1:9" s="87" customFormat="1" ht="12.75" customHeight="1" x14ac:dyDescent="0.2">
      <c r="A14" s="115"/>
      <c r="B14" s="115"/>
      <c r="C14" s="115"/>
      <c r="D14" s="115"/>
      <c r="E14" s="115"/>
      <c r="F14" s="115"/>
      <c r="G14" s="115"/>
    </row>
    <row r="15" spans="1:9" s="87" customFormat="1" ht="12.75" customHeight="1" x14ac:dyDescent="0.2">
      <c r="A15" s="137" t="s">
        <v>107</v>
      </c>
      <c r="B15" s="137" t="s">
        <v>23</v>
      </c>
      <c r="C15" s="137" t="s">
        <v>5</v>
      </c>
      <c r="D15" s="137" t="s">
        <v>207</v>
      </c>
      <c r="E15" s="137" t="s">
        <v>208</v>
      </c>
      <c r="F15" s="137" t="s">
        <v>8</v>
      </c>
      <c r="G15" s="137" t="s">
        <v>209</v>
      </c>
      <c r="H15" s="157" t="s">
        <v>10</v>
      </c>
      <c r="I15" s="158" t="s">
        <v>11</v>
      </c>
    </row>
    <row r="16" spans="1:9" s="87" customFormat="1" ht="12.75" customHeight="1" x14ac:dyDescent="0.2">
      <c r="A16" s="502" t="s">
        <v>210</v>
      </c>
      <c r="B16" s="159" t="s">
        <v>25</v>
      </c>
      <c r="C16" s="120">
        <f>SUM(D16:H16)</f>
        <v>0</v>
      </c>
      <c r="D16" s="120">
        <f t="shared" ref="D16:I16" si="0">SUM(D17:D18)</f>
        <v>0</v>
      </c>
      <c r="E16" s="120">
        <f t="shared" si="0"/>
        <v>0</v>
      </c>
      <c r="F16" s="120">
        <f t="shared" si="0"/>
        <v>0</v>
      </c>
      <c r="G16" s="120">
        <f t="shared" si="0"/>
        <v>0</v>
      </c>
      <c r="H16" s="120">
        <f t="shared" si="0"/>
        <v>0</v>
      </c>
      <c r="I16" s="120">
        <f t="shared" si="0"/>
        <v>0</v>
      </c>
    </row>
    <row r="17" spans="1:10" s="87" customFormat="1" ht="12.75" customHeight="1" x14ac:dyDescent="0.2">
      <c r="A17" s="502"/>
      <c r="B17" s="160" t="s">
        <v>26</v>
      </c>
      <c r="C17" s="120">
        <f>SUM(D17:H17)</f>
        <v>0</v>
      </c>
      <c r="D17" s="123">
        <v>0</v>
      </c>
      <c r="E17" s="123">
        <v>0</v>
      </c>
      <c r="F17" s="123">
        <v>0</v>
      </c>
      <c r="G17" s="123">
        <v>0</v>
      </c>
      <c r="H17" s="124">
        <v>0</v>
      </c>
      <c r="I17" s="125">
        <v>0</v>
      </c>
    </row>
    <row r="18" spans="1:10" s="87" customFormat="1" ht="12.75" customHeight="1" x14ac:dyDescent="0.2">
      <c r="A18" s="502"/>
      <c r="B18" s="161" t="s">
        <v>27</v>
      </c>
      <c r="C18" s="132">
        <f>SUM(D18:H18)</f>
        <v>0</v>
      </c>
      <c r="D18" s="133">
        <v>0</v>
      </c>
      <c r="E18" s="133">
        <v>0</v>
      </c>
      <c r="F18" s="133">
        <v>0</v>
      </c>
      <c r="G18" s="133">
        <v>0</v>
      </c>
      <c r="H18" s="134">
        <v>0</v>
      </c>
      <c r="I18" s="135">
        <v>0</v>
      </c>
    </row>
    <row r="19" spans="1:10" s="87" customFormat="1" ht="12.75" customHeight="1" x14ac:dyDescent="0.2">
      <c r="A19" s="162"/>
      <c r="B19" s="136"/>
      <c r="C19" s="163"/>
      <c r="D19" s="163"/>
      <c r="E19" s="163"/>
      <c r="F19" s="163"/>
      <c r="G19" s="164"/>
      <c r="H19" s="163"/>
      <c r="I19" s="163"/>
    </row>
    <row r="20" spans="1:10" s="87" customFormat="1" ht="12.75" customHeight="1" x14ac:dyDescent="0.2">
      <c r="A20" s="137" t="s">
        <v>211</v>
      </c>
      <c r="B20" s="137" t="s">
        <v>23</v>
      </c>
      <c r="C20" s="137" t="s">
        <v>5</v>
      </c>
      <c r="D20" s="137" t="s">
        <v>207</v>
      </c>
      <c r="E20" s="137" t="s">
        <v>208</v>
      </c>
      <c r="F20" s="137" t="s">
        <v>8</v>
      </c>
      <c r="G20" s="137" t="s">
        <v>209</v>
      </c>
      <c r="H20" s="157" t="s">
        <v>10</v>
      </c>
      <c r="I20" s="158" t="s">
        <v>11</v>
      </c>
    </row>
    <row r="21" spans="1:10" s="87" customFormat="1" ht="12.75" customHeight="1" x14ac:dyDescent="0.2">
      <c r="A21" s="165" t="s">
        <v>212</v>
      </c>
      <c r="B21" s="159" t="s">
        <v>25</v>
      </c>
      <c r="C21" s="120">
        <f t="shared" ref="C21:C26" si="1">SUM(D21:H21)</f>
        <v>0</v>
      </c>
      <c r="D21" s="120">
        <f t="shared" ref="D21:I21" si="2">SUM(D22:D23)</f>
        <v>0</v>
      </c>
      <c r="E21" s="120">
        <f t="shared" si="2"/>
        <v>0</v>
      </c>
      <c r="F21" s="120">
        <f t="shared" si="2"/>
        <v>0</v>
      </c>
      <c r="G21" s="120">
        <f t="shared" si="2"/>
        <v>0</v>
      </c>
      <c r="H21" s="120">
        <f t="shared" si="2"/>
        <v>0</v>
      </c>
      <c r="I21" s="120">
        <f t="shared" si="2"/>
        <v>0</v>
      </c>
    </row>
    <row r="22" spans="1:10" s="87" customFormat="1" ht="12.75" customHeight="1" x14ac:dyDescent="0.2">
      <c r="A22" s="130"/>
      <c r="B22" s="160" t="s">
        <v>26</v>
      </c>
      <c r="C22" s="120">
        <f t="shared" si="1"/>
        <v>0</v>
      </c>
      <c r="D22" s="123">
        <v>0</v>
      </c>
      <c r="E22" s="123">
        <v>0</v>
      </c>
      <c r="F22" s="123">
        <v>0</v>
      </c>
      <c r="G22" s="123">
        <v>0</v>
      </c>
      <c r="H22" s="124">
        <v>0</v>
      </c>
      <c r="I22" s="125">
        <v>0</v>
      </c>
    </row>
    <row r="23" spans="1:10" s="87" customFormat="1" ht="12.75" customHeight="1" x14ac:dyDescent="0.2">
      <c r="A23" s="166"/>
      <c r="B23" s="167" t="s">
        <v>27</v>
      </c>
      <c r="C23" s="120">
        <f t="shared" si="1"/>
        <v>0</v>
      </c>
      <c r="D23" s="133">
        <v>0</v>
      </c>
      <c r="E23" s="133">
        <v>0</v>
      </c>
      <c r="F23" s="133">
        <v>0</v>
      </c>
      <c r="G23" s="133">
        <v>0</v>
      </c>
      <c r="H23" s="134">
        <v>0</v>
      </c>
      <c r="I23" s="135">
        <v>0</v>
      </c>
    </row>
    <row r="24" spans="1:10" s="87" customFormat="1" ht="12.75" customHeight="1" x14ac:dyDescent="0.2">
      <c r="A24" s="503" t="s">
        <v>213</v>
      </c>
      <c r="B24" s="159" t="s">
        <v>25</v>
      </c>
      <c r="C24" s="120">
        <f t="shared" si="1"/>
        <v>0</v>
      </c>
      <c r="D24" s="120">
        <f t="shared" ref="D24:I24" si="3">SUM(D25:D26)</f>
        <v>0</v>
      </c>
      <c r="E24" s="120">
        <f t="shared" si="3"/>
        <v>0</v>
      </c>
      <c r="F24" s="120">
        <f t="shared" si="3"/>
        <v>0</v>
      </c>
      <c r="G24" s="120">
        <f t="shared" si="3"/>
        <v>0</v>
      </c>
      <c r="H24" s="120">
        <f t="shared" si="3"/>
        <v>0</v>
      </c>
      <c r="I24" s="120">
        <f t="shared" si="3"/>
        <v>0</v>
      </c>
    </row>
    <row r="25" spans="1:10" s="87" customFormat="1" ht="12.75" customHeight="1" x14ac:dyDescent="0.2">
      <c r="A25" s="503"/>
      <c r="B25" s="160" t="s">
        <v>26</v>
      </c>
      <c r="C25" s="120">
        <f t="shared" si="1"/>
        <v>0</v>
      </c>
      <c r="D25" s="123">
        <v>0</v>
      </c>
      <c r="E25" s="123">
        <v>0</v>
      </c>
      <c r="F25" s="123">
        <v>0</v>
      </c>
      <c r="G25" s="123">
        <v>0</v>
      </c>
      <c r="H25" s="124">
        <v>0</v>
      </c>
      <c r="I25" s="125">
        <v>0</v>
      </c>
    </row>
    <row r="26" spans="1:10" s="87" customFormat="1" ht="12.75" customHeight="1" x14ac:dyDescent="0.2">
      <c r="A26" s="503"/>
      <c r="B26" s="167" t="s">
        <v>27</v>
      </c>
      <c r="C26" s="120">
        <f t="shared" si="1"/>
        <v>0</v>
      </c>
      <c r="D26" s="123">
        <v>0</v>
      </c>
      <c r="E26" s="123">
        <v>0</v>
      </c>
      <c r="F26" s="123">
        <v>0</v>
      </c>
      <c r="G26" s="123">
        <v>0</v>
      </c>
      <c r="H26" s="124">
        <v>0</v>
      </c>
      <c r="I26" s="126">
        <v>0</v>
      </c>
    </row>
    <row r="27" spans="1:10" s="151" customFormat="1" ht="12.75" customHeight="1" x14ac:dyDescent="0.2">
      <c r="A27" s="114"/>
      <c r="B27" s="114"/>
      <c r="C27" s="115"/>
      <c r="D27" s="115"/>
      <c r="G27" s="168"/>
    </row>
    <row r="28" spans="1:10" s="169" customFormat="1" ht="12.75" customHeight="1" x14ac:dyDescent="0.2">
      <c r="A28" s="137" t="s">
        <v>214</v>
      </c>
      <c r="B28" s="137" t="s">
        <v>23</v>
      </c>
      <c r="C28" s="137" t="s">
        <v>5</v>
      </c>
      <c r="D28" s="137" t="s">
        <v>207</v>
      </c>
      <c r="E28" s="137" t="s">
        <v>208</v>
      </c>
      <c r="F28" s="137" t="s">
        <v>8</v>
      </c>
      <c r="G28" s="137" t="s">
        <v>209</v>
      </c>
      <c r="H28" s="157" t="s">
        <v>10</v>
      </c>
      <c r="I28" s="158" t="s">
        <v>11</v>
      </c>
      <c r="J28" s="140"/>
    </row>
    <row r="29" spans="1:10" s="151" customFormat="1" ht="12.75" customHeight="1" x14ac:dyDescent="0.2">
      <c r="A29" s="170" t="s">
        <v>13</v>
      </c>
      <c r="B29" s="160" t="s">
        <v>25</v>
      </c>
      <c r="C29" s="120">
        <f>SUM(D29:H29)</f>
        <v>0</v>
      </c>
      <c r="D29" s="120">
        <f t="shared" ref="D29:I29" si="4">SUM(D30:D31)</f>
        <v>0</v>
      </c>
      <c r="E29" s="120">
        <f t="shared" si="4"/>
        <v>0</v>
      </c>
      <c r="F29" s="120">
        <f t="shared" si="4"/>
        <v>0</v>
      </c>
      <c r="G29" s="120">
        <f t="shared" si="4"/>
        <v>0</v>
      </c>
      <c r="H29" s="120">
        <f t="shared" si="4"/>
        <v>0</v>
      </c>
      <c r="I29" s="120">
        <f t="shared" si="4"/>
        <v>0</v>
      </c>
      <c r="J29" s="171"/>
    </row>
    <row r="30" spans="1:10" s="151" customFormat="1" ht="12.75" customHeight="1" x14ac:dyDescent="0.2">
      <c r="A30" s="145"/>
      <c r="B30" s="160" t="s">
        <v>26</v>
      </c>
      <c r="C30" s="120">
        <f t="shared" ref="C30:C56" si="5">SUM(D30:H30)</f>
        <v>0</v>
      </c>
      <c r="D30" s="120">
        <f t="shared" ref="D30:H31" si="6">D33+D36+D39+D42+D45+D48</f>
        <v>0</v>
      </c>
      <c r="E30" s="120">
        <f t="shared" si="6"/>
        <v>0</v>
      </c>
      <c r="F30" s="120">
        <f t="shared" si="6"/>
        <v>0</v>
      </c>
      <c r="G30" s="120">
        <f t="shared" si="6"/>
        <v>0</v>
      </c>
      <c r="H30" s="120">
        <f t="shared" si="6"/>
        <v>0</v>
      </c>
      <c r="I30" s="125">
        <v>0</v>
      </c>
      <c r="J30" s="171"/>
    </row>
    <row r="31" spans="1:10" s="151" customFormat="1" ht="12.75" customHeight="1" x14ac:dyDescent="0.2">
      <c r="A31" s="145"/>
      <c r="B31" s="161" t="s">
        <v>27</v>
      </c>
      <c r="C31" s="120">
        <f t="shared" si="5"/>
        <v>0</v>
      </c>
      <c r="D31" s="120">
        <f t="shared" si="6"/>
        <v>0</v>
      </c>
      <c r="E31" s="120">
        <f t="shared" si="6"/>
        <v>0</v>
      </c>
      <c r="F31" s="120">
        <f t="shared" si="6"/>
        <v>0</v>
      </c>
      <c r="G31" s="120">
        <f t="shared" si="6"/>
        <v>0</v>
      </c>
      <c r="H31" s="120">
        <f t="shared" si="6"/>
        <v>0</v>
      </c>
      <c r="I31" s="120">
        <f>I34+I37+I40+I43+I46+I49</f>
        <v>0</v>
      </c>
      <c r="J31" s="171"/>
    </row>
    <row r="32" spans="1:10" s="151" customFormat="1" ht="12.75" customHeight="1" x14ac:dyDescent="0.2">
      <c r="A32" s="165" t="s">
        <v>24</v>
      </c>
      <c r="B32" s="159" t="s">
        <v>25</v>
      </c>
      <c r="C32" s="120">
        <f t="shared" si="5"/>
        <v>0</v>
      </c>
      <c r="D32" s="120">
        <f t="shared" ref="D32:I32" si="7">SUM(D33:D34)</f>
        <v>0</v>
      </c>
      <c r="E32" s="120">
        <f t="shared" si="7"/>
        <v>0</v>
      </c>
      <c r="F32" s="120">
        <f t="shared" si="7"/>
        <v>0</v>
      </c>
      <c r="G32" s="120">
        <f t="shared" si="7"/>
        <v>0</v>
      </c>
      <c r="H32" s="120">
        <f t="shared" si="7"/>
        <v>0</v>
      </c>
      <c r="I32" s="120">
        <f t="shared" si="7"/>
        <v>0</v>
      </c>
      <c r="J32" s="171"/>
    </row>
    <row r="33" spans="1:10" s="151" customFormat="1" ht="12.75" customHeight="1" x14ac:dyDescent="0.2">
      <c r="A33" s="130"/>
      <c r="B33" s="160" t="s">
        <v>26</v>
      </c>
      <c r="C33" s="120">
        <f t="shared" si="5"/>
        <v>0</v>
      </c>
      <c r="D33" s="123">
        <f>BRUCELOSIS!E223</f>
        <v>0</v>
      </c>
      <c r="E33" s="123">
        <f>BRUCELOSIS!F223</f>
        <v>0</v>
      </c>
      <c r="F33" s="123">
        <f>BRUCELOSIS!G223</f>
        <v>0</v>
      </c>
      <c r="G33" s="123">
        <f>BRUCELOSIS!H223</f>
        <v>0</v>
      </c>
      <c r="H33" s="123">
        <f>BRUCELOSIS!I223</f>
        <v>0</v>
      </c>
      <c r="I33" s="123">
        <f>ZOONOSIS!J223</f>
        <v>0</v>
      </c>
      <c r="J33" s="171"/>
    </row>
    <row r="34" spans="1:10" s="151" customFormat="1" ht="12.75" customHeight="1" x14ac:dyDescent="0.2">
      <c r="A34" s="166"/>
      <c r="B34" s="167" t="s">
        <v>27</v>
      </c>
      <c r="C34" s="120">
        <f t="shared" si="5"/>
        <v>0</v>
      </c>
      <c r="D34" s="123">
        <f>ZOONOSIS!E224</f>
        <v>0</v>
      </c>
      <c r="E34" s="123">
        <f>ZOONOSIS!F224</f>
        <v>0</v>
      </c>
      <c r="F34" s="123">
        <f>ZOONOSIS!G224</f>
        <v>0</v>
      </c>
      <c r="G34" s="123">
        <f>ZOONOSIS!H224</f>
        <v>0</v>
      </c>
      <c r="H34" s="123">
        <f>ZOONOSIS!I224</f>
        <v>0</v>
      </c>
      <c r="I34" s="123">
        <f>ZOONOSIS!J224</f>
        <v>0</v>
      </c>
      <c r="J34" s="171"/>
    </row>
    <row r="35" spans="1:10" s="151" customFormat="1" ht="12.75" customHeight="1" x14ac:dyDescent="0.2">
      <c r="A35" s="165" t="s">
        <v>28</v>
      </c>
      <c r="B35" s="159" t="s">
        <v>25</v>
      </c>
      <c r="C35" s="120">
        <f t="shared" si="5"/>
        <v>0</v>
      </c>
      <c r="D35" s="120">
        <f t="shared" ref="D35:I35" si="8">SUM(D36:D37)</f>
        <v>0</v>
      </c>
      <c r="E35" s="120">
        <f t="shared" si="8"/>
        <v>0</v>
      </c>
      <c r="F35" s="120">
        <f t="shared" si="8"/>
        <v>0</v>
      </c>
      <c r="G35" s="120">
        <f t="shared" si="8"/>
        <v>0</v>
      </c>
      <c r="H35" s="120">
        <f t="shared" si="8"/>
        <v>0</v>
      </c>
      <c r="I35" s="120">
        <f t="shared" si="8"/>
        <v>0</v>
      </c>
      <c r="J35" s="171"/>
    </row>
    <row r="36" spans="1:10" s="151" customFormat="1" ht="12.75" customHeight="1" x14ac:dyDescent="0.2">
      <c r="A36" s="130"/>
      <c r="B36" s="160" t="s">
        <v>26</v>
      </c>
      <c r="C36" s="120">
        <f t="shared" si="5"/>
        <v>0</v>
      </c>
      <c r="D36" s="123">
        <f>ZOONOSIS!E226</f>
        <v>0</v>
      </c>
      <c r="E36" s="123">
        <f>ZOONOSIS!F226</f>
        <v>0</v>
      </c>
      <c r="F36" s="123">
        <f>ZOONOSIS!G226</f>
        <v>0</v>
      </c>
      <c r="G36" s="123">
        <f>ZOONOSIS!H226</f>
        <v>0</v>
      </c>
      <c r="H36" s="123">
        <f>ZOONOSIS!I226</f>
        <v>0</v>
      </c>
      <c r="I36" s="123">
        <f>ZOONOSIS!J226</f>
        <v>0</v>
      </c>
      <c r="J36" s="171"/>
    </row>
    <row r="37" spans="1:10" s="151" customFormat="1" ht="12.75" customHeight="1" x14ac:dyDescent="0.2">
      <c r="A37" s="166"/>
      <c r="B37" s="167" t="s">
        <v>27</v>
      </c>
      <c r="C37" s="120">
        <f t="shared" si="5"/>
        <v>0</v>
      </c>
      <c r="D37" s="123">
        <f>ZOONOSIS!E227</f>
        <v>0</v>
      </c>
      <c r="E37" s="123">
        <f>ZOONOSIS!F227</f>
        <v>0</v>
      </c>
      <c r="F37" s="123">
        <f>ZOONOSIS!G227</f>
        <v>0</v>
      </c>
      <c r="G37" s="123">
        <f>ZOONOSIS!H227</f>
        <v>0</v>
      </c>
      <c r="H37" s="123">
        <f>ZOONOSIS!I227</f>
        <v>0</v>
      </c>
      <c r="I37" s="123">
        <f>ZOONOSIS!J227</f>
        <v>0</v>
      </c>
      <c r="J37" s="171"/>
    </row>
    <row r="38" spans="1:10" s="151" customFormat="1" ht="12.75" customHeight="1" x14ac:dyDescent="0.2">
      <c r="A38" s="165" t="s">
        <v>29</v>
      </c>
      <c r="B38" s="159" t="s">
        <v>25</v>
      </c>
      <c r="C38" s="120">
        <f t="shared" si="5"/>
        <v>0</v>
      </c>
      <c r="D38" s="120">
        <f t="shared" ref="D38:I38" si="9">SUM(D39:D40)</f>
        <v>0</v>
      </c>
      <c r="E38" s="120">
        <f t="shared" si="9"/>
        <v>0</v>
      </c>
      <c r="F38" s="120">
        <f t="shared" si="9"/>
        <v>0</v>
      </c>
      <c r="G38" s="120">
        <f t="shared" si="9"/>
        <v>0</v>
      </c>
      <c r="H38" s="120">
        <f t="shared" si="9"/>
        <v>0</v>
      </c>
      <c r="I38" s="120">
        <f t="shared" si="9"/>
        <v>0</v>
      </c>
      <c r="J38" s="171"/>
    </row>
    <row r="39" spans="1:10" s="151" customFormat="1" ht="12.75" customHeight="1" x14ac:dyDescent="0.2">
      <c r="A39" s="130"/>
      <c r="B39" s="160" t="s">
        <v>26</v>
      </c>
      <c r="C39" s="120">
        <f t="shared" si="5"/>
        <v>0</v>
      </c>
      <c r="D39" s="123">
        <f>ZOONOSIS!E229</f>
        <v>0</v>
      </c>
      <c r="E39" s="123">
        <f>ZOONOSIS!F229</f>
        <v>0</v>
      </c>
      <c r="F39" s="123">
        <f>ZOONOSIS!G229</f>
        <v>0</v>
      </c>
      <c r="G39" s="123">
        <f>ZOONOSIS!H229</f>
        <v>0</v>
      </c>
      <c r="H39" s="123">
        <f>ZOONOSIS!I229</f>
        <v>0</v>
      </c>
      <c r="I39" s="123">
        <f>ZOONOSIS!J229</f>
        <v>0</v>
      </c>
      <c r="J39" s="171"/>
    </row>
    <row r="40" spans="1:10" s="151" customFormat="1" ht="12.75" customHeight="1" x14ac:dyDescent="0.2">
      <c r="A40" s="166"/>
      <c r="B40" s="167" t="s">
        <v>27</v>
      </c>
      <c r="C40" s="120">
        <f t="shared" si="5"/>
        <v>0</v>
      </c>
      <c r="D40" s="123">
        <f>ZOONOSIS!E230</f>
        <v>0</v>
      </c>
      <c r="E40" s="123">
        <f>ZOONOSIS!F230</f>
        <v>0</v>
      </c>
      <c r="F40" s="123">
        <f>ZOONOSIS!G230</f>
        <v>0</v>
      </c>
      <c r="G40" s="123">
        <f>ZOONOSIS!H230</f>
        <v>0</v>
      </c>
      <c r="H40" s="123">
        <f>ZOONOSIS!I230</f>
        <v>0</v>
      </c>
      <c r="I40" s="123">
        <f>ZOONOSIS!J230</f>
        <v>0</v>
      </c>
      <c r="J40" s="171"/>
    </row>
    <row r="41" spans="1:10" s="151" customFormat="1" ht="12.75" customHeight="1" x14ac:dyDescent="0.2">
      <c r="A41" s="165" t="s">
        <v>30</v>
      </c>
      <c r="B41" s="159" t="s">
        <v>25</v>
      </c>
      <c r="C41" s="120">
        <f t="shared" si="5"/>
        <v>0</v>
      </c>
      <c r="D41" s="120">
        <f t="shared" ref="D41:I41" si="10">SUM(D42:D43)</f>
        <v>0</v>
      </c>
      <c r="E41" s="120">
        <f t="shared" si="10"/>
        <v>0</v>
      </c>
      <c r="F41" s="120">
        <f t="shared" si="10"/>
        <v>0</v>
      </c>
      <c r="G41" s="120">
        <f t="shared" si="10"/>
        <v>0</v>
      </c>
      <c r="H41" s="120">
        <f t="shared" si="10"/>
        <v>0</v>
      </c>
      <c r="I41" s="120">
        <f t="shared" si="10"/>
        <v>0</v>
      </c>
      <c r="J41" s="171"/>
    </row>
    <row r="42" spans="1:10" s="151" customFormat="1" ht="12.75" customHeight="1" x14ac:dyDescent="0.2">
      <c r="A42" s="130"/>
      <c r="B42" s="160" t="s">
        <v>26</v>
      </c>
      <c r="C42" s="120">
        <f t="shared" si="5"/>
        <v>0</v>
      </c>
      <c r="D42" s="123">
        <f>ZOONOSIS!E232</f>
        <v>0</v>
      </c>
      <c r="E42" s="123">
        <f>ZOONOSIS!F232</f>
        <v>0</v>
      </c>
      <c r="F42" s="123">
        <f>ZOONOSIS!G232</f>
        <v>0</v>
      </c>
      <c r="G42" s="123">
        <f>ZOONOSIS!H232</f>
        <v>0</v>
      </c>
      <c r="H42" s="123">
        <f>ZOONOSIS!I232</f>
        <v>0</v>
      </c>
      <c r="I42" s="123">
        <f>ZOONOSIS!J232</f>
        <v>0</v>
      </c>
      <c r="J42" s="171"/>
    </row>
    <row r="43" spans="1:10" s="151" customFormat="1" ht="12.75" customHeight="1" x14ac:dyDescent="0.2">
      <c r="A43" s="166"/>
      <c r="B43" s="167" t="s">
        <v>27</v>
      </c>
      <c r="C43" s="120">
        <f t="shared" si="5"/>
        <v>0</v>
      </c>
      <c r="D43" s="123">
        <f>ZOONOSIS!E233</f>
        <v>0</v>
      </c>
      <c r="E43" s="123">
        <f>ZOONOSIS!F233</f>
        <v>0</v>
      </c>
      <c r="F43" s="123">
        <f>ZOONOSIS!G233</f>
        <v>0</v>
      </c>
      <c r="G43" s="123">
        <f>ZOONOSIS!H233</f>
        <v>0</v>
      </c>
      <c r="H43" s="123">
        <f>ZOONOSIS!I233</f>
        <v>0</v>
      </c>
      <c r="I43" s="123">
        <f>ZOONOSIS!J233</f>
        <v>0</v>
      </c>
      <c r="J43" s="171"/>
    </row>
    <row r="44" spans="1:10" s="151" customFormat="1" ht="12.75" customHeight="1" x14ac:dyDescent="0.2">
      <c r="A44" s="165" t="s">
        <v>31</v>
      </c>
      <c r="B44" s="159" t="s">
        <v>25</v>
      </c>
      <c r="C44" s="120">
        <f t="shared" si="5"/>
        <v>0</v>
      </c>
      <c r="D44" s="120">
        <f t="shared" ref="D44:I44" si="11">SUM(D45:D46)</f>
        <v>0</v>
      </c>
      <c r="E44" s="120">
        <f t="shared" si="11"/>
        <v>0</v>
      </c>
      <c r="F44" s="120">
        <f t="shared" si="11"/>
        <v>0</v>
      </c>
      <c r="G44" s="120">
        <f t="shared" si="11"/>
        <v>0</v>
      </c>
      <c r="H44" s="120">
        <f t="shared" si="11"/>
        <v>0</v>
      </c>
      <c r="I44" s="120">
        <f t="shared" si="11"/>
        <v>0</v>
      </c>
      <c r="J44" s="171"/>
    </row>
    <row r="45" spans="1:10" s="151" customFormat="1" ht="12.75" customHeight="1" x14ac:dyDescent="0.2">
      <c r="A45" s="130"/>
      <c r="B45" s="160" t="s">
        <v>26</v>
      </c>
      <c r="C45" s="120">
        <f t="shared" si="5"/>
        <v>0</v>
      </c>
      <c r="D45" s="123">
        <f>ZOONOSIS!E235</f>
        <v>0</v>
      </c>
      <c r="E45" s="123">
        <f>ZOONOSIS!F235</f>
        <v>0</v>
      </c>
      <c r="F45" s="123">
        <f>ZOONOSIS!G235</f>
        <v>0</v>
      </c>
      <c r="G45" s="123">
        <f>ZOONOSIS!H235</f>
        <v>0</v>
      </c>
      <c r="H45" s="123">
        <f>ZOONOSIS!I235</f>
        <v>0</v>
      </c>
      <c r="I45" s="123">
        <f>ZOONOSIS!J235</f>
        <v>0</v>
      </c>
      <c r="J45" s="171"/>
    </row>
    <row r="46" spans="1:10" s="151" customFormat="1" ht="12.75" customHeight="1" x14ac:dyDescent="0.2">
      <c r="A46" s="166"/>
      <c r="B46" s="167" t="s">
        <v>27</v>
      </c>
      <c r="C46" s="120">
        <f t="shared" si="5"/>
        <v>0</v>
      </c>
      <c r="D46" s="123">
        <f>ZOONOSIS!E236</f>
        <v>0</v>
      </c>
      <c r="E46" s="123">
        <f>ZOONOSIS!F236</f>
        <v>0</v>
      </c>
      <c r="F46" s="123">
        <f>ZOONOSIS!G236</f>
        <v>0</v>
      </c>
      <c r="G46" s="123">
        <f>ZOONOSIS!H236</f>
        <v>0</v>
      </c>
      <c r="H46" s="123">
        <f>ZOONOSIS!I236</f>
        <v>0</v>
      </c>
      <c r="I46" s="123">
        <f>ZOONOSIS!J236</f>
        <v>0</v>
      </c>
      <c r="J46" s="171"/>
    </row>
    <row r="47" spans="1:10" s="151" customFormat="1" ht="12.75" customHeight="1" x14ac:dyDescent="0.2">
      <c r="A47" s="165" t="s">
        <v>215</v>
      </c>
      <c r="B47" s="159" t="s">
        <v>25</v>
      </c>
      <c r="C47" s="120">
        <f t="shared" si="5"/>
        <v>0</v>
      </c>
      <c r="D47" s="120">
        <f t="shared" ref="D47:I47" si="12">SUM(D48:D49)</f>
        <v>0</v>
      </c>
      <c r="E47" s="120">
        <f t="shared" si="12"/>
        <v>0</v>
      </c>
      <c r="F47" s="120">
        <f t="shared" si="12"/>
        <v>0</v>
      </c>
      <c r="G47" s="120">
        <f t="shared" si="12"/>
        <v>0</v>
      </c>
      <c r="H47" s="120">
        <f t="shared" si="12"/>
        <v>0</v>
      </c>
      <c r="I47" s="120">
        <f t="shared" si="12"/>
        <v>0</v>
      </c>
      <c r="J47" s="171"/>
    </row>
    <row r="48" spans="1:10" s="151" customFormat="1" ht="12.75" customHeight="1" x14ac:dyDescent="0.2">
      <c r="A48" s="130"/>
      <c r="B48" s="160" t="s">
        <v>26</v>
      </c>
      <c r="C48" s="120">
        <f t="shared" si="5"/>
        <v>0</v>
      </c>
      <c r="D48" s="123">
        <f>ZOONOSIS!E238</f>
        <v>0</v>
      </c>
      <c r="E48" s="123">
        <f>ZOONOSIS!F238</f>
        <v>0</v>
      </c>
      <c r="F48" s="123">
        <f>ZOONOSIS!G238</f>
        <v>0</v>
      </c>
      <c r="G48" s="123">
        <f>ZOONOSIS!H238</f>
        <v>0</v>
      </c>
      <c r="H48" s="123">
        <f>ZOONOSIS!I238</f>
        <v>0</v>
      </c>
      <c r="I48" s="123">
        <f>ZOONOSIS!J238</f>
        <v>0</v>
      </c>
      <c r="J48" s="171"/>
    </row>
    <row r="49" spans="1:11" s="151" customFormat="1" ht="12.75" customHeight="1" x14ac:dyDescent="0.2">
      <c r="A49" s="166"/>
      <c r="B49" s="167" t="s">
        <v>27</v>
      </c>
      <c r="C49" s="120">
        <f t="shared" si="5"/>
        <v>0</v>
      </c>
      <c r="D49" s="123">
        <f>ZOONOSIS!E239</f>
        <v>0</v>
      </c>
      <c r="E49" s="123">
        <f>ZOONOSIS!F239</f>
        <v>0</v>
      </c>
      <c r="F49" s="123">
        <f>ZOONOSIS!G239</f>
        <v>0</v>
      </c>
      <c r="G49" s="123">
        <f>ZOONOSIS!H239</f>
        <v>0</v>
      </c>
      <c r="H49" s="123">
        <f>ZOONOSIS!I239</f>
        <v>0</v>
      </c>
      <c r="I49" s="123">
        <f>ZOONOSIS!J239</f>
        <v>0</v>
      </c>
      <c r="J49" s="171"/>
    </row>
    <row r="50" spans="1:11" s="151" customFormat="1" ht="12.75" customHeight="1" x14ac:dyDescent="0.2">
      <c r="B50" s="94"/>
      <c r="C50" s="172"/>
      <c r="D50" s="173"/>
      <c r="E50" s="173"/>
      <c r="F50" s="173"/>
      <c r="G50" s="174"/>
      <c r="H50" s="175"/>
      <c r="I50" s="175"/>
      <c r="J50" s="171"/>
    </row>
    <row r="51" spans="1:11" s="151" customFormat="1" ht="12.75" customHeight="1" x14ac:dyDescent="0.2">
      <c r="A51" s="176" t="s">
        <v>33</v>
      </c>
      <c r="B51" s="159" t="s">
        <v>25</v>
      </c>
      <c r="C51" s="120">
        <f t="shared" si="5"/>
        <v>0</v>
      </c>
      <c r="D51" s="120">
        <f t="shared" ref="D51:I51" si="13">SUM(D52:D53)</f>
        <v>0</v>
      </c>
      <c r="E51" s="120">
        <f t="shared" si="13"/>
        <v>0</v>
      </c>
      <c r="F51" s="120">
        <f t="shared" si="13"/>
        <v>0</v>
      </c>
      <c r="G51" s="120">
        <f t="shared" si="13"/>
        <v>0</v>
      </c>
      <c r="H51" s="120">
        <f t="shared" si="13"/>
        <v>0</v>
      </c>
      <c r="I51" s="120">
        <f t="shared" si="13"/>
        <v>0</v>
      </c>
      <c r="J51" s="171"/>
    </row>
    <row r="52" spans="1:11" s="151" customFormat="1" ht="12.75" customHeight="1" x14ac:dyDescent="0.2">
      <c r="A52" s="177"/>
      <c r="B52" s="160" t="s">
        <v>26</v>
      </c>
      <c r="C52" s="120">
        <f t="shared" si="5"/>
        <v>0</v>
      </c>
      <c r="D52" s="123">
        <f>ZOONOSIS!E241</f>
        <v>0</v>
      </c>
      <c r="E52" s="123">
        <f>ZOONOSIS!F241</f>
        <v>0</v>
      </c>
      <c r="F52" s="123">
        <f>ZOONOSIS!G241</f>
        <v>0</v>
      </c>
      <c r="G52" s="123">
        <f>ZOONOSIS!H241</f>
        <v>0</v>
      </c>
      <c r="H52" s="123">
        <f>ZOONOSIS!I241</f>
        <v>0</v>
      </c>
      <c r="I52" s="123">
        <f>ZOONOSIS!J241</f>
        <v>0</v>
      </c>
      <c r="J52" s="171"/>
    </row>
    <row r="53" spans="1:11" s="151" customFormat="1" ht="12.75" customHeight="1" x14ac:dyDescent="0.2">
      <c r="A53" s="178"/>
      <c r="B53" s="160" t="s">
        <v>27</v>
      </c>
      <c r="C53" s="120">
        <f t="shared" si="5"/>
        <v>0</v>
      </c>
      <c r="D53" s="123">
        <f>ZOONOSIS!E242</f>
        <v>0</v>
      </c>
      <c r="E53" s="123">
        <f>ZOONOSIS!F242</f>
        <v>0</v>
      </c>
      <c r="F53" s="123">
        <f>ZOONOSIS!G242</f>
        <v>0</v>
      </c>
      <c r="G53" s="123">
        <f>ZOONOSIS!H242</f>
        <v>0</v>
      </c>
      <c r="H53" s="123">
        <f>ZOONOSIS!I242</f>
        <v>0</v>
      </c>
      <c r="I53" s="123">
        <f>ZOONOSIS!J242</f>
        <v>0</v>
      </c>
      <c r="J53" s="171"/>
    </row>
    <row r="54" spans="1:11" s="151" customFormat="1" ht="12.75" customHeight="1" x14ac:dyDescent="0.2">
      <c r="A54" s="179" t="s">
        <v>216</v>
      </c>
      <c r="B54" s="160" t="s">
        <v>25</v>
      </c>
      <c r="C54" s="120">
        <f t="shared" si="5"/>
        <v>0</v>
      </c>
      <c r="D54" s="120">
        <f t="shared" ref="D54:I54" si="14">SUM(D55:D56)</f>
        <v>0</v>
      </c>
      <c r="E54" s="120">
        <f t="shared" si="14"/>
        <v>0</v>
      </c>
      <c r="F54" s="120">
        <f t="shared" si="14"/>
        <v>0</v>
      </c>
      <c r="G54" s="120">
        <f t="shared" si="14"/>
        <v>0</v>
      </c>
      <c r="H54" s="120">
        <f t="shared" si="14"/>
        <v>0</v>
      </c>
      <c r="I54" s="120">
        <f t="shared" si="14"/>
        <v>0</v>
      </c>
      <c r="J54" s="171"/>
    </row>
    <row r="55" spans="1:11" s="151" customFormat="1" ht="12.75" customHeight="1" x14ac:dyDescent="0.2">
      <c r="A55" s="179"/>
      <c r="B55" s="160" t="s">
        <v>26</v>
      </c>
      <c r="C55" s="120">
        <f t="shared" si="5"/>
        <v>0</v>
      </c>
      <c r="D55" s="123">
        <v>0</v>
      </c>
      <c r="E55" s="123">
        <v>0</v>
      </c>
      <c r="F55" s="123">
        <v>0</v>
      </c>
      <c r="G55" s="123">
        <v>0</v>
      </c>
      <c r="H55" s="124">
        <v>0</v>
      </c>
      <c r="I55" s="125">
        <v>0</v>
      </c>
      <c r="J55" s="171"/>
    </row>
    <row r="56" spans="1:11" s="151" customFormat="1" ht="12.75" customHeight="1" x14ac:dyDescent="0.2">
      <c r="A56" s="180"/>
      <c r="B56" s="167" t="s">
        <v>27</v>
      </c>
      <c r="C56" s="120">
        <f t="shared" si="5"/>
        <v>0</v>
      </c>
      <c r="D56" s="123">
        <v>0</v>
      </c>
      <c r="E56" s="123">
        <v>0</v>
      </c>
      <c r="F56" s="123">
        <v>0</v>
      </c>
      <c r="G56" s="123">
        <v>0</v>
      </c>
      <c r="H56" s="124">
        <v>0</v>
      </c>
      <c r="I56" s="126">
        <v>0</v>
      </c>
      <c r="J56" s="171"/>
    </row>
    <row r="57" spans="1:11" s="151" customFormat="1" ht="12.75" customHeight="1" x14ac:dyDescent="0.2">
      <c r="B57" s="94"/>
      <c r="C57" s="181"/>
      <c r="D57" s="181"/>
      <c r="E57" s="181"/>
      <c r="F57" s="181"/>
      <c r="G57" s="168"/>
      <c r="H57" s="171"/>
      <c r="I57" s="171"/>
      <c r="J57" s="171"/>
    </row>
    <row r="58" spans="1:11" s="151" customFormat="1" ht="12.75" customHeight="1" x14ac:dyDescent="0.2">
      <c r="A58" s="138" t="s">
        <v>167</v>
      </c>
      <c r="B58" s="119" t="s">
        <v>23</v>
      </c>
      <c r="C58" s="137" t="s">
        <v>5</v>
      </c>
      <c r="D58" s="137" t="s">
        <v>108</v>
      </c>
      <c r="E58" s="137" t="s">
        <v>109</v>
      </c>
      <c r="F58" s="137" t="s">
        <v>110</v>
      </c>
      <c r="G58" s="137" t="s">
        <v>111</v>
      </c>
      <c r="H58" s="182" t="s">
        <v>112</v>
      </c>
      <c r="I58" s="183" t="s">
        <v>11</v>
      </c>
      <c r="J58" s="171"/>
      <c r="K58" s="171"/>
    </row>
    <row r="59" spans="1:11" s="151" customFormat="1" ht="12.75" customHeight="1" x14ac:dyDescent="0.2">
      <c r="A59" s="184" t="s">
        <v>217</v>
      </c>
      <c r="B59" s="185" t="s">
        <v>25</v>
      </c>
      <c r="C59" s="120">
        <f>SUM(D59:H59)</f>
        <v>0</v>
      </c>
      <c r="D59" s="120">
        <f t="shared" ref="D59:I59" si="15">SUM(D60:D61)</f>
        <v>0</v>
      </c>
      <c r="E59" s="120">
        <f t="shared" si="15"/>
        <v>0</v>
      </c>
      <c r="F59" s="120">
        <f t="shared" si="15"/>
        <v>0</v>
      </c>
      <c r="G59" s="120">
        <f t="shared" si="15"/>
        <v>0</v>
      </c>
      <c r="H59" s="120">
        <f t="shared" si="15"/>
        <v>0</v>
      </c>
      <c r="I59" s="120">
        <f t="shared" si="15"/>
        <v>0</v>
      </c>
      <c r="J59" s="171"/>
      <c r="K59" s="171"/>
    </row>
    <row r="60" spans="1:11" s="151" customFormat="1" ht="12.75" customHeight="1" x14ac:dyDescent="0.2">
      <c r="A60" s="186"/>
      <c r="B60" s="185" t="s">
        <v>26</v>
      </c>
      <c r="C60" s="120">
        <f>SUM(D60:H60)</f>
        <v>0</v>
      </c>
      <c r="D60" s="123">
        <v>0</v>
      </c>
      <c r="E60" s="123">
        <v>0</v>
      </c>
      <c r="F60" s="123">
        <v>0</v>
      </c>
      <c r="G60" s="123">
        <v>0</v>
      </c>
      <c r="H60" s="124">
        <v>0</v>
      </c>
      <c r="I60" s="125">
        <v>0</v>
      </c>
      <c r="J60" s="171"/>
    </row>
    <row r="61" spans="1:11" s="169" customFormat="1" ht="12.75" customHeight="1" x14ac:dyDescent="0.2">
      <c r="A61" s="187"/>
      <c r="B61" s="185" t="s">
        <v>27</v>
      </c>
      <c r="C61" s="120">
        <f>SUM(D61:H61)</f>
        <v>0</v>
      </c>
      <c r="D61" s="123">
        <v>0</v>
      </c>
      <c r="E61" s="123">
        <v>0</v>
      </c>
      <c r="F61" s="123">
        <v>0</v>
      </c>
      <c r="G61" s="123">
        <v>0</v>
      </c>
      <c r="H61" s="124">
        <v>0</v>
      </c>
      <c r="I61" s="126">
        <v>0</v>
      </c>
      <c r="J61" s="188"/>
    </row>
    <row r="62" spans="1:11" s="87" customFormat="1" ht="12.75" customHeight="1" x14ac:dyDescent="0.2">
      <c r="A62" s="181"/>
      <c r="B62" s="181"/>
      <c r="C62" s="181"/>
      <c r="D62" s="181"/>
      <c r="E62" s="181"/>
      <c r="F62" s="181"/>
      <c r="G62" s="168"/>
      <c r="H62" s="171"/>
      <c r="I62" s="171"/>
    </row>
    <row r="63" spans="1:11" s="87" customFormat="1" ht="12.75" customHeight="1" x14ac:dyDescent="0.2">
      <c r="A63" s="498" t="s">
        <v>117</v>
      </c>
      <c r="B63" s="498"/>
      <c r="C63" s="137" t="s">
        <v>5</v>
      </c>
      <c r="D63" s="137" t="s">
        <v>108</v>
      </c>
      <c r="E63" s="137" t="s">
        <v>109</v>
      </c>
      <c r="F63" s="137" t="s">
        <v>110</v>
      </c>
      <c r="G63" s="137" t="s">
        <v>111</v>
      </c>
      <c r="H63" s="182" t="s">
        <v>112</v>
      </c>
      <c r="I63" s="183" t="s">
        <v>11</v>
      </c>
    </row>
    <row r="64" spans="1:11" s="87" customFormat="1" ht="12.75" customHeight="1" x14ac:dyDescent="0.2">
      <c r="A64" s="504" t="s">
        <v>218</v>
      </c>
      <c r="B64" s="504"/>
      <c r="C64" s="120">
        <f>SUM(D64:H64)</f>
        <v>0</v>
      </c>
      <c r="D64" s="123">
        <f>ZOONOSIS!D246</f>
        <v>0</v>
      </c>
      <c r="E64" s="123">
        <f>ZOONOSIS!E246</f>
        <v>0</v>
      </c>
      <c r="F64" s="123">
        <f>ZOONOSIS!F246</f>
        <v>0</v>
      </c>
      <c r="G64" s="123">
        <f>ZOONOSIS!G246</f>
        <v>0</v>
      </c>
      <c r="H64" s="123">
        <f>ZOONOSIS!H246</f>
        <v>0</v>
      </c>
      <c r="I64" s="123">
        <f>ZOONOSIS!I246</f>
        <v>0</v>
      </c>
    </row>
    <row r="65" spans="1:9" s="87" customFormat="1" ht="12.75" customHeight="1" x14ac:dyDescent="0.2">
      <c r="A65" s="505" t="s">
        <v>219</v>
      </c>
      <c r="B65" s="505"/>
      <c r="C65" s="120">
        <f>SUM(D65:H65)</f>
        <v>0</v>
      </c>
      <c r="D65" s="123">
        <f>ZOONOSIS!D247</f>
        <v>0</v>
      </c>
      <c r="E65" s="123">
        <f>ZOONOSIS!E247</f>
        <v>0</v>
      </c>
      <c r="F65" s="123">
        <f>ZOONOSIS!F247</f>
        <v>0</v>
      </c>
      <c r="G65" s="123">
        <f>ZOONOSIS!G247</f>
        <v>0</v>
      </c>
      <c r="H65" s="123">
        <f>ZOONOSIS!H247</f>
        <v>0</v>
      </c>
      <c r="I65" s="123">
        <v>0</v>
      </c>
    </row>
    <row r="66" spans="1:9" s="87" customFormat="1" ht="12.75" customHeight="1" x14ac:dyDescent="0.2">
      <c r="A66" s="505" t="s">
        <v>220</v>
      </c>
      <c r="B66" s="505"/>
      <c r="C66" s="120">
        <f>SUM(D66:H66)</f>
        <v>0</v>
      </c>
      <c r="D66" s="123">
        <v>0</v>
      </c>
      <c r="E66" s="123">
        <v>0</v>
      </c>
      <c r="F66" s="123">
        <v>0</v>
      </c>
      <c r="G66" s="123">
        <v>0</v>
      </c>
      <c r="H66" s="123">
        <v>0</v>
      </c>
      <c r="I66" s="123">
        <v>0</v>
      </c>
    </row>
    <row r="67" spans="1:9" s="87" customFormat="1" ht="12.75" customHeight="1" x14ac:dyDescent="0.2">
      <c r="A67" s="191"/>
      <c r="B67" s="141"/>
      <c r="C67" s="103"/>
      <c r="D67" s="103"/>
      <c r="E67" s="103"/>
      <c r="F67" s="103"/>
    </row>
    <row r="68" spans="1:9" s="87" customFormat="1" ht="12.75" customHeight="1" x14ac:dyDescent="0.2">
      <c r="A68" s="128" t="s">
        <v>221</v>
      </c>
      <c r="B68" s="141"/>
    </row>
    <row r="69" spans="1:9" s="87" customFormat="1" ht="12.75" customHeight="1" x14ac:dyDescent="0.2">
      <c r="A69" s="498" t="s">
        <v>194</v>
      </c>
      <c r="B69" s="498"/>
    </row>
    <row r="70" spans="1:9" s="87" customFormat="1" ht="12.75" customHeight="1" x14ac:dyDescent="0.2">
      <c r="A70" s="189" t="s">
        <v>222</v>
      </c>
      <c r="B70" s="123">
        <f>ZOONOSIS!C251</f>
        <v>0</v>
      </c>
    </row>
    <row r="71" spans="1:9" s="151" customFormat="1" ht="12.75" customHeight="1" x14ac:dyDescent="0.2">
      <c r="A71" s="189" t="s">
        <v>223</v>
      </c>
      <c r="B71" s="123">
        <f>ZOONOSIS!C252</f>
        <v>0</v>
      </c>
      <c r="C71" s="87"/>
      <c r="D71" s="87"/>
      <c r="E71" s="87"/>
      <c r="F71" s="87"/>
      <c r="G71" s="87"/>
      <c r="H71" s="87"/>
      <c r="I71" s="87"/>
    </row>
    <row r="72" spans="1:9" s="151" customFormat="1" ht="12.75" customHeight="1" x14ac:dyDescent="0.2">
      <c r="A72" s="189" t="s">
        <v>224</v>
      </c>
      <c r="B72" s="123">
        <f>ZOONOSIS!C253</f>
        <v>0</v>
      </c>
      <c r="C72" s="87"/>
      <c r="D72" s="87"/>
      <c r="E72" s="87"/>
      <c r="F72" s="87"/>
      <c r="G72" s="87"/>
      <c r="H72" s="87"/>
      <c r="I72" s="87"/>
    </row>
    <row r="73" spans="1:9" s="151" customFormat="1" ht="12.75" customHeight="1" x14ac:dyDescent="0.2">
      <c r="A73" s="139"/>
      <c r="B73" s="141"/>
      <c r="C73" s="87"/>
      <c r="D73" s="87"/>
      <c r="E73" s="87"/>
      <c r="F73" s="87"/>
      <c r="G73" s="87"/>
      <c r="H73" s="87"/>
      <c r="I73" s="87"/>
    </row>
    <row r="74" spans="1:9" s="151" customFormat="1" ht="12.75" customHeight="1" x14ac:dyDescent="0.2">
      <c r="A74" s="498" t="s">
        <v>225</v>
      </c>
      <c r="B74" s="498"/>
      <c r="C74" s="87"/>
      <c r="D74" s="87"/>
      <c r="E74" s="87"/>
      <c r="F74" s="87"/>
      <c r="G74" s="87"/>
      <c r="H74" s="87"/>
      <c r="I74" s="87"/>
    </row>
    <row r="75" spans="1:9" s="151" customFormat="1" ht="12.75" customHeight="1" x14ac:dyDescent="0.2">
      <c r="A75" s="189" t="s">
        <v>226</v>
      </c>
      <c r="B75" s="123">
        <v>0</v>
      </c>
      <c r="C75" s="192"/>
      <c r="D75" s="192"/>
      <c r="E75" s="192"/>
      <c r="F75" s="192"/>
      <c r="G75" s="168"/>
    </row>
    <row r="76" spans="1:9" s="151" customFormat="1" ht="12.75" customHeight="1" x14ac:dyDescent="0.2">
      <c r="A76" s="189" t="s">
        <v>227</v>
      </c>
      <c r="B76" s="123">
        <v>0</v>
      </c>
      <c r="C76" s="192"/>
      <c r="D76" s="192"/>
      <c r="E76" s="192"/>
      <c r="F76" s="192"/>
      <c r="G76" s="168"/>
    </row>
  </sheetData>
  <sheetProtection selectLockedCells="1" selectUnlockedCells="1"/>
  <mergeCells count="11">
    <mergeCell ref="A74:B74"/>
    <mergeCell ref="A4:I4"/>
    <mergeCell ref="B6:D6"/>
    <mergeCell ref="B8:D8"/>
    <mergeCell ref="A16:A18"/>
    <mergeCell ref="A24:A26"/>
    <mergeCell ref="A63:B63"/>
    <mergeCell ref="A64:B64"/>
    <mergeCell ref="A65:B65"/>
    <mergeCell ref="A66:B66"/>
    <mergeCell ref="A69:B69"/>
  </mergeCells>
  <printOptions horizontalCentered="1"/>
  <pageMargins left="0" right="0" top="0.39374999999999999" bottom="0" header="0.51180555555555551" footer="0.51180555555555551"/>
  <pageSetup paperSize="9" scale="90" firstPageNumber="0" orientation="portrait" horizontalDpi="300" verticalDpi="300"/>
  <headerFooter alignWithMargins="0"/>
  <rowBreaks count="1" manualBreakCount="1">
    <brk id="56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6"/>
  <sheetViews>
    <sheetView showGridLines="0" zoomScaleSheetLayoutView="75" workbookViewId="0">
      <selection activeCell="D30" sqref="D30"/>
    </sheetView>
  </sheetViews>
  <sheetFormatPr baseColWidth="10" defaultRowHeight="12.75" customHeight="1" x14ac:dyDescent="0.2"/>
  <cols>
    <col min="1" max="1" width="29" style="127" customWidth="1"/>
    <col min="2" max="2" width="10" style="87" customWidth="1"/>
    <col min="3" max="3" width="10.28515625" style="87" customWidth="1"/>
    <col min="4" max="9" width="10" style="87" customWidth="1"/>
    <col min="10" max="10" width="9.5703125" style="87" customWidth="1"/>
    <col min="11" max="11" width="6.85546875" style="87" customWidth="1"/>
    <col min="12" max="16384" width="11.42578125" style="87"/>
  </cols>
  <sheetData>
    <row r="1" spans="1:9" ht="12.75" customHeight="1" x14ac:dyDescent="0.2">
      <c r="A1" s="204"/>
      <c r="B1" s="205"/>
      <c r="C1" s="205"/>
      <c r="D1" s="205"/>
      <c r="E1" s="205"/>
      <c r="F1" s="205"/>
      <c r="G1" s="205"/>
      <c r="H1" s="205"/>
      <c r="I1" s="206"/>
    </row>
    <row r="2" spans="1:9" ht="12.75" customHeight="1" x14ac:dyDescent="0.2">
      <c r="A2" s="96"/>
      <c r="B2" s="98"/>
      <c r="C2" s="98"/>
      <c r="D2" s="98"/>
      <c r="E2" s="98"/>
      <c r="F2" s="98"/>
      <c r="G2" s="98"/>
      <c r="H2" s="98"/>
      <c r="I2" s="207"/>
    </row>
    <row r="3" spans="1:9" ht="12.75" customHeight="1" x14ac:dyDescent="0.2">
      <c r="A3" s="96"/>
      <c r="B3" s="98"/>
      <c r="C3" s="98"/>
      <c r="D3" s="98"/>
      <c r="E3" s="98"/>
      <c r="F3" s="98"/>
      <c r="G3" s="98"/>
      <c r="H3" s="98"/>
      <c r="I3" s="207"/>
    </row>
    <row r="4" spans="1:9" ht="12.75" customHeight="1" x14ac:dyDescent="0.2">
      <c r="A4" s="506" t="s">
        <v>230</v>
      </c>
      <c r="B4" s="506"/>
      <c r="C4" s="506"/>
      <c r="D4" s="506"/>
      <c r="E4" s="506"/>
      <c r="F4" s="506"/>
      <c r="G4" s="506"/>
      <c r="H4" s="506"/>
      <c r="I4" s="506"/>
    </row>
    <row r="5" spans="1:9" ht="12.75" customHeight="1" x14ac:dyDescent="0.25">
      <c r="A5" s="96"/>
      <c r="B5" s="97"/>
      <c r="C5" s="97"/>
      <c r="D5" s="98"/>
      <c r="E5" s="98"/>
      <c r="F5" s="99"/>
      <c r="G5" s="100"/>
      <c r="H5" s="97"/>
      <c r="I5" s="101"/>
    </row>
    <row r="6" spans="1:9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9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9" s="169" customFormat="1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9" s="127" customFormat="1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9" s="127" customFormat="1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9" s="127" customFormat="1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9" s="127" customFormat="1" ht="12.75" customHeight="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105"/>
      <c r="I12" s="101"/>
    </row>
    <row r="13" spans="1:9" s="127" customFormat="1" ht="3" customHeight="1" x14ac:dyDescent="0.2">
      <c r="A13" s="142"/>
      <c r="B13" s="143"/>
      <c r="C13" s="143"/>
      <c r="D13" s="143"/>
      <c r="E13" s="143"/>
      <c r="F13" s="143"/>
      <c r="G13" s="143"/>
      <c r="H13" s="143"/>
      <c r="I13" s="144"/>
    </row>
    <row r="14" spans="1:9" s="127" customFormat="1" ht="12.75" customHeight="1" x14ac:dyDescent="0.2">
      <c r="A14" s="115"/>
      <c r="B14" s="87"/>
      <c r="C14" s="87"/>
      <c r="D14" s="87"/>
      <c r="E14" s="87"/>
      <c r="F14" s="87"/>
      <c r="G14" s="87"/>
      <c r="H14" s="87"/>
      <c r="I14" s="87"/>
    </row>
    <row r="15" spans="1:9" s="127" customFormat="1" ht="12.75" customHeight="1" x14ac:dyDescent="0.15">
      <c r="A15" s="148" t="s">
        <v>69</v>
      </c>
      <c r="B15" s="137" t="s">
        <v>23</v>
      </c>
      <c r="C15" s="137" t="s">
        <v>5</v>
      </c>
      <c r="D15" s="137" t="s">
        <v>108</v>
      </c>
      <c r="E15" s="137" t="s">
        <v>109</v>
      </c>
      <c r="F15" s="137" t="s">
        <v>110</v>
      </c>
      <c r="G15" s="137" t="s">
        <v>111</v>
      </c>
      <c r="H15" s="182" t="s">
        <v>112</v>
      </c>
      <c r="I15" s="183" t="s">
        <v>11</v>
      </c>
    </row>
    <row r="16" spans="1:9" s="127" customFormat="1" ht="12.75" customHeight="1" x14ac:dyDescent="0.15">
      <c r="A16" s="208" t="s">
        <v>48</v>
      </c>
      <c r="B16" s="209" t="s">
        <v>25</v>
      </c>
      <c r="C16" s="120">
        <f t="shared" ref="C16:C21" si="0">SUM(D16:H16)</f>
        <v>0</v>
      </c>
      <c r="D16" s="120">
        <f>ZOONOSIS!D264</f>
        <v>0</v>
      </c>
      <c r="E16" s="120">
        <f>ZOONOSIS!E264</f>
        <v>0</v>
      </c>
      <c r="F16" s="120">
        <f>ZOONOSIS!F264</f>
        <v>0</v>
      </c>
      <c r="G16" s="120">
        <f>ZOONOSIS!G264</f>
        <v>0</v>
      </c>
      <c r="H16" s="120">
        <f>ZOONOSIS!H264</f>
        <v>0</v>
      </c>
      <c r="I16" s="120">
        <f>ZOONOSIS!I264</f>
        <v>0</v>
      </c>
    </row>
    <row r="17" spans="1:10" s="127" customFormat="1" ht="12.75" customHeight="1" x14ac:dyDescent="0.15">
      <c r="A17" s="210"/>
      <c r="B17" s="160" t="s">
        <v>26</v>
      </c>
      <c r="C17" s="120">
        <f t="shared" si="0"/>
        <v>0</v>
      </c>
      <c r="D17" s="123">
        <v>0</v>
      </c>
      <c r="E17" s="123">
        <v>0</v>
      </c>
      <c r="F17" s="123">
        <v>0</v>
      </c>
      <c r="G17" s="123">
        <v>0</v>
      </c>
      <c r="H17" s="124">
        <v>0</v>
      </c>
      <c r="I17" s="125">
        <v>0</v>
      </c>
    </row>
    <row r="18" spans="1:10" s="127" customFormat="1" ht="12.75" customHeight="1" x14ac:dyDescent="0.15">
      <c r="A18" s="211"/>
      <c r="B18" s="160" t="s">
        <v>27</v>
      </c>
      <c r="C18" s="120">
        <f t="shared" si="0"/>
        <v>0</v>
      </c>
      <c r="D18" s="133">
        <v>0</v>
      </c>
      <c r="E18" s="133">
        <v>0</v>
      </c>
      <c r="F18" s="133">
        <v>0</v>
      </c>
      <c r="G18" s="133">
        <v>0</v>
      </c>
      <c r="H18" s="134">
        <v>0</v>
      </c>
      <c r="I18" s="135">
        <v>0</v>
      </c>
    </row>
    <row r="19" spans="1:10" s="127" customFormat="1" ht="12.75" customHeight="1" x14ac:dyDescent="0.15">
      <c r="A19" s="208" t="s">
        <v>12</v>
      </c>
      <c r="B19" s="122" t="s">
        <v>25</v>
      </c>
      <c r="C19" s="120">
        <f t="shared" si="0"/>
        <v>0</v>
      </c>
      <c r="D19" s="120">
        <f>ZOONOSIS!D267</f>
        <v>0</v>
      </c>
      <c r="E19" s="120">
        <f>ZOONOSIS!E267</f>
        <v>0</v>
      </c>
      <c r="F19" s="120">
        <f>ZOONOSIS!F267</f>
        <v>0</v>
      </c>
      <c r="G19" s="120">
        <f>ZOONOSIS!G267</f>
        <v>0</v>
      </c>
      <c r="H19" s="120">
        <f>ZOONOSIS!H267</f>
        <v>0</v>
      </c>
      <c r="I19" s="120">
        <f>ZOONOSIS!I267</f>
        <v>0</v>
      </c>
    </row>
    <row r="20" spans="1:10" s="127" customFormat="1" ht="12.75" customHeight="1" x14ac:dyDescent="0.15">
      <c r="A20" s="210"/>
      <c r="B20" s="160" t="s">
        <v>26</v>
      </c>
      <c r="C20" s="120">
        <f t="shared" si="0"/>
        <v>0</v>
      </c>
      <c r="D20" s="123">
        <v>0</v>
      </c>
      <c r="E20" s="123">
        <v>0</v>
      </c>
      <c r="F20" s="123">
        <v>0</v>
      </c>
      <c r="G20" s="123">
        <v>0</v>
      </c>
      <c r="H20" s="124">
        <v>0</v>
      </c>
      <c r="I20" s="125">
        <v>0</v>
      </c>
    </row>
    <row r="21" spans="1:10" s="203" customFormat="1" ht="12.75" customHeight="1" x14ac:dyDescent="0.15">
      <c r="A21" s="211"/>
      <c r="B21" s="160" t="s">
        <v>27</v>
      </c>
      <c r="C21" s="120">
        <f t="shared" si="0"/>
        <v>0</v>
      </c>
      <c r="D21" s="123">
        <v>0</v>
      </c>
      <c r="E21" s="123">
        <v>0</v>
      </c>
      <c r="F21" s="123">
        <v>0</v>
      </c>
      <c r="G21" s="123">
        <v>0</v>
      </c>
      <c r="H21" s="124">
        <v>0</v>
      </c>
      <c r="I21" s="126">
        <v>0</v>
      </c>
    </row>
    <row r="22" spans="1:10" s="203" customFormat="1" ht="12.75" customHeight="1" x14ac:dyDescent="0.15">
      <c r="A22" s="212"/>
      <c r="B22" s="173"/>
      <c r="C22" s="172"/>
      <c r="D22" s="213"/>
      <c r="E22" s="213"/>
      <c r="F22" s="213"/>
      <c r="G22" s="213"/>
      <c r="H22" s="213"/>
      <c r="I22" s="213"/>
    </row>
    <row r="23" spans="1:10" s="203" customFormat="1" ht="12.75" customHeight="1" x14ac:dyDescent="0.2">
      <c r="A23" s="129" t="s">
        <v>231</v>
      </c>
      <c r="B23" s="87"/>
      <c r="C23" s="87"/>
      <c r="D23" s="127"/>
      <c r="E23" s="127"/>
      <c r="F23" s="127"/>
      <c r="G23" s="127"/>
      <c r="H23" s="127"/>
      <c r="I23" s="127"/>
    </row>
    <row r="24" spans="1:10" s="203" customFormat="1" ht="12.75" customHeight="1" x14ac:dyDescent="0.15">
      <c r="A24" s="507" t="s">
        <v>35</v>
      </c>
      <c r="B24" s="507"/>
      <c r="C24" s="117" t="s">
        <v>5</v>
      </c>
      <c r="D24" s="117" t="s">
        <v>108</v>
      </c>
      <c r="E24" s="117" t="s">
        <v>109</v>
      </c>
      <c r="F24" s="117" t="s">
        <v>110</v>
      </c>
      <c r="G24" s="117" t="s">
        <v>111</v>
      </c>
      <c r="H24" s="118" t="s">
        <v>112</v>
      </c>
      <c r="I24" s="119" t="s">
        <v>11</v>
      </c>
    </row>
    <row r="25" spans="1:10" s="203" customFormat="1" ht="12.75" customHeight="1" x14ac:dyDescent="0.15">
      <c r="A25" s="504" t="s">
        <v>218</v>
      </c>
      <c r="B25" s="504"/>
      <c r="C25" s="120">
        <f>SUM(D25:H25)</f>
        <v>0</v>
      </c>
      <c r="D25" s="123">
        <f>ZOONOSIS!D279</f>
        <v>0</v>
      </c>
      <c r="E25" s="123">
        <f>ZOONOSIS!E279</f>
        <v>0</v>
      </c>
      <c r="F25" s="123">
        <f>ZOONOSIS!F279</f>
        <v>0</v>
      </c>
      <c r="G25" s="123">
        <f>ZOONOSIS!G279</f>
        <v>0</v>
      </c>
      <c r="H25" s="123">
        <f>ZOONOSIS!H279</f>
        <v>0</v>
      </c>
      <c r="I25" s="123">
        <f>ZOONOSIS!I279</f>
        <v>0</v>
      </c>
      <c r="J25" s="127"/>
    </row>
    <row r="26" spans="1:10" s="203" customFormat="1" ht="12.75" customHeight="1" x14ac:dyDescent="0.15">
      <c r="A26" s="504" t="s">
        <v>219</v>
      </c>
      <c r="B26" s="504"/>
      <c r="C26" s="120">
        <f>SUM(D26:H26)</f>
        <v>0</v>
      </c>
      <c r="D26" s="123">
        <f>ZOONOSIS!D280</f>
        <v>0</v>
      </c>
      <c r="E26" s="123">
        <f>ZOONOSIS!E280</f>
        <v>0</v>
      </c>
      <c r="F26" s="123">
        <f>ZOONOSIS!F280</f>
        <v>0</v>
      </c>
      <c r="G26" s="123">
        <f>ZOONOSIS!G280</f>
        <v>0</v>
      </c>
      <c r="H26" s="123">
        <f>ZOONOSIS!H280</f>
        <v>0</v>
      </c>
      <c r="I26" s="123">
        <f>ZOONOSIS!I280</f>
        <v>0</v>
      </c>
      <c r="J26" s="127"/>
    </row>
    <row r="27" spans="1:10" s="203" customFormat="1" ht="12.75" customHeight="1" x14ac:dyDescent="0.15">
      <c r="A27" s="139"/>
      <c r="B27" s="139"/>
      <c r="C27" s="139"/>
      <c r="G27" s="127"/>
      <c r="H27" s="127"/>
      <c r="I27" s="127"/>
    </row>
    <row r="28" spans="1:10" s="203" customFormat="1" ht="12.75" customHeight="1" x14ac:dyDescent="0.2">
      <c r="A28" s="129" t="s">
        <v>232</v>
      </c>
      <c r="B28" s="87"/>
      <c r="C28" s="87"/>
      <c r="D28" s="127"/>
      <c r="E28" s="127"/>
      <c r="F28" s="127"/>
      <c r="G28" s="127"/>
      <c r="H28" s="127"/>
      <c r="I28" s="127"/>
    </row>
    <row r="29" spans="1:10" s="203" customFormat="1" ht="12.75" customHeight="1" x14ac:dyDescent="0.15">
      <c r="A29" s="507" t="s">
        <v>35</v>
      </c>
      <c r="B29" s="507"/>
      <c r="C29" s="117" t="s">
        <v>5</v>
      </c>
      <c r="D29" s="117" t="s">
        <v>108</v>
      </c>
      <c r="E29" s="117" t="s">
        <v>109</v>
      </c>
      <c r="F29" s="117" t="s">
        <v>110</v>
      </c>
      <c r="G29" s="117" t="s">
        <v>111</v>
      </c>
      <c r="H29" s="118" t="s">
        <v>112</v>
      </c>
      <c r="I29" s="119" t="s">
        <v>11</v>
      </c>
      <c r="J29" s="127"/>
    </row>
    <row r="30" spans="1:10" s="203" customFormat="1" ht="12.75" customHeight="1" x14ac:dyDescent="0.15">
      <c r="A30" s="504" t="s">
        <v>218</v>
      </c>
      <c r="B30" s="504"/>
      <c r="C30" s="120">
        <f>SUM(D30:H30)</f>
        <v>0</v>
      </c>
      <c r="D30" s="123">
        <f>ZOONOSIS!D284</f>
        <v>0</v>
      </c>
      <c r="E30" s="123">
        <f>ZOONOSIS!E284</f>
        <v>0</v>
      </c>
      <c r="F30" s="123">
        <f>ZOONOSIS!F284</f>
        <v>0</v>
      </c>
      <c r="G30" s="123">
        <f>ZOONOSIS!G284</f>
        <v>0</v>
      </c>
      <c r="H30" s="123">
        <f>ZOONOSIS!H284</f>
        <v>0</v>
      </c>
      <c r="I30" s="123">
        <f>ZOONOSIS!I284</f>
        <v>0</v>
      </c>
      <c r="J30" s="127"/>
    </row>
    <row r="31" spans="1:10" s="127" customFormat="1" ht="12.75" customHeight="1" x14ac:dyDescent="0.15">
      <c r="A31" s="504" t="s">
        <v>219</v>
      </c>
      <c r="B31" s="504"/>
      <c r="C31" s="120">
        <f>SUM(D31:H31)</f>
        <v>0</v>
      </c>
      <c r="D31" s="123">
        <f>ZOONOSIS!D285</f>
        <v>0</v>
      </c>
      <c r="E31" s="123">
        <f>ZOONOSIS!E285</f>
        <v>0</v>
      </c>
      <c r="F31" s="123">
        <f>ZOONOSIS!F285</f>
        <v>0</v>
      </c>
      <c r="G31" s="123">
        <f>ZOONOSIS!G285</f>
        <v>0</v>
      </c>
      <c r="H31" s="123">
        <f>ZOONOSIS!H285</f>
        <v>0</v>
      </c>
      <c r="I31" s="123">
        <f>ZOONOSIS!I285</f>
        <v>0</v>
      </c>
    </row>
    <row r="32" spans="1:10" s="127" customFormat="1" ht="12.75" customHeight="1" x14ac:dyDescent="0.15">
      <c r="A32" s="139"/>
      <c r="B32" s="214"/>
      <c r="C32" s="139"/>
      <c r="D32" s="94"/>
      <c r="E32" s="94"/>
      <c r="F32" s="94"/>
      <c r="G32" s="94"/>
      <c r="H32" s="94"/>
    </row>
    <row r="33" spans="1:9" s="127" customFormat="1" ht="12.75" customHeight="1" x14ac:dyDescent="0.15">
      <c r="A33" s="116" t="s">
        <v>233</v>
      </c>
      <c r="B33" s="117" t="s">
        <v>23</v>
      </c>
      <c r="C33" s="117" t="s">
        <v>5</v>
      </c>
      <c r="D33" s="117" t="s">
        <v>108</v>
      </c>
      <c r="E33" s="117" t="s">
        <v>109</v>
      </c>
      <c r="F33" s="117" t="s">
        <v>110</v>
      </c>
      <c r="G33" s="117" t="s">
        <v>111</v>
      </c>
      <c r="H33" s="118" t="s">
        <v>112</v>
      </c>
      <c r="I33" s="119" t="s">
        <v>11</v>
      </c>
    </row>
    <row r="34" spans="1:9" s="127" customFormat="1" ht="12.75" customHeight="1" x14ac:dyDescent="0.15">
      <c r="A34" s="215" t="s">
        <v>13</v>
      </c>
      <c r="B34" s="122" t="s">
        <v>25</v>
      </c>
      <c r="C34" s="120">
        <f t="shared" ref="C34:C42" si="1">SUM(D34:H34)</f>
        <v>0</v>
      </c>
      <c r="D34" s="120">
        <f t="shared" ref="D34:I34" si="2">SUM(D35:D36)</f>
        <v>0</v>
      </c>
      <c r="E34" s="120">
        <f t="shared" si="2"/>
        <v>0</v>
      </c>
      <c r="F34" s="120">
        <f t="shared" si="2"/>
        <v>0</v>
      </c>
      <c r="G34" s="120">
        <f t="shared" si="2"/>
        <v>0</v>
      </c>
      <c r="H34" s="120">
        <f t="shared" si="2"/>
        <v>0</v>
      </c>
      <c r="I34" s="120">
        <f t="shared" si="2"/>
        <v>0</v>
      </c>
    </row>
    <row r="35" spans="1:9" s="127" customFormat="1" ht="12.75" customHeight="1" x14ac:dyDescent="0.15">
      <c r="A35" s="216"/>
      <c r="B35" s="122" t="s">
        <v>26</v>
      </c>
      <c r="C35" s="120">
        <f t="shared" si="1"/>
        <v>0</v>
      </c>
      <c r="D35" s="120">
        <f>D38+D41</f>
        <v>0</v>
      </c>
      <c r="E35" s="120">
        <f t="shared" ref="E35:I36" si="3">E38+E41</f>
        <v>0</v>
      </c>
      <c r="F35" s="120">
        <f t="shared" si="3"/>
        <v>0</v>
      </c>
      <c r="G35" s="120">
        <f t="shared" si="3"/>
        <v>0</v>
      </c>
      <c r="H35" s="120">
        <f t="shared" si="3"/>
        <v>0</v>
      </c>
      <c r="I35" s="125">
        <v>0</v>
      </c>
    </row>
    <row r="36" spans="1:9" s="127" customFormat="1" ht="12.75" customHeight="1" x14ac:dyDescent="0.15">
      <c r="A36" s="217"/>
      <c r="B36" s="122" t="s">
        <v>27</v>
      </c>
      <c r="C36" s="120">
        <f t="shared" si="1"/>
        <v>0</v>
      </c>
      <c r="D36" s="120">
        <f>D39+D42</f>
        <v>0</v>
      </c>
      <c r="E36" s="120">
        <f t="shared" si="3"/>
        <v>0</v>
      </c>
      <c r="F36" s="120">
        <f t="shared" si="3"/>
        <v>0</v>
      </c>
      <c r="G36" s="120">
        <f t="shared" si="3"/>
        <v>0</v>
      </c>
      <c r="H36" s="120">
        <f t="shared" si="3"/>
        <v>0</v>
      </c>
      <c r="I36" s="120">
        <f t="shared" si="3"/>
        <v>0</v>
      </c>
    </row>
    <row r="37" spans="1:9" s="127" customFormat="1" ht="12.75" customHeight="1" x14ac:dyDescent="0.15">
      <c r="A37" s="218" t="s">
        <v>228</v>
      </c>
      <c r="B37" s="122" t="s">
        <v>25</v>
      </c>
      <c r="C37" s="120">
        <f t="shared" si="1"/>
        <v>0</v>
      </c>
      <c r="D37" s="120">
        <f t="shared" ref="D37:I37" si="4">SUM(D38:D39)</f>
        <v>0</v>
      </c>
      <c r="E37" s="120">
        <f t="shared" si="4"/>
        <v>0</v>
      </c>
      <c r="F37" s="120">
        <f t="shared" si="4"/>
        <v>0</v>
      </c>
      <c r="G37" s="120">
        <f t="shared" si="4"/>
        <v>0</v>
      </c>
      <c r="H37" s="120">
        <f t="shared" si="4"/>
        <v>0</v>
      </c>
      <c r="I37" s="120">
        <f t="shared" si="4"/>
        <v>0</v>
      </c>
    </row>
    <row r="38" spans="1:9" s="127" customFormat="1" ht="12.75" customHeight="1" x14ac:dyDescent="0.15">
      <c r="A38" s="216"/>
      <c r="B38" s="122" t="s">
        <v>26</v>
      </c>
      <c r="C38" s="120">
        <f t="shared" si="1"/>
        <v>0</v>
      </c>
      <c r="D38" s="123">
        <v>0</v>
      </c>
      <c r="E38" s="123">
        <v>0</v>
      </c>
      <c r="F38" s="123">
        <v>0</v>
      </c>
      <c r="G38" s="123">
        <v>0</v>
      </c>
      <c r="H38" s="124">
        <v>0</v>
      </c>
      <c r="I38" s="125">
        <v>0</v>
      </c>
    </row>
    <row r="39" spans="1:9" s="127" customFormat="1" ht="12.75" customHeight="1" x14ac:dyDescent="0.15">
      <c r="A39" s="217"/>
      <c r="B39" s="122" t="s">
        <v>27</v>
      </c>
      <c r="C39" s="120">
        <f t="shared" si="1"/>
        <v>0</v>
      </c>
      <c r="D39" s="123">
        <v>0</v>
      </c>
      <c r="E39" s="123">
        <v>0</v>
      </c>
      <c r="F39" s="123">
        <v>0</v>
      </c>
      <c r="G39" s="123">
        <v>0</v>
      </c>
      <c r="H39" s="124">
        <v>0</v>
      </c>
      <c r="I39" s="126">
        <v>0</v>
      </c>
    </row>
    <row r="40" spans="1:9" s="127" customFormat="1" ht="12.75" customHeight="1" x14ac:dyDescent="0.15">
      <c r="A40" s="218" t="s">
        <v>229</v>
      </c>
      <c r="B40" s="122" t="s">
        <v>25</v>
      </c>
      <c r="C40" s="120">
        <f t="shared" si="1"/>
        <v>0</v>
      </c>
      <c r="D40" s="120">
        <f t="shared" ref="D40:I40" si="5">SUM(D41:D42)</f>
        <v>0</v>
      </c>
      <c r="E40" s="120">
        <f t="shared" si="5"/>
        <v>0</v>
      </c>
      <c r="F40" s="120">
        <f t="shared" si="5"/>
        <v>0</v>
      </c>
      <c r="G40" s="120">
        <f t="shared" si="5"/>
        <v>0</v>
      </c>
      <c r="H40" s="120">
        <f t="shared" si="5"/>
        <v>0</v>
      </c>
      <c r="I40" s="120">
        <f t="shared" si="5"/>
        <v>0</v>
      </c>
    </row>
    <row r="41" spans="1:9" s="127" customFormat="1" ht="12.75" customHeight="1" x14ac:dyDescent="0.15">
      <c r="A41" s="216"/>
      <c r="B41" s="122" t="s">
        <v>26</v>
      </c>
      <c r="C41" s="120">
        <f t="shared" si="1"/>
        <v>0</v>
      </c>
      <c r="D41" s="123">
        <v>0</v>
      </c>
      <c r="E41" s="123">
        <v>0</v>
      </c>
      <c r="F41" s="123">
        <v>0</v>
      </c>
      <c r="G41" s="123">
        <v>0</v>
      </c>
      <c r="H41" s="124">
        <v>0</v>
      </c>
      <c r="I41" s="125">
        <v>0</v>
      </c>
    </row>
    <row r="42" spans="1:9" s="127" customFormat="1" ht="12.75" customHeight="1" x14ac:dyDescent="0.15">
      <c r="A42" s="217"/>
      <c r="B42" s="122" t="s">
        <v>27</v>
      </c>
      <c r="C42" s="120">
        <f t="shared" si="1"/>
        <v>0</v>
      </c>
      <c r="D42" s="123">
        <v>0</v>
      </c>
      <c r="E42" s="123">
        <v>0</v>
      </c>
      <c r="F42" s="123">
        <v>0</v>
      </c>
      <c r="G42" s="123">
        <v>0</v>
      </c>
      <c r="H42" s="124">
        <v>0</v>
      </c>
      <c r="I42" s="126">
        <v>0</v>
      </c>
    </row>
    <row r="43" spans="1:9" s="127" customFormat="1" ht="12.75" customHeight="1" x14ac:dyDescent="0.15">
      <c r="A43" s="219"/>
    </row>
    <row r="44" spans="1:9" s="127" customFormat="1" ht="12.75" customHeight="1" x14ac:dyDescent="0.15">
      <c r="A44" s="220" t="s">
        <v>202</v>
      </c>
      <c r="B44" s="221"/>
    </row>
    <row r="45" spans="1:9" s="127" customFormat="1" ht="12.75" customHeight="1" x14ac:dyDescent="0.2">
      <c r="A45" s="507" t="s">
        <v>52</v>
      </c>
      <c r="B45" s="508" t="s">
        <v>53</v>
      </c>
      <c r="C45" s="508"/>
      <c r="D45" s="508" t="s">
        <v>234</v>
      </c>
      <c r="E45" s="508"/>
      <c r="F45" s="222"/>
      <c r="G45" s="223"/>
      <c r="H45"/>
    </row>
    <row r="46" spans="1:9" s="127" customFormat="1" ht="12.75" customHeight="1" x14ac:dyDescent="0.2">
      <c r="A46" s="507"/>
      <c r="B46" s="117" t="s">
        <v>15</v>
      </c>
      <c r="C46" s="117" t="s">
        <v>54</v>
      </c>
      <c r="D46" s="137" t="s">
        <v>235</v>
      </c>
      <c r="E46" s="137" t="s">
        <v>236</v>
      </c>
      <c r="F46" s="222"/>
      <c r="G46" s="223"/>
      <c r="H46"/>
    </row>
    <row r="47" spans="1:9" s="127" customFormat="1" ht="12.75" customHeight="1" x14ac:dyDescent="0.2">
      <c r="A47" s="224" t="s">
        <v>56</v>
      </c>
      <c r="B47" s="123">
        <f>ZOONOSIS!C272</f>
        <v>0</v>
      </c>
      <c r="C47" s="123">
        <f>ZOONOSIS!D272</f>
        <v>0</v>
      </c>
      <c r="D47" s="123">
        <f>ZOONOSIS!E272</f>
        <v>0</v>
      </c>
      <c r="E47" s="123">
        <f>C47-D47</f>
        <v>0</v>
      </c>
      <c r="F47" s="222"/>
      <c r="G47" s="223"/>
      <c r="H47"/>
    </row>
    <row r="48" spans="1:9" s="127" customFormat="1" ht="12.75" customHeight="1" x14ac:dyDescent="0.15">
      <c r="A48" s="224" t="s">
        <v>57</v>
      </c>
      <c r="B48" s="123">
        <f>ZOONOSIS!C273</f>
        <v>0</v>
      </c>
      <c r="C48" s="123">
        <f>ZOONOSIS!D273</f>
        <v>0</v>
      </c>
      <c r="D48" s="123">
        <f>ZOONOSIS!E273</f>
        <v>0</v>
      </c>
      <c r="E48" s="123">
        <f>C48-D48</f>
        <v>0</v>
      </c>
    </row>
    <row r="49" spans="1:9" s="127" customFormat="1" ht="12.75" customHeight="1" x14ac:dyDescent="0.15">
      <c r="A49" s="224" t="s">
        <v>58</v>
      </c>
      <c r="B49" s="123">
        <f>ZOONOSIS!C274</f>
        <v>0</v>
      </c>
      <c r="C49" s="123">
        <f>ZOONOSIS!D274</f>
        <v>0</v>
      </c>
      <c r="D49" s="123">
        <f>ZOONOSIS!E274</f>
        <v>0</v>
      </c>
      <c r="E49" s="123">
        <f>C49-D49</f>
        <v>0</v>
      </c>
    </row>
    <row r="50" spans="1:9" s="127" customFormat="1" ht="12.75" customHeight="1" x14ac:dyDescent="0.15">
      <c r="A50" s="224" t="s">
        <v>59</v>
      </c>
      <c r="B50" s="123">
        <f>ZOONOSIS!C275</f>
        <v>0</v>
      </c>
      <c r="C50" s="123">
        <f>ZOONOSIS!D275</f>
        <v>0</v>
      </c>
      <c r="D50" s="123">
        <f>ZOONOSIS!E275</f>
        <v>0</v>
      </c>
      <c r="E50" s="123">
        <f>C50-D50</f>
        <v>0</v>
      </c>
    </row>
    <row r="51" spans="1:9" s="127" customFormat="1" ht="12.75" customHeight="1" x14ac:dyDescent="0.15">
      <c r="A51" s="139"/>
      <c r="B51" s="203"/>
      <c r="C51" s="203"/>
    </row>
    <row r="52" spans="1:9" s="127" customFormat="1" ht="12.75" customHeight="1" x14ac:dyDescent="0.15">
      <c r="A52" s="188" t="s">
        <v>237</v>
      </c>
      <c r="B52" s="203"/>
      <c r="C52" s="203"/>
    </row>
    <row r="53" spans="1:9" s="127" customFormat="1" ht="12.75" customHeight="1" x14ac:dyDescent="0.15">
      <c r="A53" s="137" t="s">
        <v>238</v>
      </c>
      <c r="B53" s="117" t="s">
        <v>23</v>
      </c>
      <c r="C53" s="117" t="s">
        <v>5</v>
      </c>
      <c r="D53" s="117" t="s">
        <v>108</v>
      </c>
      <c r="E53" s="117" t="s">
        <v>109</v>
      </c>
      <c r="F53" s="117" t="s">
        <v>110</v>
      </c>
      <c r="G53" s="117" t="s">
        <v>111</v>
      </c>
      <c r="H53" s="118" t="s">
        <v>112</v>
      </c>
      <c r="I53" s="119" t="s">
        <v>11</v>
      </c>
    </row>
    <row r="54" spans="1:9" s="127" customFormat="1" ht="12.75" customHeight="1" x14ac:dyDescent="0.15">
      <c r="A54" s="225" t="s">
        <v>239</v>
      </c>
      <c r="B54" s="159" t="s">
        <v>25</v>
      </c>
      <c r="C54" s="120">
        <f t="shared" ref="C54:C62" si="6">SUM(D54:H54)</f>
        <v>0</v>
      </c>
      <c r="D54" s="120">
        <f t="shared" ref="D54:I54" si="7">SUM(D55:D56)</f>
        <v>0</v>
      </c>
      <c r="E54" s="120">
        <f t="shared" si="7"/>
        <v>0</v>
      </c>
      <c r="F54" s="120">
        <f t="shared" si="7"/>
        <v>0</v>
      </c>
      <c r="G54" s="120">
        <f t="shared" si="7"/>
        <v>0</v>
      </c>
      <c r="H54" s="120">
        <f t="shared" si="7"/>
        <v>0</v>
      </c>
      <c r="I54" s="120">
        <f t="shared" si="7"/>
        <v>0</v>
      </c>
    </row>
    <row r="55" spans="1:9" s="127" customFormat="1" ht="12.75" customHeight="1" x14ac:dyDescent="0.15">
      <c r="A55" s="210"/>
      <c r="B55" s="160" t="s">
        <v>26</v>
      </c>
      <c r="C55" s="120">
        <f t="shared" si="6"/>
        <v>0</v>
      </c>
      <c r="D55" s="120">
        <f t="shared" ref="D55:H56" si="8">D58+D61</f>
        <v>0</v>
      </c>
      <c r="E55" s="120">
        <f t="shared" si="8"/>
        <v>0</v>
      </c>
      <c r="F55" s="120">
        <f t="shared" si="8"/>
        <v>0</v>
      </c>
      <c r="G55" s="120">
        <f t="shared" si="8"/>
        <v>0</v>
      </c>
      <c r="H55" s="120">
        <f t="shared" si="8"/>
        <v>0</v>
      </c>
      <c r="I55" s="125">
        <v>0</v>
      </c>
    </row>
    <row r="56" spans="1:9" s="127" customFormat="1" ht="12.75" customHeight="1" x14ac:dyDescent="0.15">
      <c r="A56" s="226"/>
      <c r="B56" s="167" t="s">
        <v>27</v>
      </c>
      <c r="C56" s="120">
        <f t="shared" si="6"/>
        <v>0</v>
      </c>
      <c r="D56" s="120">
        <f t="shared" si="8"/>
        <v>0</v>
      </c>
      <c r="E56" s="120">
        <f t="shared" si="8"/>
        <v>0</v>
      </c>
      <c r="F56" s="120">
        <f t="shared" si="8"/>
        <v>0</v>
      </c>
      <c r="G56" s="120">
        <f t="shared" si="8"/>
        <v>0</v>
      </c>
      <c r="H56" s="120">
        <f t="shared" si="8"/>
        <v>0</v>
      </c>
      <c r="I56" s="120">
        <f>I59+I62</f>
        <v>0</v>
      </c>
    </row>
    <row r="57" spans="1:9" s="127" customFormat="1" ht="12.75" customHeight="1" x14ac:dyDescent="0.15">
      <c r="A57" s="227" t="s">
        <v>50</v>
      </c>
      <c r="B57" s="159" t="s">
        <v>25</v>
      </c>
      <c r="C57" s="120">
        <f t="shared" si="6"/>
        <v>0</v>
      </c>
      <c r="D57" s="120">
        <f t="shared" ref="D57:I57" si="9">SUM(D58:D59)</f>
        <v>0</v>
      </c>
      <c r="E57" s="120">
        <f t="shared" si="9"/>
        <v>0</v>
      </c>
      <c r="F57" s="120">
        <f t="shared" si="9"/>
        <v>0</v>
      </c>
      <c r="G57" s="120">
        <f t="shared" si="9"/>
        <v>0</v>
      </c>
      <c r="H57" s="120">
        <f t="shared" si="9"/>
        <v>0</v>
      </c>
      <c r="I57" s="120">
        <f t="shared" si="9"/>
        <v>0</v>
      </c>
    </row>
    <row r="58" spans="1:9" s="127" customFormat="1" ht="12.75" customHeight="1" x14ac:dyDescent="0.15">
      <c r="A58" s="228"/>
      <c r="B58" s="160" t="s">
        <v>26</v>
      </c>
      <c r="C58" s="120">
        <f t="shared" si="6"/>
        <v>0</v>
      </c>
      <c r="D58" s="123">
        <v>0</v>
      </c>
      <c r="E58" s="123">
        <v>0</v>
      </c>
      <c r="F58" s="123">
        <v>0</v>
      </c>
      <c r="G58" s="123">
        <v>0</v>
      </c>
      <c r="H58" s="124">
        <v>0</v>
      </c>
      <c r="I58" s="125">
        <v>0</v>
      </c>
    </row>
    <row r="59" spans="1:9" ht="12.75" customHeight="1" x14ac:dyDescent="0.2">
      <c r="A59" s="229"/>
      <c r="B59" s="167" t="s">
        <v>27</v>
      </c>
      <c r="C59" s="120">
        <f t="shared" si="6"/>
        <v>0</v>
      </c>
      <c r="D59" s="123">
        <v>0</v>
      </c>
      <c r="E59" s="123">
        <v>0</v>
      </c>
      <c r="F59" s="123">
        <v>0</v>
      </c>
      <c r="G59" s="123">
        <v>0</v>
      </c>
      <c r="H59" s="124">
        <v>0</v>
      </c>
      <c r="I59" s="126">
        <v>0</v>
      </c>
    </row>
    <row r="60" spans="1:9" ht="12.75" customHeight="1" x14ac:dyDescent="0.2">
      <c r="A60" s="227" t="s">
        <v>240</v>
      </c>
      <c r="B60" s="159" t="s">
        <v>25</v>
      </c>
      <c r="C60" s="120">
        <f t="shared" si="6"/>
        <v>0</v>
      </c>
      <c r="D60" s="120">
        <f t="shared" ref="D60:I60" si="10">SUM(D61:D62)</f>
        <v>0</v>
      </c>
      <c r="E60" s="120">
        <f t="shared" si="10"/>
        <v>0</v>
      </c>
      <c r="F60" s="120">
        <f t="shared" si="10"/>
        <v>0</v>
      </c>
      <c r="G60" s="120">
        <f t="shared" si="10"/>
        <v>0</v>
      </c>
      <c r="H60" s="120">
        <f t="shared" si="10"/>
        <v>0</v>
      </c>
      <c r="I60" s="120">
        <f t="shared" si="10"/>
        <v>0</v>
      </c>
    </row>
    <row r="61" spans="1:9" ht="12.75" customHeight="1" x14ac:dyDescent="0.2">
      <c r="A61" s="210"/>
      <c r="B61" s="160" t="s">
        <v>26</v>
      </c>
      <c r="C61" s="120">
        <f t="shared" si="6"/>
        <v>0</v>
      </c>
      <c r="D61" s="123">
        <v>0</v>
      </c>
      <c r="E61" s="123">
        <v>0</v>
      </c>
      <c r="F61" s="123">
        <v>0</v>
      </c>
      <c r="G61" s="123">
        <v>0</v>
      </c>
      <c r="H61" s="124">
        <v>0</v>
      </c>
      <c r="I61" s="125">
        <v>0</v>
      </c>
    </row>
    <row r="62" spans="1:9" ht="12.75" customHeight="1" x14ac:dyDescent="0.2">
      <c r="A62" s="226"/>
      <c r="B62" s="167" t="s">
        <v>27</v>
      </c>
      <c r="C62" s="120">
        <f t="shared" si="6"/>
        <v>0</v>
      </c>
      <c r="D62" s="123">
        <v>0</v>
      </c>
      <c r="E62" s="123">
        <v>0</v>
      </c>
      <c r="F62" s="123">
        <v>0</v>
      </c>
      <c r="G62" s="123">
        <v>0</v>
      </c>
      <c r="H62" s="124">
        <v>0</v>
      </c>
      <c r="I62" s="126">
        <v>0</v>
      </c>
    </row>
    <row r="63" spans="1:9" ht="12.75" customHeight="1" x14ac:dyDescent="0.2">
      <c r="A63" s="212"/>
      <c r="B63" s="173"/>
      <c r="C63" s="172"/>
      <c r="D63" s="131"/>
      <c r="E63" s="131"/>
      <c r="F63" s="131"/>
      <c r="G63" s="131"/>
      <c r="H63" s="131"/>
      <c r="I63" s="131"/>
    </row>
    <row r="64" spans="1:9" ht="12.75" customHeight="1" x14ac:dyDescent="0.2">
      <c r="A64" s="129" t="s">
        <v>241</v>
      </c>
    </row>
    <row r="65" spans="1:9" ht="12.75" customHeight="1" x14ac:dyDescent="0.2">
      <c r="A65" s="137" t="s">
        <v>238</v>
      </c>
      <c r="B65" s="117" t="s">
        <v>23</v>
      </c>
      <c r="C65" s="117" t="s">
        <v>5</v>
      </c>
      <c r="D65" s="117" t="s">
        <v>108</v>
      </c>
      <c r="E65" s="117" t="s">
        <v>109</v>
      </c>
      <c r="F65" s="117" t="s">
        <v>110</v>
      </c>
      <c r="G65" s="117" t="s">
        <v>111</v>
      </c>
      <c r="H65" s="118" t="s">
        <v>112</v>
      </c>
      <c r="I65" s="119" t="s">
        <v>11</v>
      </c>
    </row>
    <row r="66" spans="1:9" ht="12.75" customHeight="1" x14ac:dyDescent="0.2">
      <c r="A66" s="225" t="s">
        <v>242</v>
      </c>
      <c r="B66" s="159" t="s">
        <v>25</v>
      </c>
      <c r="C66" s="120">
        <f t="shared" ref="C66:C74" si="11">SUM(D66:H66)</f>
        <v>0</v>
      </c>
      <c r="D66" s="120">
        <f t="shared" ref="D66:I66" si="12">SUM(D67:D68)</f>
        <v>0</v>
      </c>
      <c r="E66" s="120">
        <f t="shared" si="12"/>
        <v>0</v>
      </c>
      <c r="F66" s="120">
        <f t="shared" si="12"/>
        <v>0</v>
      </c>
      <c r="G66" s="120">
        <f t="shared" si="12"/>
        <v>0</v>
      </c>
      <c r="H66" s="120">
        <f t="shared" si="12"/>
        <v>0</v>
      </c>
      <c r="I66" s="120">
        <f t="shared" si="12"/>
        <v>0</v>
      </c>
    </row>
    <row r="67" spans="1:9" ht="12.75" customHeight="1" x14ac:dyDescent="0.2">
      <c r="A67" s="210"/>
      <c r="B67" s="160" t="s">
        <v>26</v>
      </c>
      <c r="C67" s="120">
        <f t="shared" si="11"/>
        <v>0</v>
      </c>
      <c r="D67" s="120">
        <f t="shared" ref="D67:H68" si="13">D70+D73</f>
        <v>0</v>
      </c>
      <c r="E67" s="120">
        <f t="shared" si="13"/>
        <v>0</v>
      </c>
      <c r="F67" s="120">
        <f t="shared" si="13"/>
        <v>0</v>
      </c>
      <c r="G67" s="120">
        <f t="shared" si="13"/>
        <v>0</v>
      </c>
      <c r="H67" s="120">
        <f t="shared" si="13"/>
        <v>0</v>
      </c>
      <c r="I67" s="125">
        <v>0</v>
      </c>
    </row>
    <row r="68" spans="1:9" ht="12.75" customHeight="1" x14ac:dyDescent="0.2">
      <c r="A68" s="226"/>
      <c r="B68" s="167" t="s">
        <v>27</v>
      </c>
      <c r="C68" s="120">
        <f t="shared" si="11"/>
        <v>0</v>
      </c>
      <c r="D68" s="120">
        <f t="shared" si="13"/>
        <v>0</v>
      </c>
      <c r="E68" s="120">
        <f t="shared" si="13"/>
        <v>0</v>
      </c>
      <c r="F68" s="120">
        <f t="shared" si="13"/>
        <v>0</v>
      </c>
      <c r="G68" s="120">
        <f t="shared" si="13"/>
        <v>0</v>
      </c>
      <c r="H68" s="120">
        <f t="shared" si="13"/>
        <v>0</v>
      </c>
      <c r="I68" s="120">
        <f>I71+I74</f>
        <v>0</v>
      </c>
    </row>
    <row r="69" spans="1:9" ht="12.75" customHeight="1" x14ac:dyDescent="0.2">
      <c r="A69" s="227" t="s">
        <v>243</v>
      </c>
      <c r="B69" s="159" t="s">
        <v>25</v>
      </c>
      <c r="C69" s="120">
        <f t="shared" si="11"/>
        <v>0</v>
      </c>
      <c r="D69" s="120">
        <f>ZOONOSIS!D266</f>
        <v>0</v>
      </c>
      <c r="E69" s="120">
        <f>ZOONOSIS!E266</f>
        <v>0</v>
      </c>
      <c r="F69" s="120">
        <f>ZOONOSIS!F266</f>
        <v>0</v>
      </c>
      <c r="G69" s="120">
        <f>ZOONOSIS!G266</f>
        <v>0</v>
      </c>
      <c r="H69" s="120">
        <f>ZOONOSIS!H266</f>
        <v>0</v>
      </c>
      <c r="I69" s="120">
        <f>ZOONOSIS!I266</f>
        <v>0</v>
      </c>
    </row>
    <row r="70" spans="1:9" ht="12.75" customHeight="1" x14ac:dyDescent="0.2">
      <c r="A70" s="228"/>
      <c r="B70" s="160" t="s">
        <v>26</v>
      </c>
      <c r="C70" s="120">
        <f t="shared" si="11"/>
        <v>0</v>
      </c>
      <c r="D70" s="123">
        <v>0</v>
      </c>
      <c r="E70" s="123">
        <v>0</v>
      </c>
      <c r="F70" s="123">
        <v>0</v>
      </c>
      <c r="G70" s="123">
        <v>0</v>
      </c>
      <c r="H70" s="124">
        <v>0</v>
      </c>
      <c r="I70" s="125">
        <v>0</v>
      </c>
    </row>
    <row r="71" spans="1:9" ht="12.75" customHeight="1" x14ac:dyDescent="0.2">
      <c r="A71" s="229"/>
      <c r="B71" s="167" t="s">
        <v>27</v>
      </c>
      <c r="C71" s="120">
        <f t="shared" si="11"/>
        <v>0</v>
      </c>
      <c r="D71" s="123">
        <v>0</v>
      </c>
      <c r="E71" s="123">
        <v>0</v>
      </c>
      <c r="F71" s="123">
        <v>0</v>
      </c>
      <c r="G71" s="123">
        <v>0</v>
      </c>
      <c r="H71" s="124">
        <v>0</v>
      </c>
      <c r="I71" s="126">
        <v>0</v>
      </c>
    </row>
    <row r="72" spans="1:9" ht="12.75" customHeight="1" x14ac:dyDescent="0.2">
      <c r="A72" s="227" t="s">
        <v>244</v>
      </c>
      <c r="B72" s="159" t="s">
        <v>25</v>
      </c>
      <c r="C72" s="120">
        <f t="shared" si="11"/>
        <v>0</v>
      </c>
      <c r="D72" s="120">
        <f>ZOONOSIS!D267</f>
        <v>0</v>
      </c>
      <c r="E72" s="120">
        <f>ZOONOSIS!E267</f>
        <v>0</v>
      </c>
      <c r="F72" s="120">
        <f>ZOONOSIS!F267</f>
        <v>0</v>
      </c>
      <c r="G72" s="120">
        <f>ZOONOSIS!G267</f>
        <v>0</v>
      </c>
      <c r="H72" s="120">
        <f>ZOONOSIS!H267</f>
        <v>0</v>
      </c>
      <c r="I72" s="120">
        <f>ZOONOSIS!I267</f>
        <v>0</v>
      </c>
    </row>
    <row r="73" spans="1:9" ht="12.75" customHeight="1" x14ac:dyDescent="0.2">
      <c r="A73" s="210"/>
      <c r="B73" s="160" t="s">
        <v>26</v>
      </c>
      <c r="C73" s="120">
        <f t="shared" si="11"/>
        <v>0</v>
      </c>
      <c r="D73" s="123">
        <v>0</v>
      </c>
      <c r="E73" s="123">
        <v>0</v>
      </c>
      <c r="F73" s="123">
        <v>0</v>
      </c>
      <c r="G73" s="123">
        <v>0</v>
      </c>
      <c r="H73" s="124">
        <v>0</v>
      </c>
      <c r="I73" s="125">
        <v>0</v>
      </c>
    </row>
    <row r="74" spans="1:9" ht="12.75" customHeight="1" x14ac:dyDescent="0.2">
      <c r="A74" s="226"/>
      <c r="B74" s="167" t="s">
        <v>27</v>
      </c>
      <c r="C74" s="120">
        <f t="shared" si="11"/>
        <v>0</v>
      </c>
      <c r="D74" s="123">
        <v>0</v>
      </c>
      <c r="E74" s="123">
        <v>0</v>
      </c>
      <c r="F74" s="123">
        <v>0</v>
      </c>
      <c r="G74" s="123">
        <v>0</v>
      </c>
      <c r="H74" s="124">
        <v>0</v>
      </c>
      <c r="I74" s="126">
        <v>0</v>
      </c>
    </row>
    <row r="75" spans="1:9" ht="12.75" customHeight="1" x14ac:dyDescent="0.2">
      <c r="A75" s="212"/>
      <c r="B75" s="173"/>
      <c r="C75" s="172"/>
      <c r="D75" s="131"/>
      <c r="E75" s="131"/>
      <c r="F75" s="131"/>
      <c r="G75" s="131"/>
      <c r="H75" s="131"/>
      <c r="I75" s="131"/>
    </row>
    <row r="76" spans="1:9" ht="12.75" customHeight="1" x14ac:dyDescent="0.2">
      <c r="A76" s="220" t="s">
        <v>245</v>
      </c>
      <c r="B76" s="127"/>
      <c r="C76" s="127"/>
      <c r="D76" s="127"/>
      <c r="E76" s="127"/>
      <c r="F76" s="127"/>
      <c r="G76" s="127"/>
      <c r="H76" s="127"/>
      <c r="I76" s="127"/>
    </row>
    <row r="77" spans="1:9" ht="12.75" customHeight="1" x14ac:dyDescent="0.2">
      <c r="A77" s="116" t="s">
        <v>16</v>
      </c>
      <c r="B77" s="117" t="s">
        <v>14</v>
      </c>
      <c r="C77" s="127"/>
      <c r="D77" s="127"/>
      <c r="E77" s="127"/>
      <c r="F77" s="127"/>
      <c r="G77" s="127"/>
      <c r="H77" s="127"/>
      <c r="I77" s="127"/>
    </row>
    <row r="78" spans="1:9" ht="12.75" customHeight="1" x14ac:dyDescent="0.2">
      <c r="A78" s="224" t="s">
        <v>246</v>
      </c>
      <c r="B78" s="123">
        <f>ZOONOSIS!C289</f>
        <v>0</v>
      </c>
      <c r="C78" s="127"/>
      <c r="D78" s="127"/>
      <c r="E78" s="127"/>
      <c r="F78" s="127"/>
      <c r="G78" s="127"/>
      <c r="H78" s="127"/>
      <c r="I78" s="127"/>
    </row>
    <row r="79" spans="1:9" ht="12.75" customHeight="1" x14ac:dyDescent="0.2">
      <c r="A79" s="224" t="s">
        <v>64</v>
      </c>
      <c r="B79" s="123">
        <f>ZOONOSIS!C290</f>
        <v>0</v>
      </c>
      <c r="C79" s="127"/>
      <c r="D79" s="127"/>
      <c r="E79" s="127"/>
      <c r="F79" s="127"/>
      <c r="G79" s="127"/>
      <c r="H79" s="127"/>
      <c r="I79" s="127"/>
    </row>
    <row r="80" spans="1:9" ht="12.75" customHeight="1" x14ac:dyDescent="0.2">
      <c r="A80" s="224" t="s">
        <v>65</v>
      </c>
      <c r="B80" s="123">
        <f>ZOONOSIS!C291</f>
        <v>0</v>
      </c>
      <c r="C80" s="127"/>
      <c r="D80" s="127"/>
      <c r="E80" s="127"/>
      <c r="F80" s="127"/>
      <c r="G80" s="127"/>
      <c r="H80" s="127"/>
      <c r="I80" s="127"/>
    </row>
    <row r="81" spans="1:9" ht="12.75" customHeight="1" x14ac:dyDescent="0.2">
      <c r="A81" s="139"/>
      <c r="B81" s="203"/>
      <c r="C81" s="203"/>
      <c r="D81" s="127"/>
      <c r="E81" s="127"/>
      <c r="F81" s="127"/>
      <c r="G81" s="127"/>
      <c r="H81" s="127"/>
      <c r="I81" s="127"/>
    </row>
    <row r="82" spans="1:9" ht="12.75" customHeight="1" x14ac:dyDescent="0.2">
      <c r="A82" s="128" t="s">
        <v>221</v>
      </c>
      <c r="B82" s="141"/>
      <c r="D82"/>
    </row>
    <row r="83" spans="1:9" ht="12.75" customHeight="1" x14ac:dyDescent="0.2">
      <c r="A83" s="116" t="s">
        <v>16</v>
      </c>
      <c r="B83" s="117" t="s">
        <v>14</v>
      </c>
      <c r="D83"/>
    </row>
    <row r="84" spans="1:9" ht="12.75" customHeight="1" x14ac:dyDescent="0.2">
      <c r="A84" s="189" t="s">
        <v>222</v>
      </c>
      <c r="B84" s="123">
        <f>ZOONOSIS!C295</f>
        <v>0</v>
      </c>
      <c r="D84"/>
    </row>
    <row r="85" spans="1:9" ht="12.75" customHeight="1" x14ac:dyDescent="0.2">
      <c r="A85" s="189" t="s">
        <v>223</v>
      </c>
      <c r="B85" s="123">
        <f>ZOONOSIS!C296</f>
        <v>0</v>
      </c>
      <c r="D85"/>
    </row>
    <row r="86" spans="1:9" ht="12.75" customHeight="1" x14ac:dyDescent="0.2">
      <c r="A86" s="189" t="s">
        <v>224</v>
      </c>
      <c r="B86" s="123">
        <f>ZOONOSIS!C297</f>
        <v>0</v>
      </c>
      <c r="D86"/>
    </row>
  </sheetData>
  <sheetProtection selectLockedCells="1" selectUnlockedCells="1"/>
  <mergeCells count="12">
    <mergeCell ref="D45:E45"/>
    <mergeCell ref="A26:B26"/>
    <mergeCell ref="A29:B29"/>
    <mergeCell ref="A30:B30"/>
    <mergeCell ref="A31:B31"/>
    <mergeCell ref="A45:A46"/>
    <mergeCell ref="B45:C45"/>
    <mergeCell ref="A25:B25"/>
    <mergeCell ref="A4:I4"/>
    <mergeCell ref="B6:D6"/>
    <mergeCell ref="B8:D8"/>
    <mergeCell ref="A24:B24"/>
  </mergeCells>
  <printOptions horizontalCentered="1"/>
  <pageMargins left="0" right="0" top="0" bottom="0" header="0.51180555555555551" footer="0.51180555555555551"/>
  <pageSetup paperSize="9" scale="90" firstPageNumber="0" orientation="portrait" horizontalDpi="300" verticalDpi="300"/>
  <headerFooter alignWithMargins="0"/>
  <rowBreaks count="1" manualBreakCount="1">
    <brk id="50" max="16383" man="1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2"/>
  <sheetViews>
    <sheetView showGridLines="0" zoomScaleSheetLayoutView="75" workbookViewId="0">
      <selection activeCell="D20" sqref="D20"/>
    </sheetView>
  </sheetViews>
  <sheetFormatPr baseColWidth="10" defaultRowHeight="12.75" customHeight="1" x14ac:dyDescent="0.2"/>
  <cols>
    <col min="1" max="1" width="32.28515625" style="230" customWidth="1"/>
    <col min="2" max="2" width="6.28515625" style="231" customWidth="1"/>
    <col min="3" max="9" width="10" style="230" customWidth="1"/>
    <col min="10" max="11" width="8.7109375" style="230" customWidth="1"/>
    <col min="12" max="16384" width="11.42578125" style="230"/>
  </cols>
  <sheetData>
    <row r="1" spans="1:11" s="232" customFormat="1" ht="12.75" customHeight="1" x14ac:dyDescent="0.2">
      <c r="A1" s="88"/>
      <c r="B1" s="89"/>
      <c r="C1" s="89"/>
      <c r="D1" s="89"/>
      <c r="E1" s="90"/>
      <c r="F1" s="90"/>
      <c r="G1" s="90"/>
      <c r="H1" s="90"/>
      <c r="I1" s="91"/>
    </row>
    <row r="2" spans="1:11" s="232" customFormat="1" ht="12.75" customHeight="1" x14ac:dyDescent="0.2">
      <c r="A2" s="92"/>
      <c r="B2" s="93"/>
      <c r="C2" s="93"/>
      <c r="D2" s="93"/>
      <c r="E2" s="94"/>
      <c r="F2" s="94"/>
      <c r="G2" s="94"/>
      <c r="H2" s="94"/>
      <c r="I2" s="95"/>
    </row>
    <row r="3" spans="1:11" s="232" customFormat="1" ht="12.75" customHeight="1" x14ac:dyDescent="0.2">
      <c r="A3" s="92"/>
      <c r="B3" s="93"/>
      <c r="C3" s="93"/>
      <c r="D3" s="93"/>
      <c r="E3" s="94"/>
      <c r="F3" s="94"/>
      <c r="G3" s="94"/>
      <c r="H3" s="94"/>
      <c r="I3" s="95"/>
    </row>
    <row r="4" spans="1:11" s="87" customFormat="1" ht="12.75" customHeight="1" x14ac:dyDescent="0.2">
      <c r="A4" s="506" t="s">
        <v>247</v>
      </c>
      <c r="B4" s="506"/>
      <c r="C4" s="506"/>
      <c r="D4" s="506"/>
      <c r="E4" s="506"/>
      <c r="F4" s="506"/>
      <c r="G4" s="506"/>
      <c r="H4" s="506"/>
      <c r="I4" s="506"/>
      <c r="J4" s="233"/>
      <c r="K4" s="233"/>
    </row>
    <row r="5" spans="1:11" s="87" customFormat="1" ht="12.75" customHeight="1" x14ac:dyDescent="0.25">
      <c r="A5" s="96"/>
      <c r="B5" s="97"/>
      <c r="C5" s="97"/>
      <c r="D5" s="98"/>
      <c r="E5" s="98"/>
      <c r="F5" s="99"/>
      <c r="G5" s="100"/>
      <c r="H5" s="97"/>
      <c r="I5" s="101"/>
    </row>
    <row r="6" spans="1:11" s="87" customFormat="1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11" s="87" customFormat="1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11" s="87" customFormat="1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11" s="87" customFormat="1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11" s="87" customFormat="1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11" s="87" customFormat="1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11" s="87" customFormat="1" ht="12.75" customHeight="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105"/>
      <c r="I12" s="101"/>
    </row>
    <row r="13" spans="1:11" s="87" customFormat="1" ht="3" customHeight="1" x14ac:dyDescent="0.2">
      <c r="A13" s="152"/>
      <c r="B13" s="153"/>
      <c r="C13" s="234"/>
      <c r="D13" s="234"/>
      <c r="E13" s="235"/>
      <c r="F13" s="236"/>
      <c r="G13" s="235"/>
      <c r="H13" s="235"/>
      <c r="I13" s="156"/>
    </row>
    <row r="14" spans="1:11" s="87" customFormat="1" ht="12.75" customHeight="1" x14ac:dyDescent="0.2">
      <c r="A14" s="115"/>
      <c r="B14" s="115"/>
      <c r="C14" s="115"/>
      <c r="D14" s="115"/>
      <c r="E14" s="115"/>
      <c r="F14" s="115"/>
      <c r="G14" s="115"/>
    </row>
    <row r="15" spans="1:11" s="87" customFormat="1" ht="12.75" customHeight="1" x14ac:dyDescent="0.2">
      <c r="A15" s="137" t="s">
        <v>248</v>
      </c>
      <c r="B15" s="117" t="s">
        <v>23</v>
      </c>
      <c r="C15" s="117" t="s">
        <v>5</v>
      </c>
      <c r="D15" s="117" t="s">
        <v>108</v>
      </c>
      <c r="E15" s="117" t="s">
        <v>109</v>
      </c>
      <c r="F15" s="117" t="s">
        <v>110</v>
      </c>
      <c r="G15" s="117" t="s">
        <v>111</v>
      </c>
      <c r="H15" s="118" t="s">
        <v>112</v>
      </c>
      <c r="I15" s="237" t="s">
        <v>11</v>
      </c>
    </row>
    <row r="16" spans="1:11" s="87" customFormat="1" ht="12.75" customHeight="1" x14ac:dyDescent="0.2">
      <c r="A16" s="238" t="s">
        <v>74</v>
      </c>
      <c r="B16" s="122" t="s">
        <v>25</v>
      </c>
      <c r="C16" s="120">
        <f t="shared" ref="C16:C24" si="0">SUM(D16:H16)</f>
        <v>0</v>
      </c>
      <c r="D16" s="120">
        <f t="shared" ref="D16:I16" si="1">SUM(D17:D18)</f>
        <v>0</v>
      </c>
      <c r="E16" s="120">
        <f t="shared" si="1"/>
        <v>0</v>
      </c>
      <c r="F16" s="120">
        <f t="shared" si="1"/>
        <v>0</v>
      </c>
      <c r="G16" s="120">
        <f t="shared" si="1"/>
        <v>0</v>
      </c>
      <c r="H16" s="239">
        <f t="shared" si="1"/>
        <v>0</v>
      </c>
      <c r="I16" s="121">
        <f t="shared" si="1"/>
        <v>0</v>
      </c>
    </row>
    <row r="17" spans="1:9" s="87" customFormat="1" ht="12.75" customHeight="1" x14ac:dyDescent="0.2">
      <c r="A17" s="238"/>
      <c r="B17" s="122" t="s">
        <v>26</v>
      </c>
      <c r="C17" s="120">
        <f t="shared" si="0"/>
        <v>0</v>
      </c>
      <c r="D17" s="120">
        <f>D20+D23</f>
        <v>0</v>
      </c>
      <c r="E17" s="120">
        <f t="shared" ref="E17:I18" si="2">E20+E23</f>
        <v>0</v>
      </c>
      <c r="F17" s="120">
        <f t="shared" si="2"/>
        <v>0</v>
      </c>
      <c r="G17" s="120">
        <f t="shared" si="2"/>
        <v>0</v>
      </c>
      <c r="H17" s="239">
        <f t="shared" si="2"/>
        <v>0</v>
      </c>
      <c r="I17" s="240"/>
    </row>
    <row r="18" spans="1:9" s="103" customFormat="1" ht="12.75" customHeight="1" x14ac:dyDescent="0.2">
      <c r="A18" s="238"/>
      <c r="B18" s="122" t="s">
        <v>27</v>
      </c>
      <c r="C18" s="120">
        <f t="shared" si="0"/>
        <v>0</v>
      </c>
      <c r="D18" s="120">
        <f>D21+D24</f>
        <v>0</v>
      </c>
      <c r="E18" s="120">
        <f t="shared" si="2"/>
        <v>0</v>
      </c>
      <c r="F18" s="120">
        <f t="shared" si="2"/>
        <v>0</v>
      </c>
      <c r="G18" s="120">
        <f t="shared" si="2"/>
        <v>0</v>
      </c>
      <c r="H18" s="239">
        <f t="shared" si="2"/>
        <v>0</v>
      </c>
      <c r="I18" s="121">
        <f t="shared" si="2"/>
        <v>0</v>
      </c>
    </row>
    <row r="19" spans="1:9" s="103" customFormat="1" ht="12.75" customHeight="1" x14ac:dyDescent="0.2">
      <c r="A19" s="227" t="s">
        <v>75</v>
      </c>
      <c r="B19" s="122" t="s">
        <v>25</v>
      </c>
      <c r="C19" s="120">
        <f t="shared" si="0"/>
        <v>0</v>
      </c>
      <c r="D19" s="120">
        <f>ZOONOSIS!E315</f>
        <v>0</v>
      </c>
      <c r="E19" s="120">
        <f>ZOONOSIS!F315</f>
        <v>0</v>
      </c>
      <c r="F19" s="120">
        <f>ZOONOSIS!G315</f>
        <v>0</v>
      </c>
      <c r="G19" s="120">
        <f>ZOONOSIS!H315</f>
        <v>0</v>
      </c>
      <c r="H19" s="239">
        <f>ZOONOSIS!I315</f>
        <v>0</v>
      </c>
      <c r="I19" s="121">
        <f>ZOONOSIS!J315</f>
        <v>0</v>
      </c>
    </row>
    <row r="20" spans="1:9" s="103" customFormat="1" ht="12.75" customHeight="1" x14ac:dyDescent="0.2">
      <c r="A20" s="228"/>
      <c r="B20" s="122" t="s">
        <v>26</v>
      </c>
      <c r="C20" s="120">
        <f t="shared" si="0"/>
        <v>0</v>
      </c>
      <c r="D20" s="241">
        <f>ZOONOSIS!E316</f>
        <v>0</v>
      </c>
      <c r="E20" s="241">
        <f>ZOONOSIS!F316</f>
        <v>0</v>
      </c>
      <c r="F20" s="241">
        <f>ZOONOSIS!G316</f>
        <v>0</v>
      </c>
      <c r="G20" s="241">
        <f>ZOONOSIS!H316</f>
        <v>0</v>
      </c>
      <c r="H20" s="242">
        <f>ZOONOSIS!I316</f>
        <v>0</v>
      </c>
      <c r="I20" s="240"/>
    </row>
    <row r="21" spans="1:9" s="103" customFormat="1" ht="12.75" customHeight="1" x14ac:dyDescent="0.2">
      <c r="A21" s="229"/>
      <c r="B21" s="122" t="s">
        <v>27</v>
      </c>
      <c r="C21" s="120">
        <f t="shared" si="0"/>
        <v>0</v>
      </c>
      <c r="D21" s="241">
        <f>ZOONOSIS!E317</f>
        <v>0</v>
      </c>
      <c r="E21" s="241">
        <f>ZOONOSIS!F317</f>
        <v>0</v>
      </c>
      <c r="F21" s="241">
        <f>ZOONOSIS!G317</f>
        <v>0</v>
      </c>
      <c r="G21" s="241">
        <f>ZOONOSIS!H317</f>
        <v>0</v>
      </c>
      <c r="H21" s="242">
        <f>ZOONOSIS!I317</f>
        <v>0</v>
      </c>
      <c r="I21" s="243">
        <f>ZOONOSIS!J317</f>
        <v>0</v>
      </c>
    </row>
    <row r="22" spans="1:9" s="103" customFormat="1" ht="12.75" customHeight="1" x14ac:dyDescent="0.2">
      <c r="A22" s="227" t="s">
        <v>249</v>
      </c>
      <c r="B22" s="122" t="s">
        <v>25</v>
      </c>
      <c r="C22" s="120">
        <f t="shared" si="0"/>
        <v>0</v>
      </c>
      <c r="D22" s="120">
        <f>ZOONOSIS!E318</f>
        <v>0</v>
      </c>
      <c r="E22" s="120">
        <f>ZOONOSIS!F318</f>
        <v>0</v>
      </c>
      <c r="F22" s="120">
        <f>ZOONOSIS!G318</f>
        <v>0</v>
      </c>
      <c r="G22" s="120">
        <f>ZOONOSIS!H318</f>
        <v>0</v>
      </c>
      <c r="H22" s="239">
        <f>ZOONOSIS!I318</f>
        <v>0</v>
      </c>
      <c r="I22" s="121">
        <f>ZOONOSIS!J318</f>
        <v>0</v>
      </c>
    </row>
    <row r="23" spans="1:9" s="87" customFormat="1" ht="12.75" customHeight="1" x14ac:dyDescent="0.2">
      <c r="A23" s="210"/>
      <c r="B23" s="122" t="s">
        <v>26</v>
      </c>
      <c r="C23" s="120">
        <f t="shared" si="0"/>
        <v>0</v>
      </c>
      <c r="D23" s="241">
        <f>ZOONOSIS!E319</f>
        <v>0</v>
      </c>
      <c r="E23" s="241">
        <f>ZOONOSIS!F319</f>
        <v>0</v>
      </c>
      <c r="F23" s="241">
        <f>ZOONOSIS!G319</f>
        <v>0</v>
      </c>
      <c r="G23" s="241">
        <f>ZOONOSIS!H319</f>
        <v>0</v>
      </c>
      <c r="H23" s="242">
        <f>ZOONOSIS!I319</f>
        <v>0</v>
      </c>
      <c r="I23" s="240"/>
    </row>
    <row r="24" spans="1:9" ht="12.75" customHeight="1" x14ac:dyDescent="0.2">
      <c r="A24" s="226"/>
      <c r="B24" s="122" t="s">
        <v>27</v>
      </c>
      <c r="C24" s="120">
        <f t="shared" si="0"/>
        <v>0</v>
      </c>
      <c r="D24" s="241">
        <f>ZOONOSIS!E320</f>
        <v>0</v>
      </c>
      <c r="E24" s="241">
        <f>ZOONOSIS!F320</f>
        <v>0</v>
      </c>
      <c r="F24" s="241">
        <f>ZOONOSIS!G320</f>
        <v>0</v>
      </c>
      <c r="G24" s="241">
        <f>ZOONOSIS!H320</f>
        <v>0</v>
      </c>
      <c r="H24" s="242">
        <f>ZOONOSIS!I320</f>
        <v>0</v>
      </c>
      <c r="I24" s="243">
        <f>ZOONOSIS!J320</f>
        <v>0</v>
      </c>
    </row>
    <row r="25" spans="1:9" ht="12.75" customHeight="1" x14ac:dyDescent="0.2">
      <c r="A25" s="115"/>
      <c r="B25" s="115"/>
      <c r="C25" s="115"/>
      <c r="D25" s="115"/>
      <c r="E25" s="115"/>
      <c r="F25" s="115"/>
      <c r="G25" s="115"/>
      <c r="H25" s="87"/>
      <c r="I25" s="87"/>
    </row>
    <row r="26" spans="1:9" ht="12.75" customHeight="1" x14ac:dyDescent="0.2">
      <c r="A26" s="220" t="s">
        <v>4</v>
      </c>
      <c r="B26" s="244"/>
      <c r="C26" s="127"/>
      <c r="D26" s="127"/>
      <c r="E26" s="127"/>
      <c r="F26" s="127"/>
      <c r="G26" s="127"/>
      <c r="H26" s="127"/>
      <c r="I26" s="127"/>
    </row>
    <row r="27" spans="1:9" ht="12.75" customHeight="1" x14ac:dyDescent="0.2">
      <c r="A27" s="148" t="s">
        <v>250</v>
      </c>
      <c r="B27" s="137" t="s">
        <v>23</v>
      </c>
      <c r="C27" s="137" t="s">
        <v>5</v>
      </c>
      <c r="D27" s="137" t="s">
        <v>108</v>
      </c>
      <c r="E27" s="137" t="s">
        <v>109</v>
      </c>
      <c r="F27" s="137" t="s">
        <v>110</v>
      </c>
      <c r="G27" s="137" t="s">
        <v>111</v>
      </c>
      <c r="H27" s="182" t="s">
        <v>112</v>
      </c>
      <c r="I27" s="158" t="s">
        <v>11</v>
      </c>
    </row>
    <row r="28" spans="1:9" ht="12.75" customHeight="1" x14ac:dyDescent="0.2">
      <c r="A28" s="245" t="s">
        <v>13</v>
      </c>
      <c r="B28" s="160" t="s">
        <v>25</v>
      </c>
      <c r="C28" s="120">
        <f t="shared" ref="C28:C42" si="3">SUM(D28:H28)</f>
        <v>0</v>
      </c>
      <c r="D28" s="120">
        <f t="shared" ref="D28:I28" si="4">SUM(D29:D30)</f>
        <v>0</v>
      </c>
      <c r="E28" s="120">
        <f t="shared" si="4"/>
        <v>0</v>
      </c>
      <c r="F28" s="120">
        <f t="shared" si="4"/>
        <v>0</v>
      </c>
      <c r="G28" s="120">
        <f t="shared" si="4"/>
        <v>0</v>
      </c>
      <c r="H28" s="239">
        <f t="shared" si="4"/>
        <v>0</v>
      </c>
      <c r="I28" s="121">
        <f t="shared" si="4"/>
        <v>0</v>
      </c>
    </row>
    <row r="29" spans="1:9" s="87" customFormat="1" ht="12.75" customHeight="1" x14ac:dyDescent="0.2">
      <c r="A29" s="210"/>
      <c r="B29" s="160" t="s">
        <v>26</v>
      </c>
      <c r="C29" s="120">
        <f t="shared" si="3"/>
        <v>0</v>
      </c>
      <c r="D29" s="120">
        <f t="shared" ref="D29:H30" si="5">D32+D35+D38+D41</f>
        <v>0</v>
      </c>
      <c r="E29" s="120">
        <f t="shared" si="5"/>
        <v>0</v>
      </c>
      <c r="F29" s="120">
        <f t="shared" si="5"/>
        <v>0</v>
      </c>
      <c r="G29" s="120">
        <f t="shared" si="5"/>
        <v>0</v>
      </c>
      <c r="H29" s="239">
        <f t="shared" si="5"/>
        <v>0</v>
      </c>
      <c r="I29" s="240"/>
    </row>
    <row r="30" spans="1:9" s="87" customFormat="1" ht="12.75" customHeight="1" x14ac:dyDescent="0.2">
      <c r="A30" s="211"/>
      <c r="B30" s="160" t="s">
        <v>27</v>
      </c>
      <c r="C30" s="120">
        <f t="shared" si="3"/>
        <v>0</v>
      </c>
      <c r="D30" s="120">
        <f t="shared" si="5"/>
        <v>0</v>
      </c>
      <c r="E30" s="120">
        <f t="shared" si="5"/>
        <v>0</v>
      </c>
      <c r="F30" s="120">
        <f t="shared" si="5"/>
        <v>0</v>
      </c>
      <c r="G30" s="120">
        <f t="shared" si="5"/>
        <v>0</v>
      </c>
      <c r="H30" s="239">
        <f t="shared" si="5"/>
        <v>0</v>
      </c>
      <c r="I30" s="121">
        <f>I33+I36+I39+I42</f>
        <v>0</v>
      </c>
    </row>
    <row r="31" spans="1:9" s="87" customFormat="1" ht="12.75" customHeight="1" x14ac:dyDescent="0.2">
      <c r="A31" s="208" t="s">
        <v>251</v>
      </c>
      <c r="B31" s="160" t="s">
        <v>25</v>
      </c>
      <c r="C31" s="120">
        <f t="shared" si="3"/>
        <v>0</v>
      </c>
      <c r="D31" s="120">
        <f>ZOONOSIS!E302</f>
        <v>0</v>
      </c>
      <c r="E31" s="120">
        <f>ZOONOSIS!F302</f>
        <v>0</v>
      </c>
      <c r="F31" s="120">
        <f>ZOONOSIS!G302</f>
        <v>0</v>
      </c>
      <c r="G31" s="120">
        <f>ZOONOSIS!H302</f>
        <v>0</v>
      </c>
      <c r="H31" s="239">
        <f>ZOONOSIS!I302</f>
        <v>0</v>
      </c>
      <c r="I31" s="121">
        <f>ZOONOSIS!J302</f>
        <v>0</v>
      </c>
    </row>
    <row r="32" spans="1:9" s="87" customFormat="1" ht="12.75" customHeight="1" x14ac:dyDescent="0.2">
      <c r="A32" s="210"/>
      <c r="B32" s="160" t="s">
        <v>26</v>
      </c>
      <c r="C32" s="120">
        <f t="shared" si="3"/>
        <v>0</v>
      </c>
      <c r="D32" s="241">
        <f>ZOONOSIS!E303</f>
        <v>0</v>
      </c>
      <c r="E32" s="241">
        <f>ZOONOSIS!F303</f>
        <v>0</v>
      </c>
      <c r="F32" s="241">
        <f>ZOONOSIS!G303</f>
        <v>0</v>
      </c>
      <c r="G32" s="241">
        <f>ZOONOSIS!H303</f>
        <v>0</v>
      </c>
      <c r="H32" s="242">
        <f>ZOONOSIS!I303</f>
        <v>0</v>
      </c>
      <c r="I32" s="240"/>
    </row>
    <row r="33" spans="1:9" s="87" customFormat="1" ht="12.75" customHeight="1" x14ac:dyDescent="0.2">
      <c r="A33" s="211"/>
      <c r="B33" s="160" t="s">
        <v>27</v>
      </c>
      <c r="C33" s="120">
        <f t="shared" si="3"/>
        <v>0</v>
      </c>
      <c r="D33" s="241">
        <f>ZOONOSIS!E304</f>
        <v>0</v>
      </c>
      <c r="E33" s="241">
        <f>ZOONOSIS!F304</f>
        <v>0</v>
      </c>
      <c r="F33" s="241">
        <f>ZOONOSIS!G304</f>
        <v>0</v>
      </c>
      <c r="G33" s="241">
        <f>ZOONOSIS!H304</f>
        <v>0</v>
      </c>
      <c r="H33" s="242">
        <f>ZOONOSIS!I304</f>
        <v>0</v>
      </c>
      <c r="I33" s="243">
        <f>ZOONOSIS!J304</f>
        <v>0</v>
      </c>
    </row>
    <row r="34" spans="1:9" s="87" customFormat="1" ht="12.75" customHeight="1" x14ac:dyDescent="0.2">
      <c r="A34" s="208" t="s">
        <v>252</v>
      </c>
      <c r="B34" s="160" t="s">
        <v>25</v>
      </c>
      <c r="C34" s="120">
        <f t="shared" si="3"/>
        <v>0</v>
      </c>
      <c r="D34" s="120">
        <f>ZOONOSIS!E305</f>
        <v>0</v>
      </c>
      <c r="E34" s="120">
        <f>ZOONOSIS!F305</f>
        <v>0</v>
      </c>
      <c r="F34" s="120">
        <f>ZOONOSIS!G305</f>
        <v>0</v>
      </c>
      <c r="G34" s="120">
        <f>ZOONOSIS!H305</f>
        <v>0</v>
      </c>
      <c r="H34" s="239">
        <f>ZOONOSIS!I305</f>
        <v>0</v>
      </c>
      <c r="I34" s="121">
        <f>ZOONOSIS!J305</f>
        <v>0</v>
      </c>
    </row>
    <row r="35" spans="1:9" ht="12.75" customHeight="1" x14ac:dyDescent="0.2">
      <c r="A35" s="210"/>
      <c r="B35" s="160" t="s">
        <v>26</v>
      </c>
      <c r="C35" s="120">
        <f t="shared" si="3"/>
        <v>0</v>
      </c>
      <c r="D35" s="241">
        <f>ZOONOSIS!E306</f>
        <v>0</v>
      </c>
      <c r="E35" s="241">
        <f>ZOONOSIS!F306</f>
        <v>0</v>
      </c>
      <c r="F35" s="241">
        <f>ZOONOSIS!G306</f>
        <v>0</v>
      </c>
      <c r="G35" s="241">
        <f>ZOONOSIS!H306</f>
        <v>0</v>
      </c>
      <c r="H35" s="242">
        <f>ZOONOSIS!I306</f>
        <v>0</v>
      </c>
      <c r="I35" s="240"/>
    </row>
    <row r="36" spans="1:9" ht="12.75" customHeight="1" x14ac:dyDescent="0.2">
      <c r="A36" s="211"/>
      <c r="B36" s="160" t="s">
        <v>27</v>
      </c>
      <c r="C36" s="120">
        <f t="shared" si="3"/>
        <v>0</v>
      </c>
      <c r="D36" s="241">
        <f>ZOONOSIS!E307</f>
        <v>0</v>
      </c>
      <c r="E36" s="241">
        <f>ZOONOSIS!F307</f>
        <v>0</v>
      </c>
      <c r="F36" s="241">
        <f>ZOONOSIS!G307</f>
        <v>0</v>
      </c>
      <c r="G36" s="241">
        <f>ZOONOSIS!H307</f>
        <v>0</v>
      </c>
      <c r="H36" s="242">
        <f>ZOONOSIS!I307</f>
        <v>0</v>
      </c>
      <c r="I36" s="243">
        <f>ZOONOSIS!J307</f>
        <v>0</v>
      </c>
    </row>
    <row r="37" spans="1:9" ht="12.75" customHeight="1" x14ac:dyDescent="0.2">
      <c r="A37" s="208" t="s">
        <v>253</v>
      </c>
      <c r="B37" s="160" t="s">
        <v>25</v>
      </c>
      <c r="C37" s="120">
        <f t="shared" si="3"/>
        <v>0</v>
      </c>
      <c r="D37" s="120">
        <f>ZOONOSIS!E308</f>
        <v>0</v>
      </c>
      <c r="E37" s="120">
        <f>ZOONOSIS!F308</f>
        <v>0</v>
      </c>
      <c r="F37" s="120">
        <f>ZOONOSIS!G308</f>
        <v>0</v>
      </c>
      <c r="G37" s="120">
        <f>ZOONOSIS!H308</f>
        <v>0</v>
      </c>
      <c r="H37" s="239">
        <f>ZOONOSIS!I308</f>
        <v>0</v>
      </c>
      <c r="I37" s="121">
        <f>ZOONOSIS!J308</f>
        <v>0</v>
      </c>
    </row>
    <row r="38" spans="1:9" ht="12.75" customHeight="1" x14ac:dyDescent="0.2">
      <c r="A38" s="210"/>
      <c r="B38" s="160" t="s">
        <v>26</v>
      </c>
      <c r="C38" s="120">
        <f t="shared" si="3"/>
        <v>0</v>
      </c>
      <c r="D38" s="241">
        <f>ZOONOSIS!E309</f>
        <v>0</v>
      </c>
      <c r="E38" s="241">
        <f>ZOONOSIS!F309</f>
        <v>0</v>
      </c>
      <c r="F38" s="241">
        <f>ZOONOSIS!G309</f>
        <v>0</v>
      </c>
      <c r="G38" s="241">
        <f>ZOONOSIS!H309</f>
        <v>0</v>
      </c>
      <c r="H38" s="242">
        <f>ZOONOSIS!I309</f>
        <v>0</v>
      </c>
      <c r="I38" s="240"/>
    </row>
    <row r="39" spans="1:9" ht="12.75" customHeight="1" x14ac:dyDescent="0.2">
      <c r="A39" s="211"/>
      <c r="B39" s="160" t="s">
        <v>27</v>
      </c>
      <c r="C39" s="120">
        <f t="shared" si="3"/>
        <v>0</v>
      </c>
      <c r="D39" s="241">
        <f>ZOONOSIS!E310</f>
        <v>0</v>
      </c>
      <c r="E39" s="241">
        <f>ZOONOSIS!F310</f>
        <v>0</v>
      </c>
      <c r="F39" s="241">
        <f>ZOONOSIS!G310</f>
        <v>0</v>
      </c>
      <c r="G39" s="241">
        <f>ZOONOSIS!H310</f>
        <v>0</v>
      </c>
      <c r="H39" s="242">
        <f>ZOONOSIS!I310</f>
        <v>0</v>
      </c>
      <c r="I39" s="243">
        <f>ZOONOSIS!J310</f>
        <v>0</v>
      </c>
    </row>
    <row r="40" spans="1:9" ht="12.75" customHeight="1" x14ac:dyDescent="0.2">
      <c r="A40" s="208" t="s">
        <v>254</v>
      </c>
      <c r="B40" s="160" t="s">
        <v>25</v>
      </c>
      <c r="C40" s="120">
        <f t="shared" si="3"/>
        <v>0</v>
      </c>
      <c r="D40" s="120">
        <f>ZOONOSIS!E311</f>
        <v>0</v>
      </c>
      <c r="E40" s="120">
        <f>ZOONOSIS!F311</f>
        <v>0</v>
      </c>
      <c r="F40" s="120">
        <f>ZOONOSIS!G311</f>
        <v>0</v>
      </c>
      <c r="G40" s="120">
        <f>ZOONOSIS!H311</f>
        <v>0</v>
      </c>
      <c r="H40" s="239">
        <f>ZOONOSIS!I311</f>
        <v>0</v>
      </c>
      <c r="I40" s="121">
        <f>ZOONOSIS!J311</f>
        <v>0</v>
      </c>
    </row>
    <row r="41" spans="1:9" ht="12.75" customHeight="1" x14ac:dyDescent="0.2">
      <c r="A41" s="210"/>
      <c r="B41" s="160" t="s">
        <v>26</v>
      </c>
      <c r="C41" s="120">
        <f t="shared" si="3"/>
        <v>0</v>
      </c>
      <c r="D41" s="241">
        <f>ZOONOSIS!E312</f>
        <v>0</v>
      </c>
      <c r="E41" s="241">
        <f>ZOONOSIS!F312</f>
        <v>0</v>
      </c>
      <c r="F41" s="241">
        <f>ZOONOSIS!G312</f>
        <v>0</v>
      </c>
      <c r="G41" s="241">
        <f>ZOONOSIS!H312</f>
        <v>0</v>
      </c>
      <c r="H41" s="242">
        <f>ZOONOSIS!I312</f>
        <v>0</v>
      </c>
      <c r="I41" s="240"/>
    </row>
    <row r="42" spans="1:9" ht="12.75" customHeight="1" x14ac:dyDescent="0.2">
      <c r="A42" s="211"/>
      <c r="B42" s="160" t="s">
        <v>27</v>
      </c>
      <c r="C42" s="120">
        <f t="shared" si="3"/>
        <v>0</v>
      </c>
      <c r="D42" s="241">
        <f>ZOONOSIS!E313</f>
        <v>0</v>
      </c>
      <c r="E42" s="241">
        <f>ZOONOSIS!F313</f>
        <v>0</v>
      </c>
      <c r="F42" s="241">
        <f>ZOONOSIS!G313</f>
        <v>0</v>
      </c>
      <c r="G42" s="241">
        <f>ZOONOSIS!H313</f>
        <v>0</v>
      </c>
      <c r="H42" s="242">
        <f>ZOONOSIS!I313</f>
        <v>0</v>
      </c>
      <c r="I42" s="243">
        <f>ZOONOSIS!J313</f>
        <v>0</v>
      </c>
    </row>
    <row r="43" spans="1:9" ht="12.75" customHeight="1" x14ac:dyDescent="0.2">
      <c r="A43" s="212"/>
      <c r="B43" s="173"/>
      <c r="C43" s="172"/>
      <c r="D43" s="131"/>
      <c r="E43" s="131"/>
      <c r="F43" s="131"/>
      <c r="G43" s="131"/>
      <c r="H43" s="131"/>
      <c r="I43" s="131"/>
    </row>
    <row r="44" spans="1:9" ht="12.75" customHeight="1" x14ac:dyDescent="0.2">
      <c r="A44" s="129" t="s">
        <v>255</v>
      </c>
      <c r="B44" s="246"/>
      <c r="C44" s="87"/>
    </row>
    <row r="45" spans="1:9" ht="12.75" customHeight="1" x14ac:dyDescent="0.2">
      <c r="A45" s="498" t="s">
        <v>35</v>
      </c>
      <c r="B45" s="498"/>
      <c r="C45" s="137" t="s">
        <v>5</v>
      </c>
      <c r="D45" s="137" t="s">
        <v>108</v>
      </c>
      <c r="E45" s="137" t="s">
        <v>109</v>
      </c>
      <c r="F45" s="137" t="s">
        <v>110</v>
      </c>
      <c r="G45" s="137" t="s">
        <v>111</v>
      </c>
      <c r="H45" s="182" t="s">
        <v>112</v>
      </c>
      <c r="I45" s="158" t="s">
        <v>11</v>
      </c>
    </row>
    <row r="46" spans="1:9" ht="12.75" customHeight="1" x14ac:dyDescent="0.2">
      <c r="A46" s="504" t="s">
        <v>218</v>
      </c>
      <c r="B46" s="504"/>
      <c r="C46" s="120">
        <f>SUM(D46:H46)</f>
        <v>0</v>
      </c>
      <c r="D46" s="241">
        <f>ZOONOSIS!D327</f>
        <v>0</v>
      </c>
      <c r="E46" s="241">
        <f>ZOONOSIS!E327</f>
        <v>0</v>
      </c>
      <c r="F46" s="241">
        <f>ZOONOSIS!F327</f>
        <v>0</v>
      </c>
      <c r="G46" s="241">
        <f>ZOONOSIS!G327</f>
        <v>0</v>
      </c>
      <c r="H46" s="242">
        <f>ZOONOSIS!H327</f>
        <v>0</v>
      </c>
      <c r="I46" s="243">
        <f>ZOONOSIS!I327</f>
        <v>0</v>
      </c>
    </row>
    <row r="47" spans="1:9" ht="12.75" customHeight="1" x14ac:dyDescent="0.2">
      <c r="A47" s="504" t="s">
        <v>219</v>
      </c>
      <c r="B47" s="504"/>
      <c r="C47" s="120">
        <f>SUM(D47:H47)</f>
        <v>0</v>
      </c>
      <c r="D47" s="241">
        <f>ZOONOSIS!D328</f>
        <v>0</v>
      </c>
      <c r="E47" s="241">
        <f>ZOONOSIS!E328</f>
        <v>0</v>
      </c>
      <c r="F47" s="241">
        <f>ZOONOSIS!F328</f>
        <v>0</v>
      </c>
      <c r="G47" s="241">
        <f>ZOONOSIS!G328</f>
        <v>0</v>
      </c>
      <c r="H47" s="242">
        <f>ZOONOSIS!H328</f>
        <v>0</v>
      </c>
      <c r="I47" s="243">
        <f>ZOONOSIS!I328</f>
        <v>0</v>
      </c>
    </row>
    <row r="48" spans="1:9" ht="12.75" customHeight="1" x14ac:dyDescent="0.2">
      <c r="A48" s="139"/>
      <c r="B48" s="247"/>
      <c r="C48" s="169"/>
      <c r="D48" s="248"/>
    </row>
    <row r="49" spans="1:9" ht="12.75" customHeight="1" x14ac:dyDescent="0.2">
      <c r="A49" s="138" t="s">
        <v>167</v>
      </c>
      <c r="B49" s="119" t="s">
        <v>23</v>
      </c>
      <c r="C49" s="137" t="s">
        <v>5</v>
      </c>
      <c r="D49" s="137" t="s">
        <v>108</v>
      </c>
      <c r="E49" s="137" t="s">
        <v>109</v>
      </c>
      <c r="F49" s="137" t="s">
        <v>110</v>
      </c>
      <c r="G49" s="137" t="s">
        <v>111</v>
      </c>
      <c r="H49" s="182" t="s">
        <v>112</v>
      </c>
      <c r="I49" s="158" t="s">
        <v>11</v>
      </c>
    </row>
    <row r="50" spans="1:9" ht="12.75" customHeight="1" x14ac:dyDescent="0.2">
      <c r="A50" s="184" t="s">
        <v>217</v>
      </c>
      <c r="B50" s="185" t="s">
        <v>25</v>
      </c>
      <c r="C50" s="120">
        <f>SUM(D50:H50)</f>
        <v>0</v>
      </c>
      <c r="D50" s="120">
        <f t="shared" ref="D50:I50" si="6">SUM(D51:D52)</f>
        <v>0</v>
      </c>
      <c r="E50" s="120">
        <f t="shared" si="6"/>
        <v>0</v>
      </c>
      <c r="F50" s="120">
        <f t="shared" si="6"/>
        <v>0</v>
      </c>
      <c r="G50" s="120">
        <f t="shared" si="6"/>
        <v>0</v>
      </c>
      <c r="H50" s="239">
        <f t="shared" si="6"/>
        <v>0</v>
      </c>
      <c r="I50" s="121">
        <f t="shared" si="6"/>
        <v>0</v>
      </c>
    </row>
    <row r="51" spans="1:9" ht="12.75" customHeight="1" x14ac:dyDescent="0.2">
      <c r="A51" s="186"/>
      <c r="B51" s="185" t="s">
        <v>26</v>
      </c>
      <c r="C51" s="120">
        <f>SUM(D51:H51)</f>
        <v>0</v>
      </c>
      <c r="D51" s="123">
        <v>0</v>
      </c>
      <c r="E51" s="123">
        <v>0</v>
      </c>
      <c r="F51" s="123">
        <v>0</v>
      </c>
      <c r="G51" s="123">
        <v>0</v>
      </c>
      <c r="H51" s="124">
        <v>0</v>
      </c>
      <c r="I51" s="240">
        <v>0</v>
      </c>
    </row>
    <row r="52" spans="1:9" ht="12.75" customHeight="1" x14ac:dyDescent="0.2">
      <c r="A52" s="187"/>
      <c r="B52" s="185" t="s">
        <v>27</v>
      </c>
      <c r="C52" s="120">
        <f>SUM(D52:H52)</f>
        <v>0</v>
      </c>
      <c r="D52" s="123">
        <v>0</v>
      </c>
      <c r="E52" s="123">
        <v>0</v>
      </c>
      <c r="F52" s="123">
        <v>0</v>
      </c>
      <c r="G52" s="123">
        <v>0</v>
      </c>
      <c r="H52" s="124">
        <v>0</v>
      </c>
      <c r="I52" s="249">
        <v>0</v>
      </c>
    </row>
    <row r="53" spans="1:9" ht="12.75" customHeight="1" x14ac:dyDescent="0.2">
      <c r="A53" s="250"/>
      <c r="B53" s="214"/>
      <c r="C53" s="251"/>
      <c r="D53" s="252"/>
      <c r="E53" s="252"/>
      <c r="F53" s="252"/>
      <c r="G53" s="252"/>
      <c r="H53" s="252"/>
      <c r="I53" s="252"/>
    </row>
    <row r="54" spans="1:9" ht="12.75" customHeight="1" x14ac:dyDescent="0.2">
      <c r="A54" s="128" t="s">
        <v>221</v>
      </c>
      <c r="B54" s="141"/>
      <c r="C54" s="87"/>
      <c r="E54" s="223"/>
      <c r="F54" s="223"/>
      <c r="G54" s="87"/>
      <c r="H54" s="87"/>
      <c r="I54" s="87"/>
    </row>
    <row r="55" spans="1:9" ht="12.75" customHeight="1" x14ac:dyDescent="0.2">
      <c r="A55" s="148" t="s">
        <v>16</v>
      </c>
      <c r="B55" s="137" t="s">
        <v>14</v>
      </c>
      <c r="C55" s="87"/>
      <c r="E55" s="223"/>
      <c r="F55" s="223"/>
      <c r="G55" s="87"/>
      <c r="H55" s="87"/>
      <c r="I55" s="87"/>
    </row>
    <row r="56" spans="1:9" ht="12.75" customHeight="1" x14ac:dyDescent="0.2">
      <c r="A56" s="189" t="s">
        <v>222</v>
      </c>
      <c r="B56" s="123">
        <f>ZOONOSIS!C332</f>
        <v>0</v>
      </c>
      <c r="C56" s="87"/>
      <c r="E56" s="223"/>
      <c r="F56" s="223"/>
      <c r="G56" s="87"/>
      <c r="H56" s="87"/>
      <c r="I56" s="87"/>
    </row>
    <row r="57" spans="1:9" ht="12.75" customHeight="1" x14ac:dyDescent="0.2">
      <c r="A57" s="189" t="s">
        <v>223</v>
      </c>
      <c r="B57" s="123">
        <v>0</v>
      </c>
      <c r="C57" s="87"/>
      <c r="E57" s="223"/>
      <c r="F57" s="223"/>
      <c r="G57" s="87"/>
      <c r="H57" s="87"/>
      <c r="I57" s="87"/>
    </row>
    <row r="58" spans="1:9" ht="12.75" customHeight="1" x14ac:dyDescent="0.2">
      <c r="A58" s="189" t="s">
        <v>256</v>
      </c>
      <c r="B58" s="123">
        <v>0</v>
      </c>
      <c r="C58" s="87"/>
      <c r="E58" s="223"/>
      <c r="F58" s="223"/>
      <c r="G58" s="87"/>
      <c r="H58" s="87"/>
      <c r="I58" s="87"/>
    </row>
    <row r="59" spans="1:9" ht="12.75" customHeight="1" x14ac:dyDescent="0.2">
      <c r="A59" s="139"/>
      <c r="B59" s="141"/>
      <c r="C59" s="87"/>
      <c r="E59" s="223"/>
      <c r="F59" s="223"/>
      <c r="G59" s="87"/>
      <c r="H59" s="87"/>
      <c r="I59" s="87"/>
    </row>
    <row r="60" spans="1:9" ht="12.75" customHeight="1" x14ac:dyDescent="0.2">
      <c r="A60" s="148" t="s">
        <v>225</v>
      </c>
      <c r="B60" s="137" t="s">
        <v>257</v>
      </c>
    </row>
    <row r="61" spans="1:9" ht="12.75" customHeight="1" x14ac:dyDescent="0.2">
      <c r="A61" s="190" t="s">
        <v>258</v>
      </c>
      <c r="B61" s="123">
        <v>0</v>
      </c>
    </row>
    <row r="62" spans="1:9" ht="12.75" customHeight="1" x14ac:dyDescent="0.2">
      <c r="A62" s="190" t="s">
        <v>226</v>
      </c>
      <c r="B62" s="123">
        <v>0</v>
      </c>
    </row>
  </sheetData>
  <sheetProtection selectLockedCells="1" selectUnlockedCells="1"/>
  <mergeCells count="6">
    <mergeCell ref="A47:B47"/>
    <mergeCell ref="A4:I4"/>
    <mergeCell ref="B6:D6"/>
    <mergeCell ref="B8:D8"/>
    <mergeCell ref="A45:B45"/>
    <mergeCell ref="A46:B46"/>
  </mergeCells>
  <printOptions horizontalCentered="1" verticalCentered="1"/>
  <pageMargins left="0" right="0" top="0" bottom="0" header="0.51180555555555551" footer="0.51180555555555551"/>
  <pageSetup paperSize="9" scale="93" firstPageNumber="0" orientation="portrait" horizontalDpi="300" verticalDpi="300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3"/>
  <sheetViews>
    <sheetView showGridLines="0" zoomScaleSheetLayoutView="75" workbookViewId="0"/>
  </sheetViews>
  <sheetFormatPr baseColWidth="10" defaultRowHeight="12.75" customHeight="1" x14ac:dyDescent="0.2"/>
  <cols>
    <col min="1" max="1" width="52" customWidth="1"/>
    <col min="2" max="2" width="5.28515625" customWidth="1"/>
    <col min="3" max="3" width="8.42578125" customWidth="1"/>
    <col min="4" max="4" width="8.5703125" customWidth="1"/>
    <col min="5" max="6" width="9.140625" customWidth="1"/>
    <col min="7" max="9" width="10" customWidth="1"/>
    <col min="10" max="11" width="8.7109375" customWidth="1"/>
  </cols>
  <sheetData>
    <row r="1" spans="1:11" s="87" customFormat="1" ht="12.75" customHeight="1" x14ac:dyDescent="0.2">
      <c r="A1" s="88"/>
      <c r="B1" s="89"/>
      <c r="C1" s="89"/>
      <c r="D1" s="89"/>
      <c r="E1" s="90"/>
      <c r="F1" s="90"/>
      <c r="G1" s="90"/>
      <c r="H1" s="90"/>
      <c r="I1" s="91"/>
    </row>
    <row r="2" spans="1:11" s="87" customFormat="1" ht="12.75" customHeight="1" x14ac:dyDescent="0.2">
      <c r="A2" s="92"/>
      <c r="B2" s="93"/>
      <c r="C2" s="93"/>
      <c r="D2" s="93"/>
      <c r="E2" s="94"/>
      <c r="F2" s="94"/>
      <c r="G2" s="94"/>
      <c r="H2" s="94"/>
      <c r="I2" s="95"/>
    </row>
    <row r="3" spans="1:11" s="87" customFormat="1" ht="12.75" customHeight="1" x14ac:dyDescent="0.2">
      <c r="A3" s="92"/>
      <c r="B3" s="93"/>
      <c r="C3" s="93"/>
      <c r="D3" s="93"/>
      <c r="E3" s="94"/>
      <c r="F3" s="94"/>
      <c r="G3" s="94"/>
      <c r="H3" s="94"/>
      <c r="I3" s="95"/>
    </row>
    <row r="4" spans="1:11" s="87" customFormat="1" ht="12.75" customHeight="1" x14ac:dyDescent="0.2">
      <c r="A4" s="506" t="s">
        <v>259</v>
      </c>
      <c r="B4" s="506"/>
      <c r="C4" s="506"/>
      <c r="D4" s="506"/>
      <c r="E4" s="506"/>
      <c r="F4" s="506"/>
      <c r="G4" s="506"/>
      <c r="H4" s="506"/>
      <c r="I4" s="506"/>
      <c r="J4" s="253"/>
      <c r="K4" s="253"/>
    </row>
    <row r="5" spans="1:11" s="87" customFormat="1" ht="12.75" customHeight="1" x14ac:dyDescent="0.2">
      <c r="A5" s="92"/>
      <c r="B5" s="93"/>
      <c r="C5" s="93"/>
      <c r="D5" s="93"/>
      <c r="E5" s="94"/>
      <c r="F5" s="94"/>
      <c r="G5" s="94"/>
      <c r="H5" s="94"/>
      <c r="I5" s="95"/>
      <c r="J5" s="253"/>
      <c r="K5" s="253"/>
    </row>
    <row r="6" spans="1:11" s="87" customFormat="1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11" s="127" customFormat="1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11" s="254" customFormat="1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11" s="127" customFormat="1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11" s="127" customFormat="1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11" s="127" customFormat="1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11" s="127" customFormat="1" ht="12.75" customHeight="1" x14ac:dyDescent="0.2">
      <c r="A12" s="111" t="s">
        <v>165</v>
      </c>
      <c r="B12" s="374"/>
      <c r="C12" s="370"/>
      <c r="D12" s="371"/>
      <c r="E12" s="103"/>
      <c r="F12" s="104" t="s">
        <v>166</v>
      </c>
      <c r="G12" s="112"/>
      <c r="H12" s="105"/>
      <c r="I12" s="101"/>
    </row>
    <row r="13" spans="1:11" s="127" customFormat="1" ht="3" customHeight="1" x14ac:dyDescent="0.2">
      <c r="A13" s="255"/>
      <c r="B13" s="256"/>
      <c r="C13" s="256"/>
      <c r="D13" s="256"/>
      <c r="E13" s="256"/>
      <c r="F13" s="256"/>
      <c r="G13" s="256"/>
      <c r="H13" s="256"/>
      <c r="I13" s="257"/>
    </row>
    <row r="14" spans="1:11" s="127" customFormat="1" ht="12.75" customHeight="1" x14ac:dyDescent="0.2">
      <c r="A14" s="115"/>
      <c r="B14" s="115"/>
      <c r="C14" s="115"/>
      <c r="D14" s="115"/>
      <c r="E14" s="115"/>
      <c r="F14" s="115"/>
      <c r="G14" s="115"/>
      <c r="H14" s="87"/>
      <c r="I14" s="87"/>
    </row>
    <row r="15" spans="1:11" s="127" customFormat="1" ht="12.75" customHeight="1" x14ac:dyDescent="0.15">
      <c r="A15" s="137" t="s">
        <v>107</v>
      </c>
      <c r="B15" s="117" t="s">
        <v>23</v>
      </c>
      <c r="C15" s="117" t="s">
        <v>5</v>
      </c>
      <c r="D15" s="117" t="s">
        <v>108</v>
      </c>
      <c r="E15" s="117" t="s">
        <v>109</v>
      </c>
      <c r="F15" s="117" t="s">
        <v>110</v>
      </c>
      <c r="G15" s="117" t="s">
        <v>111</v>
      </c>
      <c r="H15" s="118" t="s">
        <v>112</v>
      </c>
      <c r="I15" s="119" t="s">
        <v>11</v>
      </c>
    </row>
    <row r="16" spans="1:11" s="127" customFormat="1" ht="12.75" customHeight="1" x14ac:dyDescent="0.15">
      <c r="A16" s="509" t="s">
        <v>260</v>
      </c>
      <c r="B16" s="122" t="s">
        <v>25</v>
      </c>
      <c r="C16" s="120">
        <f>SUM(D16:H16)</f>
        <v>0</v>
      </c>
      <c r="D16" s="120">
        <f t="shared" ref="D16:I16" si="0">SUM(D17:D18)</f>
        <v>0</v>
      </c>
      <c r="E16" s="120">
        <f t="shared" si="0"/>
        <v>0</v>
      </c>
      <c r="F16" s="120">
        <f t="shared" si="0"/>
        <v>0</v>
      </c>
      <c r="G16" s="120">
        <f t="shared" si="0"/>
        <v>0</v>
      </c>
      <c r="H16" s="120">
        <f t="shared" si="0"/>
        <v>0</v>
      </c>
      <c r="I16" s="120">
        <f t="shared" si="0"/>
        <v>0</v>
      </c>
    </row>
    <row r="17" spans="1:9" s="127" customFormat="1" ht="12.75" customHeight="1" x14ac:dyDescent="0.15">
      <c r="A17" s="509"/>
      <c r="B17" s="122" t="s">
        <v>26</v>
      </c>
      <c r="C17" s="120">
        <f>SUM(D17:H17)</f>
        <v>0</v>
      </c>
      <c r="D17" s="123">
        <v>0</v>
      </c>
      <c r="E17" s="123">
        <v>0</v>
      </c>
      <c r="F17" s="123">
        <v>0</v>
      </c>
      <c r="G17" s="123">
        <v>0</v>
      </c>
      <c r="H17" s="124">
        <v>0</v>
      </c>
      <c r="I17" s="125"/>
    </row>
    <row r="18" spans="1:9" s="127" customFormat="1" ht="12.75" customHeight="1" x14ac:dyDescent="0.15">
      <c r="A18" s="509"/>
      <c r="B18" s="122" t="s">
        <v>27</v>
      </c>
      <c r="C18" s="120">
        <f>SUM(D18:H18)</f>
        <v>0</v>
      </c>
      <c r="D18" s="123">
        <v>0</v>
      </c>
      <c r="E18" s="123">
        <v>0</v>
      </c>
      <c r="F18" s="123">
        <v>0</v>
      </c>
      <c r="G18" s="123">
        <v>0</v>
      </c>
      <c r="H18" s="124">
        <v>0</v>
      </c>
      <c r="I18" s="126">
        <v>0</v>
      </c>
    </row>
    <row r="19" spans="1:9" s="127" customFormat="1" ht="12.75" customHeight="1" x14ac:dyDescent="0.15">
      <c r="A19" s="258"/>
      <c r="B19" s="173"/>
      <c r="C19" s="172"/>
      <c r="D19" s="131"/>
      <c r="E19" s="131"/>
      <c r="F19" s="131"/>
      <c r="G19" s="259"/>
      <c r="H19" s="131"/>
      <c r="I19" s="131"/>
    </row>
    <row r="20" spans="1:9" s="127" customFormat="1" ht="12.75" customHeight="1" x14ac:dyDescent="0.15">
      <c r="A20" s="260" t="s">
        <v>4</v>
      </c>
      <c r="B20" s="221"/>
      <c r="C20" s="221"/>
    </row>
    <row r="21" spans="1:9" s="127" customFormat="1" ht="12.75" customHeight="1" x14ac:dyDescent="0.15">
      <c r="A21" s="261" t="s">
        <v>261</v>
      </c>
      <c r="B21" s="117" t="s">
        <v>23</v>
      </c>
      <c r="C21" s="117" t="s">
        <v>5</v>
      </c>
      <c r="D21" s="117" t="s">
        <v>108</v>
      </c>
      <c r="E21" s="117" t="s">
        <v>109</v>
      </c>
      <c r="F21" s="117" t="s">
        <v>110</v>
      </c>
      <c r="G21" s="117" t="s">
        <v>111</v>
      </c>
      <c r="H21" s="118" t="s">
        <v>112</v>
      </c>
      <c r="I21" s="119" t="s">
        <v>11</v>
      </c>
    </row>
    <row r="22" spans="1:9" s="127" customFormat="1" ht="12.75" customHeight="1" x14ac:dyDescent="0.15">
      <c r="A22" s="262" t="s">
        <v>13</v>
      </c>
      <c r="B22" s="122" t="s">
        <v>25</v>
      </c>
      <c r="C22" s="120">
        <f t="shared" ref="C22:C54" si="1">SUM(D22:H22)</f>
        <v>0</v>
      </c>
      <c r="D22" s="120">
        <f t="shared" ref="D22:I22" si="2">SUM(D25+D28+D31+D34+D37+D40+D43+D46+D49+D52)</f>
        <v>0</v>
      </c>
      <c r="E22" s="120">
        <f t="shared" si="2"/>
        <v>0</v>
      </c>
      <c r="F22" s="120">
        <f t="shared" si="2"/>
        <v>0</v>
      </c>
      <c r="G22" s="120">
        <f t="shared" si="2"/>
        <v>0</v>
      </c>
      <c r="H22" s="120">
        <f t="shared" si="2"/>
        <v>0</v>
      </c>
      <c r="I22" s="120">
        <f t="shared" si="2"/>
        <v>0</v>
      </c>
    </row>
    <row r="23" spans="1:9" s="127" customFormat="1" ht="12.75" customHeight="1" x14ac:dyDescent="0.15">
      <c r="A23" s="263"/>
      <c r="B23" s="122" t="s">
        <v>26</v>
      </c>
      <c r="C23" s="120">
        <f t="shared" si="1"/>
        <v>0</v>
      </c>
      <c r="D23" s="120">
        <f t="shared" ref="D23:H24" si="3">D26+D29+D32+D35+D38+D41+D44+D47+D50+D53</f>
        <v>0</v>
      </c>
      <c r="E23" s="120">
        <f t="shared" si="3"/>
        <v>0</v>
      </c>
      <c r="F23" s="120">
        <f t="shared" si="3"/>
        <v>0</v>
      </c>
      <c r="G23" s="120">
        <f t="shared" si="3"/>
        <v>0</v>
      </c>
      <c r="H23" s="120">
        <f t="shared" si="3"/>
        <v>0</v>
      </c>
      <c r="I23" s="125"/>
    </row>
    <row r="24" spans="1:9" s="127" customFormat="1" ht="12.75" customHeight="1" x14ac:dyDescent="0.15">
      <c r="A24" s="263"/>
      <c r="B24" s="122" t="s">
        <v>27</v>
      </c>
      <c r="C24" s="120">
        <f t="shared" si="1"/>
        <v>0</v>
      </c>
      <c r="D24" s="120">
        <f t="shared" si="3"/>
        <v>0</v>
      </c>
      <c r="E24" s="120">
        <f t="shared" si="3"/>
        <v>0</v>
      </c>
      <c r="F24" s="120">
        <f t="shared" si="3"/>
        <v>0</v>
      </c>
      <c r="G24" s="120">
        <f t="shared" si="3"/>
        <v>0</v>
      </c>
      <c r="H24" s="120">
        <f t="shared" si="3"/>
        <v>0</v>
      </c>
      <c r="I24" s="120">
        <f>I27+I30+I33+I36+I39+I42+I45+I48+I51+I54</f>
        <v>0</v>
      </c>
    </row>
    <row r="25" spans="1:9" s="127" customFormat="1" ht="12.75" customHeight="1" x14ac:dyDescent="0.15">
      <c r="A25" s="264" t="s">
        <v>83</v>
      </c>
      <c r="B25" s="122" t="s">
        <v>25</v>
      </c>
      <c r="C25" s="120">
        <f t="shared" si="1"/>
        <v>0</v>
      </c>
      <c r="D25" s="120">
        <f>ZOONOSIS!D339</f>
        <v>0</v>
      </c>
      <c r="E25" s="120">
        <f>ZOONOSIS!E339</f>
        <v>0</v>
      </c>
      <c r="F25" s="120">
        <f>ZOONOSIS!F339</f>
        <v>0</v>
      </c>
      <c r="G25" s="120">
        <f>ZOONOSIS!G339</f>
        <v>0</v>
      </c>
      <c r="H25" s="120">
        <f>ZOONOSIS!H339</f>
        <v>0</v>
      </c>
      <c r="I25" s="120">
        <f>ZOONOSIS!I339</f>
        <v>0</v>
      </c>
    </row>
    <row r="26" spans="1:9" s="127" customFormat="1" ht="12.75" customHeight="1" x14ac:dyDescent="0.15">
      <c r="A26" s="265"/>
      <c r="B26" s="122" t="s">
        <v>26</v>
      </c>
      <c r="C26" s="120">
        <f t="shared" si="1"/>
        <v>0</v>
      </c>
      <c r="D26" s="123">
        <v>0</v>
      </c>
      <c r="E26" s="123">
        <v>0</v>
      </c>
      <c r="F26" s="123">
        <v>0</v>
      </c>
      <c r="G26" s="123">
        <v>0</v>
      </c>
      <c r="H26" s="124">
        <v>0</v>
      </c>
      <c r="I26" s="125"/>
    </row>
    <row r="27" spans="1:9" s="127" customFormat="1" ht="12.75" customHeight="1" x14ac:dyDescent="0.15">
      <c r="A27" s="266"/>
      <c r="B27" s="122" t="s">
        <v>27</v>
      </c>
      <c r="C27" s="120">
        <f t="shared" si="1"/>
        <v>0</v>
      </c>
      <c r="D27" s="123">
        <v>0</v>
      </c>
      <c r="E27" s="123">
        <v>0</v>
      </c>
      <c r="F27" s="123">
        <v>0</v>
      </c>
      <c r="G27" s="123">
        <v>0</v>
      </c>
      <c r="H27" s="124">
        <v>0</v>
      </c>
      <c r="I27" s="126">
        <v>0</v>
      </c>
    </row>
    <row r="28" spans="1:9" s="127" customFormat="1" ht="12.75" customHeight="1" x14ac:dyDescent="0.15">
      <c r="A28" s="264" t="s">
        <v>84</v>
      </c>
      <c r="B28" s="122" t="s">
        <v>25</v>
      </c>
      <c r="C28" s="120">
        <f t="shared" si="1"/>
        <v>0</v>
      </c>
      <c r="D28" s="120">
        <f>ZOONOSIS!D340</f>
        <v>0</v>
      </c>
      <c r="E28" s="120">
        <f>ZOONOSIS!E340</f>
        <v>0</v>
      </c>
      <c r="F28" s="120">
        <f>ZOONOSIS!F340</f>
        <v>0</v>
      </c>
      <c r="G28" s="120">
        <f>ZOONOSIS!G340</f>
        <v>0</v>
      </c>
      <c r="H28" s="120">
        <f>ZOONOSIS!H340</f>
        <v>0</v>
      </c>
      <c r="I28" s="120">
        <f>ZOONOSIS!I340</f>
        <v>0</v>
      </c>
    </row>
    <row r="29" spans="1:9" s="127" customFormat="1" ht="12.75" customHeight="1" x14ac:dyDescent="0.15">
      <c r="A29" s="265"/>
      <c r="B29" s="122" t="s">
        <v>26</v>
      </c>
      <c r="C29" s="120">
        <f t="shared" si="1"/>
        <v>0</v>
      </c>
      <c r="D29" s="123">
        <v>0</v>
      </c>
      <c r="E29" s="123">
        <v>0</v>
      </c>
      <c r="F29" s="123">
        <v>0</v>
      </c>
      <c r="G29" s="123">
        <v>0</v>
      </c>
      <c r="H29" s="124">
        <v>0</v>
      </c>
      <c r="I29" s="125"/>
    </row>
    <row r="30" spans="1:9" s="127" customFormat="1" ht="12.75" customHeight="1" x14ac:dyDescent="0.15">
      <c r="A30" s="266"/>
      <c r="B30" s="122" t="s">
        <v>27</v>
      </c>
      <c r="C30" s="120">
        <f t="shared" si="1"/>
        <v>0</v>
      </c>
      <c r="D30" s="123">
        <v>0</v>
      </c>
      <c r="E30" s="123">
        <v>0</v>
      </c>
      <c r="F30" s="123">
        <v>0</v>
      </c>
      <c r="G30" s="123">
        <v>0</v>
      </c>
      <c r="H30" s="124">
        <v>0</v>
      </c>
      <c r="I30" s="126">
        <v>0</v>
      </c>
    </row>
    <row r="31" spans="1:9" s="127" customFormat="1" ht="12.75" customHeight="1" x14ac:dyDescent="0.15">
      <c r="A31" s="264" t="s">
        <v>85</v>
      </c>
      <c r="B31" s="122" t="s">
        <v>25</v>
      </c>
      <c r="C31" s="120">
        <f t="shared" si="1"/>
        <v>0</v>
      </c>
      <c r="D31" s="120">
        <f>ZOONOSIS!D341</f>
        <v>0</v>
      </c>
      <c r="E31" s="120">
        <f>ZOONOSIS!E341</f>
        <v>0</v>
      </c>
      <c r="F31" s="120">
        <f>ZOONOSIS!F341</f>
        <v>0</v>
      </c>
      <c r="G31" s="120">
        <f>ZOONOSIS!G341</f>
        <v>0</v>
      </c>
      <c r="H31" s="120">
        <f>ZOONOSIS!H341</f>
        <v>0</v>
      </c>
      <c r="I31" s="120">
        <f>ZOONOSIS!I341</f>
        <v>0</v>
      </c>
    </row>
    <row r="32" spans="1:9" s="127" customFormat="1" ht="12.75" customHeight="1" x14ac:dyDescent="0.15">
      <c r="A32" s="265"/>
      <c r="B32" s="122" t="s">
        <v>26</v>
      </c>
      <c r="C32" s="120">
        <f t="shared" si="1"/>
        <v>0</v>
      </c>
      <c r="D32" s="123">
        <v>0</v>
      </c>
      <c r="E32" s="123">
        <v>0</v>
      </c>
      <c r="F32" s="123">
        <v>0</v>
      </c>
      <c r="G32" s="123">
        <v>0</v>
      </c>
      <c r="H32" s="124">
        <v>0</v>
      </c>
      <c r="I32" s="125"/>
    </row>
    <row r="33" spans="1:9" s="127" customFormat="1" ht="12.75" customHeight="1" x14ac:dyDescent="0.15">
      <c r="A33" s="266"/>
      <c r="B33" s="122" t="s">
        <v>27</v>
      </c>
      <c r="C33" s="120">
        <f t="shared" si="1"/>
        <v>0</v>
      </c>
      <c r="D33" s="123">
        <v>0</v>
      </c>
      <c r="E33" s="123">
        <v>0</v>
      </c>
      <c r="F33" s="123">
        <v>0</v>
      </c>
      <c r="G33" s="123">
        <v>0</v>
      </c>
      <c r="H33" s="124">
        <v>0</v>
      </c>
      <c r="I33" s="126">
        <v>0</v>
      </c>
    </row>
    <row r="34" spans="1:9" s="127" customFormat="1" ht="12.75" customHeight="1" x14ac:dyDescent="0.15">
      <c r="A34" s="267" t="s">
        <v>86</v>
      </c>
      <c r="B34" s="122" t="s">
        <v>25</v>
      </c>
      <c r="C34" s="120">
        <f t="shared" si="1"/>
        <v>0</v>
      </c>
      <c r="D34" s="120">
        <f>ZOONOSIS!D342</f>
        <v>0</v>
      </c>
      <c r="E34" s="120">
        <f>ZOONOSIS!E342</f>
        <v>0</v>
      </c>
      <c r="F34" s="120">
        <f>ZOONOSIS!F342</f>
        <v>0</v>
      </c>
      <c r="G34" s="120">
        <f>ZOONOSIS!G342</f>
        <v>0</v>
      </c>
      <c r="H34" s="120">
        <f>ZOONOSIS!H342</f>
        <v>0</v>
      </c>
      <c r="I34" s="120">
        <f>ZOONOSIS!I342</f>
        <v>0</v>
      </c>
    </row>
    <row r="35" spans="1:9" s="127" customFormat="1" ht="12.75" customHeight="1" x14ac:dyDescent="0.15">
      <c r="A35" s="202"/>
      <c r="B35" s="122" t="s">
        <v>26</v>
      </c>
      <c r="C35" s="120">
        <f t="shared" si="1"/>
        <v>0</v>
      </c>
      <c r="D35" s="123">
        <v>0</v>
      </c>
      <c r="E35" s="123">
        <v>0</v>
      </c>
      <c r="F35" s="123">
        <v>0</v>
      </c>
      <c r="G35" s="123">
        <v>0</v>
      </c>
      <c r="H35" s="124">
        <v>0</v>
      </c>
      <c r="I35" s="125"/>
    </row>
    <row r="36" spans="1:9" s="127" customFormat="1" ht="12.75" customHeight="1" x14ac:dyDescent="0.15">
      <c r="A36" s="268"/>
      <c r="B36" s="122" t="s">
        <v>27</v>
      </c>
      <c r="C36" s="120">
        <f t="shared" si="1"/>
        <v>0</v>
      </c>
      <c r="D36" s="123">
        <v>0</v>
      </c>
      <c r="E36" s="123">
        <v>0</v>
      </c>
      <c r="F36" s="123">
        <v>0</v>
      </c>
      <c r="G36" s="123">
        <v>0</v>
      </c>
      <c r="H36" s="124">
        <v>0</v>
      </c>
      <c r="I36" s="126">
        <v>0</v>
      </c>
    </row>
    <row r="37" spans="1:9" s="127" customFormat="1" ht="12.75" customHeight="1" x14ac:dyDescent="0.15">
      <c r="A37" s="267" t="s">
        <v>87</v>
      </c>
      <c r="B37" s="122" t="s">
        <v>25</v>
      </c>
      <c r="C37" s="120">
        <f t="shared" si="1"/>
        <v>0</v>
      </c>
      <c r="D37" s="120">
        <f>ZOONOSIS!D343</f>
        <v>0</v>
      </c>
      <c r="E37" s="120">
        <f>ZOONOSIS!E343</f>
        <v>0</v>
      </c>
      <c r="F37" s="120">
        <f>ZOONOSIS!F343</f>
        <v>0</v>
      </c>
      <c r="G37" s="120">
        <f>ZOONOSIS!G343</f>
        <v>0</v>
      </c>
      <c r="H37" s="120">
        <f>ZOONOSIS!H343</f>
        <v>0</v>
      </c>
      <c r="I37" s="120">
        <f>ZOONOSIS!I343</f>
        <v>0</v>
      </c>
    </row>
    <row r="38" spans="1:9" s="127" customFormat="1" ht="12.75" customHeight="1" x14ac:dyDescent="0.15">
      <c r="A38" s="202"/>
      <c r="B38" s="122" t="s">
        <v>26</v>
      </c>
      <c r="C38" s="120">
        <f t="shared" si="1"/>
        <v>0</v>
      </c>
      <c r="D38" s="123">
        <v>0</v>
      </c>
      <c r="E38" s="123">
        <v>0</v>
      </c>
      <c r="F38" s="123">
        <v>0</v>
      </c>
      <c r="G38" s="123">
        <v>0</v>
      </c>
      <c r="H38" s="124">
        <v>0</v>
      </c>
      <c r="I38" s="125"/>
    </row>
    <row r="39" spans="1:9" s="127" customFormat="1" ht="12.75" customHeight="1" x14ac:dyDescent="0.15">
      <c r="A39" s="268"/>
      <c r="B39" s="122" t="s">
        <v>27</v>
      </c>
      <c r="C39" s="120">
        <f t="shared" si="1"/>
        <v>0</v>
      </c>
      <c r="D39" s="123">
        <v>0</v>
      </c>
      <c r="E39" s="123">
        <v>0</v>
      </c>
      <c r="F39" s="123">
        <v>0</v>
      </c>
      <c r="G39" s="123">
        <v>0</v>
      </c>
      <c r="H39" s="124">
        <v>0</v>
      </c>
      <c r="I39" s="126">
        <v>0</v>
      </c>
    </row>
    <row r="40" spans="1:9" s="127" customFormat="1" ht="12.75" customHeight="1" x14ac:dyDescent="0.15">
      <c r="A40" s="264" t="s">
        <v>88</v>
      </c>
      <c r="B40" s="122" t="s">
        <v>25</v>
      </c>
      <c r="C40" s="120">
        <f t="shared" si="1"/>
        <v>0</v>
      </c>
      <c r="D40" s="120">
        <f>ZOONOSIS!D344</f>
        <v>0</v>
      </c>
      <c r="E40" s="120">
        <f>ZOONOSIS!E344</f>
        <v>0</v>
      </c>
      <c r="F40" s="120">
        <f>ZOONOSIS!F344</f>
        <v>0</v>
      </c>
      <c r="G40" s="120">
        <f>ZOONOSIS!G344</f>
        <v>0</v>
      </c>
      <c r="H40" s="120">
        <f>ZOONOSIS!H344</f>
        <v>0</v>
      </c>
      <c r="I40" s="120">
        <f>ZOONOSIS!I344</f>
        <v>0</v>
      </c>
    </row>
    <row r="41" spans="1:9" ht="12.75" customHeight="1" x14ac:dyDescent="0.2">
      <c r="A41" s="265"/>
      <c r="B41" s="122" t="s">
        <v>26</v>
      </c>
      <c r="C41" s="120">
        <f t="shared" si="1"/>
        <v>0</v>
      </c>
      <c r="D41" s="123">
        <v>0</v>
      </c>
      <c r="E41" s="123">
        <v>0</v>
      </c>
      <c r="F41" s="123">
        <v>0</v>
      </c>
      <c r="G41" s="123">
        <v>0</v>
      </c>
      <c r="H41" s="124">
        <v>0</v>
      </c>
      <c r="I41" s="125"/>
    </row>
    <row r="42" spans="1:9" ht="12.75" customHeight="1" x14ac:dyDescent="0.2">
      <c r="A42" s="266"/>
      <c r="B42" s="122" t="s">
        <v>27</v>
      </c>
      <c r="C42" s="120">
        <f t="shared" si="1"/>
        <v>0</v>
      </c>
      <c r="D42" s="123">
        <v>0</v>
      </c>
      <c r="E42" s="123">
        <v>0</v>
      </c>
      <c r="F42" s="123">
        <v>0</v>
      </c>
      <c r="G42" s="123">
        <v>0</v>
      </c>
      <c r="H42" s="124">
        <v>0</v>
      </c>
      <c r="I42" s="126">
        <v>0</v>
      </c>
    </row>
    <row r="43" spans="1:9" ht="12.75" customHeight="1" x14ac:dyDescent="0.2">
      <c r="A43" s="267" t="s">
        <v>89</v>
      </c>
      <c r="B43" s="122" t="s">
        <v>25</v>
      </c>
      <c r="C43" s="120">
        <f t="shared" si="1"/>
        <v>0</v>
      </c>
      <c r="D43" s="120">
        <f>ZOONOSIS!D345</f>
        <v>0</v>
      </c>
      <c r="E43" s="120">
        <f>ZOONOSIS!E345</f>
        <v>0</v>
      </c>
      <c r="F43" s="120">
        <f>ZOONOSIS!F345</f>
        <v>0</v>
      </c>
      <c r="G43" s="120">
        <f>ZOONOSIS!G345</f>
        <v>0</v>
      </c>
      <c r="H43" s="120">
        <f>ZOONOSIS!H345</f>
        <v>0</v>
      </c>
      <c r="I43" s="120">
        <f>ZOONOSIS!I345</f>
        <v>0</v>
      </c>
    </row>
    <row r="44" spans="1:9" ht="12.75" customHeight="1" x14ac:dyDescent="0.2">
      <c r="A44" s="202"/>
      <c r="B44" s="122" t="s">
        <v>26</v>
      </c>
      <c r="C44" s="120">
        <f t="shared" si="1"/>
        <v>0</v>
      </c>
      <c r="D44" s="123">
        <v>0</v>
      </c>
      <c r="E44" s="123">
        <v>0</v>
      </c>
      <c r="F44" s="123">
        <v>0</v>
      </c>
      <c r="G44" s="123">
        <v>0</v>
      </c>
      <c r="H44" s="124">
        <v>0</v>
      </c>
      <c r="I44" s="125"/>
    </row>
    <row r="45" spans="1:9" ht="12.75" customHeight="1" x14ac:dyDescent="0.2">
      <c r="A45" s="268"/>
      <c r="B45" s="122" t="s">
        <v>27</v>
      </c>
      <c r="C45" s="120">
        <f t="shared" si="1"/>
        <v>0</v>
      </c>
      <c r="D45" s="123">
        <v>0</v>
      </c>
      <c r="E45" s="123">
        <v>0</v>
      </c>
      <c r="F45" s="123">
        <v>0</v>
      </c>
      <c r="G45" s="123">
        <v>0</v>
      </c>
      <c r="H45" s="124">
        <v>0</v>
      </c>
      <c r="I45" s="126">
        <v>0</v>
      </c>
    </row>
    <row r="46" spans="1:9" ht="12.75" customHeight="1" x14ac:dyDescent="0.2">
      <c r="A46" s="267" t="s">
        <v>90</v>
      </c>
      <c r="B46" s="122" t="s">
        <v>25</v>
      </c>
      <c r="C46" s="120">
        <f t="shared" si="1"/>
        <v>0</v>
      </c>
      <c r="D46" s="120">
        <f>ZOONOSIS!D346</f>
        <v>0</v>
      </c>
      <c r="E46" s="120">
        <f>ZOONOSIS!E346</f>
        <v>0</v>
      </c>
      <c r="F46" s="120">
        <f>ZOONOSIS!F346</f>
        <v>0</v>
      </c>
      <c r="G46" s="120">
        <f>ZOONOSIS!G346</f>
        <v>0</v>
      </c>
      <c r="H46" s="120">
        <f>ZOONOSIS!H346</f>
        <v>0</v>
      </c>
      <c r="I46" s="120">
        <f>ZOONOSIS!I346</f>
        <v>0</v>
      </c>
    </row>
    <row r="47" spans="1:9" ht="12.75" customHeight="1" x14ac:dyDescent="0.2">
      <c r="A47" s="202"/>
      <c r="B47" s="122" t="s">
        <v>26</v>
      </c>
      <c r="C47" s="120">
        <f t="shared" si="1"/>
        <v>0</v>
      </c>
      <c r="D47" s="123">
        <v>0</v>
      </c>
      <c r="E47" s="123">
        <v>0</v>
      </c>
      <c r="F47" s="123">
        <v>0</v>
      </c>
      <c r="G47" s="123">
        <v>0</v>
      </c>
      <c r="H47" s="124">
        <v>0</v>
      </c>
      <c r="I47" s="125"/>
    </row>
    <row r="48" spans="1:9" ht="12.75" customHeight="1" x14ac:dyDescent="0.2">
      <c r="A48" s="268"/>
      <c r="B48" s="122" t="s">
        <v>27</v>
      </c>
      <c r="C48" s="120">
        <f t="shared" si="1"/>
        <v>0</v>
      </c>
      <c r="D48" s="123">
        <v>0</v>
      </c>
      <c r="E48" s="123">
        <v>0</v>
      </c>
      <c r="F48" s="123">
        <v>0</v>
      </c>
      <c r="G48" s="123">
        <v>0</v>
      </c>
      <c r="H48" s="124">
        <v>0</v>
      </c>
      <c r="I48" s="126">
        <v>0</v>
      </c>
    </row>
    <row r="49" spans="1:9" ht="12.75" customHeight="1" x14ac:dyDescent="0.2">
      <c r="A49" s="264" t="s">
        <v>91</v>
      </c>
      <c r="B49" s="122" t="s">
        <v>25</v>
      </c>
      <c r="C49" s="120">
        <f t="shared" si="1"/>
        <v>0</v>
      </c>
      <c r="D49" s="120">
        <f>ZOONOSIS!D347</f>
        <v>0</v>
      </c>
      <c r="E49" s="120">
        <f>ZOONOSIS!E347</f>
        <v>0</v>
      </c>
      <c r="F49" s="120">
        <f>ZOONOSIS!F347</f>
        <v>0</v>
      </c>
      <c r="G49" s="120">
        <f>ZOONOSIS!G347</f>
        <v>0</v>
      </c>
      <c r="H49" s="120">
        <f>ZOONOSIS!H347</f>
        <v>0</v>
      </c>
      <c r="I49" s="120">
        <f>ZOONOSIS!I347</f>
        <v>0</v>
      </c>
    </row>
    <row r="50" spans="1:9" ht="12.75" customHeight="1" x14ac:dyDescent="0.2">
      <c r="A50" s="265"/>
      <c r="B50" s="122" t="s">
        <v>26</v>
      </c>
      <c r="C50" s="120">
        <f t="shared" si="1"/>
        <v>0</v>
      </c>
      <c r="D50" s="123">
        <v>0</v>
      </c>
      <c r="E50" s="123">
        <v>0</v>
      </c>
      <c r="F50" s="123">
        <v>0</v>
      </c>
      <c r="G50" s="123">
        <v>0</v>
      </c>
      <c r="H50" s="124">
        <v>0</v>
      </c>
      <c r="I50" s="125"/>
    </row>
    <row r="51" spans="1:9" ht="12.75" customHeight="1" x14ac:dyDescent="0.2">
      <c r="A51" s="266"/>
      <c r="B51" s="122" t="s">
        <v>27</v>
      </c>
      <c r="C51" s="120">
        <f t="shared" si="1"/>
        <v>0</v>
      </c>
      <c r="D51" s="123">
        <v>0</v>
      </c>
      <c r="E51" s="123">
        <v>0</v>
      </c>
      <c r="F51" s="123">
        <v>0</v>
      </c>
      <c r="G51" s="123">
        <v>0</v>
      </c>
      <c r="H51" s="124">
        <v>0</v>
      </c>
      <c r="I51" s="126">
        <v>0</v>
      </c>
    </row>
    <row r="52" spans="1:9" ht="12.75" customHeight="1" x14ac:dyDescent="0.2">
      <c r="A52" s="264" t="s">
        <v>92</v>
      </c>
      <c r="B52" s="122" t="s">
        <v>25</v>
      </c>
      <c r="C52" s="120">
        <f t="shared" si="1"/>
        <v>0</v>
      </c>
      <c r="D52" s="120">
        <f>ZOONOSIS!D348</f>
        <v>0</v>
      </c>
      <c r="E52" s="120">
        <f>ZOONOSIS!E348</f>
        <v>0</v>
      </c>
      <c r="F52" s="120">
        <f>ZOONOSIS!F348</f>
        <v>0</v>
      </c>
      <c r="G52" s="120">
        <f>ZOONOSIS!G348</f>
        <v>0</v>
      </c>
      <c r="H52" s="120">
        <f>ZOONOSIS!H348</f>
        <v>0</v>
      </c>
      <c r="I52" s="120">
        <f>ZOONOSIS!I348</f>
        <v>0</v>
      </c>
    </row>
    <row r="53" spans="1:9" ht="12.75" customHeight="1" x14ac:dyDescent="0.2">
      <c r="A53" s="265"/>
      <c r="B53" s="122" t="s">
        <v>26</v>
      </c>
      <c r="C53" s="120">
        <f t="shared" si="1"/>
        <v>0</v>
      </c>
      <c r="D53" s="123">
        <v>0</v>
      </c>
      <c r="E53" s="123">
        <v>0</v>
      </c>
      <c r="F53" s="123">
        <v>0</v>
      </c>
      <c r="G53" s="123">
        <v>0</v>
      </c>
      <c r="H53" s="124">
        <v>0</v>
      </c>
      <c r="I53" s="125"/>
    </row>
    <row r="54" spans="1:9" ht="12.75" customHeight="1" x14ac:dyDescent="0.2">
      <c r="A54" s="269"/>
      <c r="B54" s="122" t="s">
        <v>27</v>
      </c>
      <c r="C54" s="120">
        <f t="shared" si="1"/>
        <v>0</v>
      </c>
      <c r="D54" s="123">
        <v>0</v>
      </c>
      <c r="E54" s="123">
        <v>0</v>
      </c>
      <c r="F54" s="123">
        <v>0</v>
      </c>
      <c r="G54" s="123">
        <v>0</v>
      </c>
      <c r="H54" s="124">
        <v>0</v>
      </c>
      <c r="I54" s="126">
        <v>0</v>
      </c>
    </row>
    <row r="55" spans="1:9" ht="12.75" customHeight="1" x14ac:dyDescent="0.2">
      <c r="A55" s="270"/>
      <c r="B55" s="173"/>
      <c r="C55" s="172"/>
      <c r="D55" s="131"/>
      <c r="E55" s="131"/>
      <c r="F55" s="131"/>
      <c r="G55" s="131"/>
      <c r="H55" s="131"/>
      <c r="I55" s="131"/>
    </row>
    <row r="56" spans="1:9" ht="12.75" customHeight="1" x14ac:dyDescent="0.2">
      <c r="A56" s="137" t="s">
        <v>117</v>
      </c>
      <c r="B56" s="117" t="s">
        <v>23</v>
      </c>
      <c r="C56" s="117" t="s">
        <v>5</v>
      </c>
      <c r="D56" s="117" t="s">
        <v>108</v>
      </c>
      <c r="E56" s="117" t="s">
        <v>109</v>
      </c>
      <c r="F56" s="117" t="s">
        <v>110</v>
      </c>
      <c r="G56" s="117" t="s">
        <v>111</v>
      </c>
      <c r="H56" s="118" t="s">
        <v>112</v>
      </c>
      <c r="I56" s="119" t="s">
        <v>11</v>
      </c>
    </row>
    <row r="57" spans="1:9" ht="12.75" customHeight="1" x14ac:dyDescent="0.2">
      <c r="A57" s="130" t="s">
        <v>13</v>
      </c>
      <c r="B57" s="122" t="s">
        <v>25</v>
      </c>
      <c r="C57" s="120">
        <f t="shared" ref="C57:C68" si="4">SUM(D57:H57)</f>
        <v>0</v>
      </c>
      <c r="D57" s="120">
        <f t="shared" ref="D57:I57" si="5">SUM(D58:D59)</f>
        <v>0</v>
      </c>
      <c r="E57" s="120">
        <f t="shared" si="5"/>
        <v>0</v>
      </c>
      <c r="F57" s="120">
        <f t="shared" si="5"/>
        <v>0</v>
      </c>
      <c r="G57" s="120">
        <f t="shared" si="5"/>
        <v>0</v>
      </c>
      <c r="H57" s="120">
        <f t="shared" si="5"/>
        <v>0</v>
      </c>
      <c r="I57" s="120">
        <f t="shared" si="5"/>
        <v>0</v>
      </c>
    </row>
    <row r="58" spans="1:9" ht="12.75" customHeight="1" x14ac:dyDescent="0.2">
      <c r="A58" s="130"/>
      <c r="B58" s="122" t="s">
        <v>26</v>
      </c>
      <c r="C58" s="120">
        <f t="shared" si="4"/>
        <v>0</v>
      </c>
      <c r="D58" s="120">
        <f t="shared" ref="D58:H59" si="6">D61+D64+D67</f>
        <v>0</v>
      </c>
      <c r="E58" s="120">
        <f t="shared" si="6"/>
        <v>0</v>
      </c>
      <c r="F58" s="120">
        <f t="shared" si="6"/>
        <v>0</v>
      </c>
      <c r="G58" s="120">
        <f t="shared" si="6"/>
        <v>0</v>
      </c>
      <c r="H58" s="120">
        <f t="shared" si="6"/>
        <v>0</v>
      </c>
      <c r="I58" s="125"/>
    </row>
    <row r="59" spans="1:9" ht="12.75" customHeight="1" x14ac:dyDescent="0.2">
      <c r="A59" s="166"/>
      <c r="B59" s="122" t="s">
        <v>27</v>
      </c>
      <c r="C59" s="120">
        <f t="shared" si="4"/>
        <v>0</v>
      </c>
      <c r="D59" s="120">
        <f t="shared" si="6"/>
        <v>0</v>
      </c>
      <c r="E59" s="120">
        <f t="shared" si="6"/>
        <v>0</v>
      </c>
      <c r="F59" s="120">
        <f t="shared" si="6"/>
        <v>0</v>
      </c>
      <c r="G59" s="120">
        <f t="shared" si="6"/>
        <v>0</v>
      </c>
      <c r="H59" s="120">
        <f t="shared" si="6"/>
        <v>0</v>
      </c>
      <c r="I59" s="120">
        <f>I62+I65+I68</f>
        <v>0</v>
      </c>
    </row>
    <row r="60" spans="1:9" ht="12.75" customHeight="1" x14ac:dyDescent="0.2">
      <c r="A60" s="165" t="s">
        <v>262</v>
      </c>
      <c r="B60" s="122" t="s">
        <v>25</v>
      </c>
      <c r="C60" s="120">
        <f t="shared" si="4"/>
        <v>0</v>
      </c>
      <c r="D60" s="120">
        <f t="shared" ref="D60:I60" si="7">SUM(D61:D62)</f>
        <v>0</v>
      </c>
      <c r="E60" s="120">
        <f t="shared" si="7"/>
        <v>0</v>
      </c>
      <c r="F60" s="120">
        <f t="shared" si="7"/>
        <v>0</v>
      </c>
      <c r="G60" s="120">
        <f t="shared" si="7"/>
        <v>0</v>
      </c>
      <c r="H60" s="120">
        <f t="shared" si="7"/>
        <v>0</v>
      </c>
      <c r="I60" s="120">
        <f t="shared" si="7"/>
        <v>0</v>
      </c>
    </row>
    <row r="61" spans="1:9" ht="12.75" customHeight="1" x14ac:dyDescent="0.2">
      <c r="A61" s="130"/>
      <c r="B61" s="122" t="s">
        <v>26</v>
      </c>
      <c r="C61" s="120">
        <f t="shared" si="4"/>
        <v>0</v>
      </c>
      <c r="D61" s="123">
        <v>0</v>
      </c>
      <c r="E61" s="123">
        <v>0</v>
      </c>
      <c r="F61" s="123">
        <v>0</v>
      </c>
      <c r="G61" s="123">
        <v>0</v>
      </c>
      <c r="H61" s="124">
        <v>0</v>
      </c>
      <c r="I61" s="125"/>
    </row>
    <row r="62" spans="1:9" ht="12.75" customHeight="1" x14ac:dyDescent="0.2">
      <c r="A62" s="166"/>
      <c r="B62" s="122" t="s">
        <v>27</v>
      </c>
      <c r="C62" s="120">
        <f t="shared" si="4"/>
        <v>0</v>
      </c>
      <c r="D62" s="123">
        <v>0</v>
      </c>
      <c r="E62" s="123">
        <v>0</v>
      </c>
      <c r="F62" s="123">
        <v>0</v>
      </c>
      <c r="G62" s="123">
        <v>0</v>
      </c>
      <c r="H62" s="124">
        <v>0</v>
      </c>
      <c r="I62" s="126">
        <v>0</v>
      </c>
    </row>
    <row r="63" spans="1:9" ht="12.75" customHeight="1" x14ac:dyDescent="0.2">
      <c r="A63" s="165" t="s">
        <v>263</v>
      </c>
      <c r="B63" s="122" t="s">
        <v>25</v>
      </c>
      <c r="C63" s="120">
        <f t="shared" si="4"/>
        <v>0</v>
      </c>
      <c r="D63" s="120">
        <f t="shared" ref="D63:I63" si="8">SUM(D64:D65)</f>
        <v>0</v>
      </c>
      <c r="E63" s="120">
        <f t="shared" si="8"/>
        <v>0</v>
      </c>
      <c r="F63" s="120">
        <f t="shared" si="8"/>
        <v>0</v>
      </c>
      <c r="G63" s="120">
        <f t="shared" si="8"/>
        <v>0</v>
      </c>
      <c r="H63" s="120">
        <f t="shared" si="8"/>
        <v>0</v>
      </c>
      <c r="I63" s="120">
        <f t="shared" si="8"/>
        <v>0</v>
      </c>
    </row>
    <row r="64" spans="1:9" ht="12.75" customHeight="1" x14ac:dyDescent="0.2">
      <c r="A64" s="130"/>
      <c r="B64" s="122" t="s">
        <v>26</v>
      </c>
      <c r="C64" s="120">
        <f t="shared" si="4"/>
        <v>0</v>
      </c>
      <c r="D64" s="123">
        <v>0</v>
      </c>
      <c r="E64" s="123">
        <v>0</v>
      </c>
      <c r="F64" s="123">
        <v>0</v>
      </c>
      <c r="G64" s="123">
        <v>0</v>
      </c>
      <c r="H64" s="124">
        <v>0</v>
      </c>
      <c r="I64" s="125"/>
    </row>
    <row r="65" spans="1:9" ht="12.75" customHeight="1" x14ac:dyDescent="0.2">
      <c r="A65" s="166"/>
      <c r="B65" s="122" t="s">
        <v>27</v>
      </c>
      <c r="C65" s="120">
        <f t="shared" si="4"/>
        <v>0</v>
      </c>
      <c r="D65" s="123">
        <v>0</v>
      </c>
      <c r="E65" s="123">
        <v>0</v>
      </c>
      <c r="F65" s="123">
        <v>0</v>
      </c>
      <c r="G65" s="123">
        <v>0</v>
      </c>
      <c r="H65" s="124">
        <v>0</v>
      </c>
      <c r="I65" s="126">
        <v>0</v>
      </c>
    </row>
    <row r="66" spans="1:9" ht="12.75" customHeight="1" x14ac:dyDescent="0.2">
      <c r="A66" s="165" t="s">
        <v>264</v>
      </c>
      <c r="B66" s="122" t="s">
        <v>25</v>
      </c>
      <c r="C66" s="120">
        <f t="shared" si="4"/>
        <v>0</v>
      </c>
      <c r="D66" s="120">
        <f t="shared" ref="D66:I66" si="9">SUM(D67:D68)</f>
        <v>0</v>
      </c>
      <c r="E66" s="120">
        <f t="shared" si="9"/>
        <v>0</v>
      </c>
      <c r="F66" s="120">
        <f t="shared" si="9"/>
        <v>0</v>
      </c>
      <c r="G66" s="120">
        <f t="shared" si="9"/>
        <v>0</v>
      </c>
      <c r="H66" s="120">
        <f t="shared" si="9"/>
        <v>0</v>
      </c>
      <c r="I66" s="120">
        <f t="shared" si="9"/>
        <v>0</v>
      </c>
    </row>
    <row r="67" spans="1:9" ht="12.75" customHeight="1" x14ac:dyDescent="0.2">
      <c r="A67" s="130"/>
      <c r="B67" s="122" t="s">
        <v>26</v>
      </c>
      <c r="C67" s="120">
        <f t="shared" si="4"/>
        <v>0</v>
      </c>
      <c r="D67" s="123">
        <v>0</v>
      </c>
      <c r="E67" s="123">
        <v>0</v>
      </c>
      <c r="F67" s="123">
        <v>0</v>
      </c>
      <c r="G67" s="123">
        <v>0</v>
      </c>
      <c r="H67" s="124">
        <v>0</v>
      </c>
      <c r="I67" s="125"/>
    </row>
    <row r="68" spans="1:9" ht="12.75" customHeight="1" x14ac:dyDescent="0.2">
      <c r="A68" s="166"/>
      <c r="B68" s="122" t="s">
        <v>27</v>
      </c>
      <c r="C68" s="120">
        <f t="shared" si="4"/>
        <v>0</v>
      </c>
      <c r="D68" s="123">
        <v>0</v>
      </c>
      <c r="E68" s="123">
        <v>0</v>
      </c>
      <c r="F68" s="123">
        <v>0</v>
      </c>
      <c r="G68" s="123">
        <v>0</v>
      </c>
      <c r="H68" s="124">
        <v>0</v>
      </c>
      <c r="I68" s="126">
        <v>0</v>
      </c>
    </row>
    <row r="70" spans="1:9" ht="12.75" customHeight="1" x14ac:dyDescent="0.2">
      <c r="A70" s="138" t="s">
        <v>167</v>
      </c>
      <c r="B70" s="119" t="s">
        <v>23</v>
      </c>
      <c r="C70" s="137" t="s">
        <v>5</v>
      </c>
      <c r="D70" s="137" t="s">
        <v>108</v>
      </c>
      <c r="E70" s="137" t="s">
        <v>109</v>
      </c>
      <c r="F70" s="137" t="s">
        <v>110</v>
      </c>
      <c r="G70" s="137" t="s">
        <v>111</v>
      </c>
      <c r="H70" s="182" t="s">
        <v>112</v>
      </c>
      <c r="I70" s="183" t="s">
        <v>11</v>
      </c>
    </row>
    <row r="71" spans="1:9" ht="12.75" customHeight="1" x14ac:dyDescent="0.2">
      <c r="A71" s="184" t="s">
        <v>217</v>
      </c>
      <c r="B71" s="185" t="s">
        <v>25</v>
      </c>
      <c r="C71" s="120">
        <f>SUM(D71:H71)</f>
        <v>0</v>
      </c>
      <c r="D71" s="120">
        <f t="shared" ref="D71:I71" si="10">SUM(D72:D73)</f>
        <v>0</v>
      </c>
      <c r="E71" s="120">
        <f t="shared" si="10"/>
        <v>0</v>
      </c>
      <c r="F71" s="120">
        <f t="shared" si="10"/>
        <v>0</v>
      </c>
      <c r="G71" s="120">
        <f t="shared" si="10"/>
        <v>0</v>
      </c>
      <c r="H71" s="120">
        <f t="shared" si="10"/>
        <v>0</v>
      </c>
      <c r="I71" s="120">
        <f t="shared" si="10"/>
        <v>0</v>
      </c>
    </row>
    <row r="72" spans="1:9" ht="12.75" customHeight="1" x14ac:dyDescent="0.2">
      <c r="A72" s="186"/>
      <c r="B72" s="185" t="s">
        <v>26</v>
      </c>
      <c r="C72" s="120">
        <f>SUM(D72:H72)</f>
        <v>0</v>
      </c>
      <c r="D72" s="123">
        <v>0</v>
      </c>
      <c r="E72" s="123">
        <v>0</v>
      </c>
      <c r="F72" s="123">
        <v>0</v>
      </c>
      <c r="G72" s="123">
        <v>0</v>
      </c>
      <c r="H72" s="124">
        <v>0</v>
      </c>
      <c r="I72" s="125"/>
    </row>
    <row r="73" spans="1:9" ht="12.75" customHeight="1" x14ac:dyDescent="0.2">
      <c r="A73" s="187"/>
      <c r="B73" s="185" t="s">
        <v>27</v>
      </c>
      <c r="C73" s="120">
        <f>SUM(D73:H73)</f>
        <v>0</v>
      </c>
      <c r="D73" s="123">
        <v>0</v>
      </c>
      <c r="E73" s="123">
        <v>0</v>
      </c>
      <c r="F73" s="123">
        <v>0</v>
      </c>
      <c r="G73" s="123">
        <v>0</v>
      </c>
      <c r="H73" s="124">
        <v>0</v>
      </c>
      <c r="I73" s="126">
        <v>0</v>
      </c>
    </row>
  </sheetData>
  <sheetProtection selectLockedCells="1" selectUnlockedCells="1"/>
  <mergeCells count="4">
    <mergeCell ref="A4:I4"/>
    <mergeCell ref="B6:D6"/>
    <mergeCell ref="B8:D8"/>
    <mergeCell ref="A16:A18"/>
  </mergeCells>
  <printOptions horizontalCentered="1"/>
  <pageMargins left="0" right="0" top="1.1812499999999999" bottom="0" header="0.51180555555555551" footer="0.51180555555555551"/>
  <pageSetup paperSize="9" scale="84" firstPageNumber="0" orientation="portrait" horizontalDpi="300" verticalDpi="3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2"/>
  <sheetViews>
    <sheetView showGridLines="0" workbookViewId="0"/>
  </sheetViews>
  <sheetFormatPr baseColWidth="10" defaultRowHeight="12.75" customHeight="1" x14ac:dyDescent="0.2"/>
  <cols>
    <col min="1" max="1" width="40.85546875" customWidth="1"/>
    <col min="2" max="2" width="6" customWidth="1"/>
    <col min="3" max="9" width="10" customWidth="1"/>
  </cols>
  <sheetData>
    <row r="1" spans="1:9" s="87" customFormat="1" ht="12.75" customHeight="1" x14ac:dyDescent="0.2">
      <c r="A1" s="88"/>
      <c r="B1" s="89"/>
      <c r="C1" s="89"/>
      <c r="D1" s="89"/>
      <c r="E1" s="90"/>
      <c r="F1" s="90"/>
      <c r="G1" s="90"/>
      <c r="H1" s="90"/>
      <c r="I1" s="91"/>
    </row>
    <row r="2" spans="1:9" s="87" customFormat="1" ht="12.75" customHeight="1" x14ac:dyDescent="0.2">
      <c r="A2" s="92"/>
      <c r="B2" s="93"/>
      <c r="C2" s="93"/>
      <c r="D2" s="93"/>
      <c r="E2" s="94"/>
      <c r="F2" s="94"/>
      <c r="G2" s="94"/>
      <c r="H2" s="94"/>
      <c r="I2" s="95"/>
    </row>
    <row r="3" spans="1:9" s="87" customFormat="1" ht="12.75" customHeight="1" x14ac:dyDescent="0.2">
      <c r="A3" s="92"/>
      <c r="B3" s="93"/>
      <c r="C3" s="93"/>
      <c r="D3" s="93"/>
      <c r="E3" s="94"/>
      <c r="F3" s="94"/>
      <c r="G3" s="94"/>
      <c r="H3" s="94"/>
      <c r="I3" s="95"/>
    </row>
    <row r="4" spans="1:9" s="87" customFormat="1" ht="12.75" customHeight="1" x14ac:dyDescent="0.2">
      <c r="A4" s="506" t="s">
        <v>265</v>
      </c>
      <c r="B4" s="506"/>
      <c r="C4" s="506"/>
      <c r="D4" s="506"/>
      <c r="E4" s="506"/>
      <c r="F4" s="506"/>
      <c r="G4" s="506"/>
      <c r="H4" s="506"/>
      <c r="I4" s="506"/>
    </row>
    <row r="5" spans="1:9" s="87" customFormat="1" ht="12.75" customHeight="1" x14ac:dyDescent="0.25">
      <c r="A5" s="96"/>
      <c r="B5" s="97"/>
      <c r="C5" s="97"/>
      <c r="D5" s="98"/>
      <c r="E5" s="98"/>
      <c r="F5" s="99"/>
      <c r="G5" s="100"/>
      <c r="H5" s="97"/>
      <c r="I5" s="101"/>
    </row>
    <row r="6" spans="1:9" s="87" customFormat="1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9" s="87" customFormat="1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9" s="151" customFormat="1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9" s="151" customFormat="1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9" s="169" customFormat="1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9" s="127" customFormat="1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9" s="127" customFormat="1" ht="12.75" customHeight="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105"/>
      <c r="I12" s="101"/>
    </row>
    <row r="13" spans="1:9" s="127" customFormat="1" ht="3" customHeight="1" x14ac:dyDescent="0.2">
      <c r="A13" s="194"/>
      <c r="B13" s="195"/>
      <c r="C13" s="196"/>
      <c r="D13" s="196"/>
      <c r="E13" s="197"/>
      <c r="F13" s="198"/>
      <c r="G13" s="199"/>
      <c r="H13" s="195"/>
      <c r="I13" s="200"/>
    </row>
    <row r="14" spans="1:9" s="127" customFormat="1" ht="12.75" customHeight="1" x14ac:dyDescent="0.2">
      <c r="A14" s="115"/>
      <c r="B14" s="115"/>
      <c r="C14" s="115"/>
      <c r="D14" s="115"/>
      <c r="E14" s="115"/>
      <c r="F14" s="115"/>
      <c r="G14" s="115"/>
      <c r="H14" s="87"/>
      <c r="I14" s="87"/>
    </row>
    <row r="15" spans="1:9" s="127" customFormat="1" ht="12.75" customHeight="1" x14ac:dyDescent="0.15">
      <c r="A15" s="137" t="s">
        <v>107</v>
      </c>
      <c r="B15" s="117" t="s">
        <v>23</v>
      </c>
      <c r="C15" s="117" t="s">
        <v>5</v>
      </c>
      <c r="D15" s="117" t="s">
        <v>108</v>
      </c>
      <c r="E15" s="117" t="s">
        <v>109</v>
      </c>
      <c r="F15" s="117" t="s">
        <v>110</v>
      </c>
      <c r="G15" s="117" t="s">
        <v>111</v>
      </c>
      <c r="H15" s="118" t="s">
        <v>112</v>
      </c>
      <c r="I15" s="119" t="s">
        <v>11</v>
      </c>
    </row>
    <row r="16" spans="1:9" s="127" customFormat="1" ht="12.75" customHeight="1" x14ac:dyDescent="0.15">
      <c r="A16" s="509" t="s">
        <v>266</v>
      </c>
      <c r="B16" s="122" t="s">
        <v>25</v>
      </c>
      <c r="C16" s="120">
        <f>SUM(D16:H16)</f>
        <v>0</v>
      </c>
      <c r="D16" s="120">
        <f>ZOONOSIS!D364</f>
        <v>0</v>
      </c>
      <c r="E16" s="120">
        <f>ZOONOSIS!E364</f>
        <v>0</v>
      </c>
      <c r="F16" s="120">
        <f>ZOONOSIS!F364</f>
        <v>0</v>
      </c>
      <c r="G16" s="120">
        <f>ZOONOSIS!G364</f>
        <v>0</v>
      </c>
      <c r="H16" s="120">
        <f>ZOONOSIS!H364</f>
        <v>0</v>
      </c>
      <c r="I16" s="120">
        <f>ZOONOSIS!I364</f>
        <v>0</v>
      </c>
    </row>
    <row r="17" spans="1:9" s="127" customFormat="1" ht="12.75" customHeight="1" x14ac:dyDescent="0.15">
      <c r="A17" s="509"/>
      <c r="B17" s="122" t="s">
        <v>26</v>
      </c>
      <c r="C17" s="120">
        <f>SUM(D17:H17)</f>
        <v>0</v>
      </c>
      <c r="D17" s="123">
        <v>0</v>
      </c>
      <c r="E17" s="123">
        <v>0</v>
      </c>
      <c r="F17" s="123">
        <v>0</v>
      </c>
      <c r="G17" s="123">
        <v>0</v>
      </c>
      <c r="H17" s="124">
        <v>0</v>
      </c>
      <c r="I17" s="125">
        <v>0</v>
      </c>
    </row>
    <row r="18" spans="1:9" s="203" customFormat="1" ht="12.75" customHeight="1" x14ac:dyDescent="0.15">
      <c r="A18" s="509"/>
      <c r="B18" s="122" t="s">
        <v>27</v>
      </c>
      <c r="C18" s="120">
        <f>SUM(D18:H18)</f>
        <v>0</v>
      </c>
      <c r="D18" s="123">
        <v>0</v>
      </c>
      <c r="E18" s="123">
        <v>0</v>
      </c>
      <c r="F18" s="123">
        <v>0</v>
      </c>
      <c r="G18" s="123">
        <v>0</v>
      </c>
      <c r="H18" s="124">
        <v>0</v>
      </c>
      <c r="I18" s="126">
        <v>0</v>
      </c>
    </row>
    <row r="19" spans="1:9" s="127" customFormat="1" ht="12.75" customHeight="1" x14ac:dyDescent="0.15">
      <c r="A19" s="271"/>
      <c r="B19" s="272"/>
      <c r="C19" s="273"/>
      <c r="D19" s="273"/>
      <c r="E19" s="273"/>
      <c r="F19" s="273"/>
      <c r="G19" s="274"/>
      <c r="H19" s="273"/>
      <c r="I19" s="273"/>
    </row>
    <row r="20" spans="1:9" s="127" customFormat="1" ht="12.75" customHeight="1" x14ac:dyDescent="0.15">
      <c r="A20" s="137" t="s">
        <v>114</v>
      </c>
      <c r="B20" s="117" t="s">
        <v>23</v>
      </c>
      <c r="C20" s="117" t="s">
        <v>5</v>
      </c>
      <c r="D20" s="117" t="s">
        <v>108</v>
      </c>
      <c r="E20" s="117" t="s">
        <v>109</v>
      </c>
      <c r="F20" s="117" t="s">
        <v>110</v>
      </c>
      <c r="G20" s="117" t="s">
        <v>111</v>
      </c>
      <c r="H20" s="118" t="s">
        <v>112</v>
      </c>
      <c r="I20" s="119" t="s">
        <v>11</v>
      </c>
    </row>
    <row r="21" spans="1:9" s="127" customFormat="1" ht="12.75" customHeight="1" x14ac:dyDescent="0.15">
      <c r="A21" s="165" t="s">
        <v>267</v>
      </c>
      <c r="B21" s="122" t="s">
        <v>25</v>
      </c>
      <c r="C21" s="120">
        <f t="shared" ref="C21:C26" si="0">SUM(D21:H21)</f>
        <v>0</v>
      </c>
      <c r="D21" s="120">
        <f t="shared" ref="D21:I21" si="1">SUM(D22:D23)</f>
        <v>0</v>
      </c>
      <c r="E21" s="120">
        <f t="shared" si="1"/>
        <v>0</v>
      </c>
      <c r="F21" s="120">
        <f t="shared" si="1"/>
        <v>0</v>
      </c>
      <c r="G21" s="120">
        <f t="shared" si="1"/>
        <v>0</v>
      </c>
      <c r="H21" s="120">
        <f t="shared" si="1"/>
        <v>0</v>
      </c>
      <c r="I21" s="120">
        <f t="shared" si="1"/>
        <v>0</v>
      </c>
    </row>
    <row r="22" spans="1:9" s="127" customFormat="1" ht="12.75" customHeight="1" x14ac:dyDescent="0.15">
      <c r="A22" s="130"/>
      <c r="B22" s="122" t="s">
        <v>26</v>
      </c>
      <c r="C22" s="120">
        <f t="shared" si="0"/>
        <v>0</v>
      </c>
      <c r="D22" s="123">
        <v>0</v>
      </c>
      <c r="E22" s="123">
        <v>0</v>
      </c>
      <c r="F22" s="123">
        <v>0</v>
      </c>
      <c r="G22" s="123">
        <v>0</v>
      </c>
      <c r="H22" s="124">
        <v>0</v>
      </c>
      <c r="I22" s="125">
        <v>0</v>
      </c>
    </row>
    <row r="23" spans="1:9" s="203" customFormat="1" ht="12.75" customHeight="1" x14ac:dyDescent="0.15">
      <c r="A23" s="166"/>
      <c r="B23" s="122" t="s">
        <v>27</v>
      </c>
      <c r="C23" s="120">
        <f t="shared" si="0"/>
        <v>0</v>
      </c>
      <c r="D23" s="123">
        <v>0</v>
      </c>
      <c r="E23" s="123">
        <v>0</v>
      </c>
      <c r="F23" s="123">
        <v>0</v>
      </c>
      <c r="G23" s="123">
        <v>0</v>
      </c>
      <c r="H23" s="124">
        <v>0</v>
      </c>
      <c r="I23" s="126">
        <v>0</v>
      </c>
    </row>
    <row r="24" spans="1:9" s="203" customFormat="1" ht="12.75" customHeight="1" x14ac:dyDescent="0.15">
      <c r="A24" s="511" t="s">
        <v>268</v>
      </c>
      <c r="B24" s="122" t="s">
        <v>25</v>
      </c>
      <c r="C24" s="120">
        <f t="shared" si="0"/>
        <v>0</v>
      </c>
      <c r="D24" s="120">
        <f t="shared" ref="D24:I24" si="2">SUM(D25:D26)</f>
        <v>0</v>
      </c>
      <c r="E24" s="120">
        <f t="shared" si="2"/>
        <v>0</v>
      </c>
      <c r="F24" s="120">
        <f t="shared" si="2"/>
        <v>0</v>
      </c>
      <c r="G24" s="120">
        <f t="shared" si="2"/>
        <v>0</v>
      </c>
      <c r="H24" s="120">
        <f t="shared" si="2"/>
        <v>0</v>
      </c>
      <c r="I24" s="120">
        <f t="shared" si="2"/>
        <v>0</v>
      </c>
    </row>
    <row r="25" spans="1:9" s="203" customFormat="1" ht="12.75" customHeight="1" x14ac:dyDescent="0.15">
      <c r="A25" s="511"/>
      <c r="B25" s="122" t="s">
        <v>26</v>
      </c>
      <c r="C25" s="120">
        <f t="shared" si="0"/>
        <v>0</v>
      </c>
      <c r="D25" s="123">
        <v>0</v>
      </c>
      <c r="E25" s="123">
        <v>0</v>
      </c>
      <c r="F25" s="123">
        <v>0</v>
      </c>
      <c r="G25" s="123">
        <v>0</v>
      </c>
      <c r="H25" s="124">
        <v>0</v>
      </c>
      <c r="I25" s="125">
        <v>0</v>
      </c>
    </row>
    <row r="26" spans="1:9" s="203" customFormat="1" ht="12.75" customHeight="1" x14ac:dyDescent="0.15">
      <c r="A26" s="511"/>
      <c r="B26" s="122" t="s">
        <v>27</v>
      </c>
      <c r="C26" s="120">
        <f t="shared" si="0"/>
        <v>0</v>
      </c>
      <c r="D26" s="123">
        <v>0</v>
      </c>
      <c r="E26" s="123">
        <v>0</v>
      </c>
      <c r="F26" s="123">
        <v>0</v>
      </c>
      <c r="G26" s="123">
        <v>0</v>
      </c>
      <c r="H26" s="124">
        <v>0</v>
      </c>
      <c r="I26" s="126">
        <v>0</v>
      </c>
    </row>
    <row r="27" spans="1:9" s="275" customFormat="1" ht="12.75" customHeight="1" x14ac:dyDescent="0.2">
      <c r="A27" s="94"/>
      <c r="B27" s="173"/>
      <c r="C27" s="172"/>
      <c r="D27" s="131"/>
      <c r="E27" s="131"/>
      <c r="F27" s="131"/>
      <c r="G27" s="259"/>
      <c r="H27" s="131"/>
      <c r="I27" s="131"/>
    </row>
    <row r="28" spans="1:9" ht="12.75" customHeight="1" x14ac:dyDescent="0.2">
      <c r="A28" s="201" t="s">
        <v>4</v>
      </c>
      <c r="B28" s="114"/>
      <c r="C28" s="115"/>
      <c r="D28" s="115"/>
      <c r="E28" s="151"/>
      <c r="F28" s="151"/>
      <c r="G28" s="168"/>
      <c r="H28" s="151"/>
      <c r="I28" s="127"/>
    </row>
    <row r="29" spans="1:9" s="275" customFormat="1" ht="12.75" customHeight="1" x14ac:dyDescent="0.2">
      <c r="A29" s="137" t="s">
        <v>214</v>
      </c>
      <c r="B29" s="117" t="s">
        <v>23</v>
      </c>
      <c r="C29" s="117" t="s">
        <v>5</v>
      </c>
      <c r="D29" s="117" t="s">
        <v>108</v>
      </c>
      <c r="E29" s="117" t="s">
        <v>109</v>
      </c>
      <c r="F29" s="117" t="s">
        <v>110</v>
      </c>
      <c r="G29" s="117" t="s">
        <v>111</v>
      </c>
      <c r="H29" s="118" t="s">
        <v>112</v>
      </c>
      <c r="I29" s="119" t="s">
        <v>11</v>
      </c>
    </row>
    <row r="30" spans="1:9" s="275" customFormat="1" ht="12.75" customHeight="1" x14ac:dyDescent="0.2">
      <c r="A30" s="276" t="s">
        <v>13</v>
      </c>
      <c r="B30" s="122" t="s">
        <v>25</v>
      </c>
      <c r="C30" s="120">
        <f t="shared" ref="C30:C38" si="3">SUM(D30:H30)</f>
        <v>0</v>
      </c>
      <c r="D30" s="120">
        <f t="shared" ref="D30:I30" si="4">SUM(D31:D32)</f>
        <v>0</v>
      </c>
      <c r="E30" s="120">
        <f t="shared" si="4"/>
        <v>0</v>
      </c>
      <c r="F30" s="120">
        <f t="shared" si="4"/>
        <v>0</v>
      </c>
      <c r="G30" s="120">
        <f t="shared" si="4"/>
        <v>0</v>
      </c>
      <c r="H30" s="120">
        <f t="shared" si="4"/>
        <v>0</v>
      </c>
      <c r="I30" s="120">
        <f t="shared" si="4"/>
        <v>0</v>
      </c>
    </row>
    <row r="31" spans="1:9" s="87" customFormat="1" ht="12.75" customHeight="1" x14ac:dyDescent="0.2">
      <c r="A31" s="238"/>
      <c r="B31" s="122" t="s">
        <v>26</v>
      </c>
      <c r="C31" s="120">
        <f t="shared" si="3"/>
        <v>0</v>
      </c>
      <c r="D31" s="120">
        <f t="shared" ref="D31:H32" si="5">D34+D37+D40</f>
        <v>0</v>
      </c>
      <c r="E31" s="120">
        <f t="shared" si="5"/>
        <v>0</v>
      </c>
      <c r="F31" s="120">
        <f t="shared" si="5"/>
        <v>0</v>
      </c>
      <c r="G31" s="120">
        <f t="shared" si="5"/>
        <v>0</v>
      </c>
      <c r="H31" s="120">
        <f t="shared" si="5"/>
        <v>0</v>
      </c>
      <c r="I31" s="125">
        <v>0</v>
      </c>
    </row>
    <row r="32" spans="1:9" s="87" customFormat="1" ht="12.75" customHeight="1" x14ac:dyDescent="0.2">
      <c r="A32" s="238"/>
      <c r="B32" s="122" t="s">
        <v>27</v>
      </c>
      <c r="C32" s="120">
        <f t="shared" si="3"/>
        <v>0</v>
      </c>
      <c r="D32" s="120">
        <f t="shared" si="5"/>
        <v>0</v>
      </c>
      <c r="E32" s="120">
        <f t="shared" si="5"/>
        <v>0</v>
      </c>
      <c r="F32" s="120">
        <f t="shared" si="5"/>
        <v>0</v>
      </c>
      <c r="G32" s="120">
        <f t="shared" si="5"/>
        <v>0</v>
      </c>
      <c r="H32" s="120">
        <f t="shared" si="5"/>
        <v>0</v>
      </c>
      <c r="I32" s="120">
        <f>I35+I38+I41</f>
        <v>0</v>
      </c>
    </row>
    <row r="33" spans="1:10" s="87" customFormat="1" ht="12.75" customHeight="1" x14ac:dyDescent="0.2">
      <c r="A33" s="225" t="s">
        <v>269</v>
      </c>
      <c r="B33" s="122" t="s">
        <v>25</v>
      </c>
      <c r="C33" s="120">
        <f t="shared" si="3"/>
        <v>0</v>
      </c>
      <c r="D33" s="120">
        <f>ZOONOSIS!D361</f>
        <v>0</v>
      </c>
      <c r="E33" s="120">
        <f>ZOONOSIS!E361</f>
        <v>0</v>
      </c>
      <c r="F33" s="120">
        <f>ZOONOSIS!F361</f>
        <v>0</v>
      </c>
      <c r="G33" s="120">
        <f>ZOONOSIS!G361</f>
        <v>0</v>
      </c>
      <c r="H33" s="120">
        <f>ZOONOSIS!H361</f>
        <v>0</v>
      </c>
      <c r="I33" s="120">
        <f>ZOONOSIS!I361</f>
        <v>0</v>
      </c>
    </row>
    <row r="34" spans="1:10" s="87" customFormat="1" ht="12.75" customHeight="1" x14ac:dyDescent="0.2">
      <c r="A34" s="210"/>
      <c r="B34" s="122" t="s">
        <v>26</v>
      </c>
      <c r="C34" s="120">
        <f t="shared" si="3"/>
        <v>0</v>
      </c>
      <c r="D34" s="123">
        <v>0</v>
      </c>
      <c r="E34" s="123">
        <v>0</v>
      </c>
      <c r="F34" s="123">
        <v>0</v>
      </c>
      <c r="G34" s="123">
        <v>0</v>
      </c>
      <c r="H34" s="124">
        <v>0</v>
      </c>
      <c r="I34" s="125">
        <v>0</v>
      </c>
    </row>
    <row r="35" spans="1:10" s="87" customFormat="1" ht="12.75" customHeight="1" x14ac:dyDescent="0.2">
      <c r="A35" s="226"/>
      <c r="B35" s="122" t="s">
        <v>27</v>
      </c>
      <c r="C35" s="120">
        <f t="shared" si="3"/>
        <v>0</v>
      </c>
      <c r="D35" s="123">
        <v>0</v>
      </c>
      <c r="E35" s="123">
        <v>0</v>
      </c>
      <c r="F35" s="123">
        <v>0</v>
      </c>
      <c r="G35" s="123">
        <v>0</v>
      </c>
      <c r="H35" s="124">
        <v>0</v>
      </c>
      <c r="I35" s="126">
        <v>0</v>
      </c>
    </row>
    <row r="36" spans="1:10" ht="12.75" customHeight="1" x14ac:dyDescent="0.2">
      <c r="A36" s="225" t="s">
        <v>270</v>
      </c>
      <c r="B36" s="122" t="s">
        <v>25</v>
      </c>
      <c r="C36" s="120">
        <f t="shared" si="3"/>
        <v>0</v>
      </c>
      <c r="D36" s="120">
        <f>ZOONOSIS!D362</f>
        <v>0</v>
      </c>
      <c r="E36" s="120">
        <f>ZOONOSIS!E362</f>
        <v>0</v>
      </c>
      <c r="F36" s="120">
        <f>ZOONOSIS!F362</f>
        <v>0</v>
      </c>
      <c r="G36" s="120">
        <f>ZOONOSIS!G362</f>
        <v>0</v>
      </c>
      <c r="H36" s="120">
        <f>ZOONOSIS!H362</f>
        <v>0</v>
      </c>
      <c r="I36" s="120">
        <f>ZOONOSIS!I362</f>
        <v>0</v>
      </c>
    </row>
    <row r="37" spans="1:10" ht="12.75" customHeight="1" x14ac:dyDescent="0.2">
      <c r="A37" s="210"/>
      <c r="B37" s="122" t="s">
        <v>26</v>
      </c>
      <c r="C37" s="120">
        <f t="shared" si="3"/>
        <v>0</v>
      </c>
      <c r="D37" s="123">
        <v>0</v>
      </c>
      <c r="E37" s="123">
        <v>0</v>
      </c>
      <c r="F37" s="123">
        <v>0</v>
      </c>
      <c r="G37" s="123">
        <v>0</v>
      </c>
      <c r="H37" s="124">
        <v>0</v>
      </c>
      <c r="I37" s="125">
        <v>0</v>
      </c>
    </row>
    <row r="38" spans="1:10" ht="12.75" customHeight="1" x14ac:dyDescent="0.2">
      <c r="A38" s="226"/>
      <c r="B38" s="122" t="s">
        <v>27</v>
      </c>
      <c r="C38" s="120">
        <f t="shared" si="3"/>
        <v>0</v>
      </c>
      <c r="D38" s="123">
        <v>0</v>
      </c>
      <c r="E38" s="123">
        <v>0</v>
      </c>
      <c r="F38" s="123">
        <v>0</v>
      </c>
      <c r="G38" s="123">
        <v>0</v>
      </c>
      <c r="H38" s="124">
        <v>0</v>
      </c>
      <c r="I38" s="126">
        <v>0</v>
      </c>
    </row>
    <row r="39" spans="1:10" ht="12.75" customHeight="1" x14ac:dyDescent="0.2">
      <c r="A39" s="225" t="s">
        <v>271</v>
      </c>
      <c r="B39" s="122" t="s">
        <v>25</v>
      </c>
      <c r="C39" s="120">
        <f>SUM(D39:H39)</f>
        <v>0</v>
      </c>
      <c r="D39" s="120">
        <f>ZOONOSIS!D363</f>
        <v>0</v>
      </c>
      <c r="E39" s="120">
        <f>ZOONOSIS!E363</f>
        <v>0</v>
      </c>
      <c r="F39" s="120">
        <f>ZOONOSIS!F363</f>
        <v>0</v>
      </c>
      <c r="G39" s="120">
        <f>ZOONOSIS!G363</f>
        <v>0</v>
      </c>
      <c r="H39" s="120">
        <f>ZOONOSIS!H363</f>
        <v>0</v>
      </c>
      <c r="I39" s="120">
        <f>ZOONOSIS!I363</f>
        <v>0</v>
      </c>
    </row>
    <row r="40" spans="1:10" ht="12.75" customHeight="1" x14ac:dyDescent="0.2">
      <c r="A40" s="210"/>
      <c r="B40" s="122" t="s">
        <v>26</v>
      </c>
      <c r="C40" s="120">
        <f>SUM(D40:H40)</f>
        <v>0</v>
      </c>
      <c r="D40" s="123">
        <v>0</v>
      </c>
      <c r="E40" s="123">
        <v>0</v>
      </c>
      <c r="F40" s="123">
        <v>0</v>
      </c>
      <c r="G40" s="123">
        <v>0</v>
      </c>
      <c r="H40" s="124">
        <v>0</v>
      </c>
      <c r="I40" s="125">
        <v>0</v>
      </c>
    </row>
    <row r="41" spans="1:10" ht="12.75" customHeight="1" x14ac:dyDescent="0.2">
      <c r="A41" s="226"/>
      <c r="B41" s="122" t="s">
        <v>27</v>
      </c>
      <c r="C41" s="120">
        <f>SUM(D41:H41)</f>
        <v>0</v>
      </c>
      <c r="D41" s="123">
        <v>0</v>
      </c>
      <c r="E41" s="123">
        <v>0</v>
      </c>
      <c r="F41" s="123">
        <v>0</v>
      </c>
      <c r="G41" s="123">
        <v>0</v>
      </c>
      <c r="H41" s="124">
        <v>0</v>
      </c>
      <c r="I41" s="126">
        <v>0</v>
      </c>
    </row>
    <row r="42" spans="1:10" ht="12.75" customHeight="1" x14ac:dyDescent="0.2">
      <c r="A42" s="94"/>
      <c r="B42" s="173"/>
      <c r="C42" s="172"/>
      <c r="D42" s="131"/>
      <c r="E42" s="131"/>
      <c r="F42" s="131"/>
      <c r="G42" s="259"/>
      <c r="H42" s="131"/>
      <c r="I42" s="131"/>
    </row>
    <row r="43" spans="1:10" ht="12.75" customHeight="1" x14ac:dyDescent="0.2">
      <c r="A43" s="138" t="s">
        <v>167</v>
      </c>
      <c r="B43" s="119" t="s">
        <v>23</v>
      </c>
      <c r="C43" s="137" t="s">
        <v>5</v>
      </c>
      <c r="D43" s="137" t="s">
        <v>108</v>
      </c>
      <c r="E43" s="137" t="s">
        <v>109</v>
      </c>
      <c r="F43" s="137" t="s">
        <v>110</v>
      </c>
      <c r="G43" s="137" t="s">
        <v>111</v>
      </c>
      <c r="H43" s="182" t="s">
        <v>112</v>
      </c>
      <c r="I43" s="183" t="s">
        <v>11</v>
      </c>
      <c r="J43" s="203"/>
    </row>
    <row r="44" spans="1:10" ht="12.75" customHeight="1" x14ac:dyDescent="0.2">
      <c r="A44" s="184" t="s">
        <v>217</v>
      </c>
      <c r="B44" s="185" t="s">
        <v>25</v>
      </c>
      <c r="C44" s="120">
        <f>SUM(D44:H44)</f>
        <v>0</v>
      </c>
      <c r="D44" s="120">
        <f t="shared" ref="D44:I44" si="6">SUM(D45:D46)</f>
        <v>0</v>
      </c>
      <c r="E44" s="120">
        <f t="shared" si="6"/>
        <v>0</v>
      </c>
      <c r="F44" s="120">
        <f t="shared" si="6"/>
        <v>0</v>
      </c>
      <c r="G44" s="120">
        <f t="shared" si="6"/>
        <v>0</v>
      </c>
      <c r="H44" s="120">
        <f t="shared" si="6"/>
        <v>0</v>
      </c>
      <c r="I44" s="120">
        <f t="shared" si="6"/>
        <v>0</v>
      </c>
      <c r="J44" s="203"/>
    </row>
    <row r="45" spans="1:10" ht="12.75" customHeight="1" x14ac:dyDescent="0.2">
      <c r="A45" s="186"/>
      <c r="B45" s="185" t="s">
        <v>26</v>
      </c>
      <c r="C45" s="120">
        <f>SUM(D45:H45)</f>
        <v>0</v>
      </c>
      <c r="D45" s="123">
        <v>0</v>
      </c>
      <c r="E45" s="123">
        <v>0</v>
      </c>
      <c r="F45" s="123">
        <v>0</v>
      </c>
      <c r="G45" s="123">
        <v>0</v>
      </c>
      <c r="H45" s="124">
        <v>0</v>
      </c>
      <c r="I45" s="125">
        <v>0</v>
      </c>
      <c r="J45" s="203"/>
    </row>
    <row r="46" spans="1:10" ht="12.75" customHeight="1" x14ac:dyDescent="0.2">
      <c r="A46" s="187"/>
      <c r="B46" s="185" t="s">
        <v>27</v>
      </c>
      <c r="C46" s="120">
        <f>SUM(D46:H46)</f>
        <v>0</v>
      </c>
      <c r="D46" s="123">
        <v>0</v>
      </c>
      <c r="E46" s="123">
        <v>0</v>
      </c>
      <c r="F46" s="123">
        <v>0</v>
      </c>
      <c r="G46" s="123">
        <v>0</v>
      </c>
      <c r="H46" s="124">
        <v>0</v>
      </c>
      <c r="I46" s="126">
        <v>0</v>
      </c>
      <c r="J46" s="203"/>
    </row>
    <row r="47" spans="1:10" ht="12.75" customHeight="1" x14ac:dyDescent="0.2">
      <c r="A47" s="139"/>
      <c r="B47" s="139"/>
      <c r="C47" s="139"/>
      <c r="D47" s="203"/>
      <c r="E47" s="203"/>
      <c r="F47" s="203"/>
      <c r="G47" s="203"/>
      <c r="H47" s="203"/>
      <c r="I47" s="203"/>
    </row>
    <row r="48" spans="1:10" ht="12.75" customHeight="1" x14ac:dyDescent="0.2">
      <c r="A48" s="277" t="s">
        <v>255</v>
      </c>
      <c r="B48" s="169"/>
      <c r="C48" s="169"/>
      <c r="D48" s="275"/>
      <c r="E48" s="275"/>
      <c r="F48" s="275"/>
      <c r="G48" s="278"/>
      <c r="H48" s="139"/>
      <c r="I48" s="139"/>
    </row>
    <row r="49" spans="1:10" ht="12.75" customHeight="1" x14ac:dyDescent="0.2">
      <c r="A49" s="512" t="s">
        <v>35</v>
      </c>
      <c r="B49" s="512"/>
      <c r="C49" s="137" t="s">
        <v>5</v>
      </c>
      <c r="D49" s="137" t="s">
        <v>108</v>
      </c>
      <c r="E49" s="137" t="s">
        <v>109</v>
      </c>
      <c r="F49" s="137" t="s">
        <v>110</v>
      </c>
      <c r="G49" s="137" t="s">
        <v>111</v>
      </c>
      <c r="H49" s="182" t="s">
        <v>112</v>
      </c>
      <c r="I49" s="183" t="s">
        <v>11</v>
      </c>
      <c r="J49" s="94"/>
    </row>
    <row r="50" spans="1:10" ht="12.75" customHeight="1" x14ac:dyDescent="0.2">
      <c r="A50" s="510" t="s">
        <v>218</v>
      </c>
      <c r="B50" s="510"/>
      <c r="C50" s="120">
        <f>SUM(D50:H50)</f>
        <v>0</v>
      </c>
      <c r="D50" s="241">
        <f>ZOONOSIS!D368</f>
        <v>0</v>
      </c>
      <c r="E50" s="241">
        <f>ZOONOSIS!E368</f>
        <v>0</v>
      </c>
      <c r="F50" s="241">
        <f>ZOONOSIS!F368</f>
        <v>0</v>
      </c>
      <c r="G50" s="241">
        <f>ZOONOSIS!G368</f>
        <v>0</v>
      </c>
      <c r="H50" s="241">
        <f>ZOONOSIS!H368</f>
        <v>0</v>
      </c>
      <c r="I50" s="241">
        <f>ZOONOSIS!I368</f>
        <v>0</v>
      </c>
      <c r="J50" s="94"/>
    </row>
    <row r="51" spans="1:10" ht="12.75" customHeight="1" x14ac:dyDescent="0.2">
      <c r="A51" s="510" t="s">
        <v>219</v>
      </c>
      <c r="B51" s="510"/>
      <c r="C51" s="120">
        <f>SUM(D51:H51)</f>
        <v>0</v>
      </c>
      <c r="D51" s="241">
        <f>ZOONOSIS!D369</f>
        <v>0</v>
      </c>
      <c r="E51" s="241">
        <f>ZOONOSIS!E369</f>
        <v>0</v>
      </c>
      <c r="F51" s="241">
        <f>ZOONOSIS!F369</f>
        <v>0</v>
      </c>
      <c r="G51" s="241">
        <f>ZOONOSIS!G369</f>
        <v>0</v>
      </c>
      <c r="H51" s="241">
        <f>ZOONOSIS!H369</f>
        <v>0</v>
      </c>
      <c r="I51" s="241">
        <f>ZOONOSIS!I369</f>
        <v>0</v>
      </c>
      <c r="J51" s="94"/>
    </row>
    <row r="52" spans="1:10" ht="12.75" customHeight="1" x14ac:dyDescent="0.2">
      <c r="A52" s="139"/>
      <c r="B52" s="139"/>
      <c r="C52" s="139"/>
      <c r="D52" s="203"/>
      <c r="E52" s="203"/>
      <c r="F52" s="203"/>
      <c r="G52" s="203"/>
      <c r="H52" s="203"/>
      <c r="I52" s="203"/>
    </row>
    <row r="53" spans="1:10" ht="12.75" customHeight="1" x14ac:dyDescent="0.2">
      <c r="A53" s="129" t="s">
        <v>272</v>
      </c>
      <c r="B53" s="87"/>
      <c r="C53" s="87"/>
      <c r="G53" s="112"/>
      <c r="H53" s="94"/>
      <c r="I53" s="94"/>
    </row>
    <row r="54" spans="1:10" ht="12.75" customHeight="1" x14ac:dyDescent="0.2">
      <c r="A54" s="512" t="s">
        <v>35</v>
      </c>
      <c r="B54" s="512"/>
      <c r="C54" s="137" t="s">
        <v>5</v>
      </c>
      <c r="D54" s="137" t="s">
        <v>108</v>
      </c>
      <c r="E54" s="137" t="s">
        <v>109</v>
      </c>
      <c r="F54" s="137" t="s">
        <v>110</v>
      </c>
      <c r="G54" s="137" t="s">
        <v>111</v>
      </c>
      <c r="H54" s="182" t="s">
        <v>112</v>
      </c>
      <c r="I54" s="183" t="s">
        <v>11</v>
      </c>
      <c r="J54" s="94"/>
    </row>
    <row r="55" spans="1:10" ht="12.75" customHeight="1" x14ac:dyDescent="0.2">
      <c r="A55" s="510" t="s">
        <v>218</v>
      </c>
      <c r="B55" s="510"/>
      <c r="C55" s="120">
        <f>SUM(D55:H55)</f>
        <v>0</v>
      </c>
      <c r="D55" s="123">
        <v>0</v>
      </c>
      <c r="E55" s="123">
        <v>0</v>
      </c>
      <c r="F55" s="123">
        <v>0</v>
      </c>
      <c r="G55" s="123">
        <v>0</v>
      </c>
      <c r="H55" s="123">
        <v>0</v>
      </c>
      <c r="I55" s="123">
        <v>0</v>
      </c>
      <c r="J55" s="94"/>
    </row>
    <row r="56" spans="1:10" ht="12.75" customHeight="1" x14ac:dyDescent="0.2">
      <c r="A56" s="510" t="s">
        <v>219</v>
      </c>
      <c r="B56" s="510"/>
      <c r="C56" s="120">
        <f>SUM(D56:H56)</f>
        <v>0</v>
      </c>
      <c r="D56" s="123">
        <v>0</v>
      </c>
      <c r="E56" s="123">
        <v>0</v>
      </c>
      <c r="F56" s="123">
        <v>0</v>
      </c>
      <c r="G56" s="123">
        <v>0</v>
      </c>
      <c r="H56" s="123">
        <v>0</v>
      </c>
      <c r="I56" s="123">
        <v>0</v>
      </c>
      <c r="J56" s="94"/>
    </row>
    <row r="57" spans="1:10" ht="12.75" customHeight="1" x14ac:dyDescent="0.2">
      <c r="A57" s="139"/>
      <c r="B57" s="275"/>
      <c r="C57" s="275"/>
      <c r="D57" s="275"/>
      <c r="E57" s="275"/>
      <c r="F57" s="275"/>
      <c r="G57" s="278"/>
      <c r="H57" s="275"/>
      <c r="I57" s="139"/>
    </row>
    <row r="58" spans="1:10" ht="12.75" customHeight="1" x14ac:dyDescent="0.2">
      <c r="A58" s="128" t="s">
        <v>221</v>
      </c>
      <c r="B58" s="141"/>
      <c r="C58" s="87"/>
      <c r="E58" s="223"/>
      <c r="F58" s="223"/>
      <c r="G58" s="87"/>
      <c r="H58" s="87"/>
      <c r="I58" s="87"/>
    </row>
    <row r="59" spans="1:10" ht="12.75" customHeight="1" x14ac:dyDescent="0.2">
      <c r="A59" s="157" t="s">
        <v>16</v>
      </c>
      <c r="B59" s="137" t="s">
        <v>14</v>
      </c>
      <c r="C59" s="87"/>
      <c r="E59" s="223"/>
      <c r="F59" s="223"/>
      <c r="G59" s="87"/>
      <c r="H59" s="87"/>
      <c r="I59" s="87"/>
    </row>
    <row r="60" spans="1:10" ht="12.75" customHeight="1" x14ac:dyDescent="0.2">
      <c r="A60" s="279" t="s">
        <v>222</v>
      </c>
      <c r="B60" s="123">
        <f>ZOONOSIS!C373</f>
        <v>0</v>
      </c>
      <c r="C60" s="87"/>
      <c r="E60" s="223"/>
      <c r="F60" s="223"/>
      <c r="G60" s="87"/>
      <c r="H60" s="87"/>
      <c r="I60" s="87"/>
    </row>
    <row r="61" spans="1:10" ht="12.75" customHeight="1" x14ac:dyDescent="0.2">
      <c r="A61" s="279" t="s">
        <v>223</v>
      </c>
      <c r="B61" s="123">
        <f>ZOONOSIS!C374</f>
        <v>0</v>
      </c>
      <c r="C61" s="87"/>
      <c r="E61" s="223"/>
      <c r="F61" s="223"/>
      <c r="G61" s="87"/>
      <c r="H61" s="87"/>
      <c r="I61" s="87"/>
    </row>
    <row r="62" spans="1:10" ht="12.75" customHeight="1" x14ac:dyDescent="0.2">
      <c r="A62" s="279" t="s">
        <v>224</v>
      </c>
      <c r="B62" s="123">
        <f>ZOONOSIS!C375</f>
        <v>0</v>
      </c>
      <c r="C62" s="87"/>
      <c r="E62" s="223"/>
      <c r="F62" s="223"/>
      <c r="G62" s="87"/>
      <c r="H62" s="87"/>
      <c r="I62" s="87"/>
    </row>
  </sheetData>
  <sheetProtection selectLockedCells="1" selectUnlockedCells="1"/>
  <mergeCells count="11">
    <mergeCell ref="A56:B56"/>
    <mergeCell ref="A4:I4"/>
    <mergeCell ref="B6:D6"/>
    <mergeCell ref="B8:D8"/>
    <mergeCell ref="A16:A18"/>
    <mergeCell ref="A24:A26"/>
    <mergeCell ref="A49:B49"/>
    <mergeCell ref="A50:B50"/>
    <mergeCell ref="A51:B51"/>
    <mergeCell ref="A54:B54"/>
    <mergeCell ref="A55:B55"/>
  </mergeCells>
  <printOptions horizontalCentered="1"/>
  <pageMargins left="0" right="0" top="0.39374999999999999" bottom="0.39374999999999999" header="0.51180555555555551" footer="0.51180555555555551"/>
  <pageSetup paperSize="9" scale="88" firstPageNumber="0" orientation="portrait" horizontalDpi="300" verticalDpi="3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"/>
  <sheetViews>
    <sheetView zoomScaleSheetLayoutView="75" workbookViewId="0"/>
  </sheetViews>
  <sheetFormatPr baseColWidth="10" defaultRowHeight="12.75" customHeight="1" x14ac:dyDescent="0.2"/>
  <cols>
    <col min="1" max="1" width="44.7109375" customWidth="1"/>
    <col min="2" max="2" width="8.28515625" customWidth="1"/>
    <col min="3" max="3" width="7.5703125" customWidth="1"/>
    <col min="4" max="4" width="9" customWidth="1"/>
    <col min="5" max="5" width="9.140625" customWidth="1"/>
    <col min="6" max="6" width="9.85546875" customWidth="1"/>
    <col min="7" max="7" width="10.28515625" customWidth="1"/>
    <col min="8" max="8" width="10" customWidth="1"/>
  </cols>
  <sheetData>
    <row r="1" spans="1:9" ht="12.75" customHeight="1" x14ac:dyDescent="0.2">
      <c r="A1" s="88"/>
      <c r="B1" s="89"/>
      <c r="C1" s="89"/>
      <c r="D1" s="89"/>
      <c r="E1" s="90"/>
      <c r="F1" s="90"/>
      <c r="G1" s="90"/>
      <c r="H1" s="90"/>
      <c r="I1" s="91"/>
    </row>
    <row r="2" spans="1:9" ht="12.75" customHeight="1" x14ac:dyDescent="0.2">
      <c r="A2" s="92"/>
      <c r="B2" s="93"/>
      <c r="C2" s="93"/>
      <c r="D2" s="93"/>
      <c r="E2" s="94"/>
      <c r="F2" s="94"/>
      <c r="G2" s="94"/>
      <c r="H2" s="94"/>
      <c r="I2" s="95"/>
    </row>
    <row r="3" spans="1:9" ht="12.75" customHeight="1" x14ac:dyDescent="0.2">
      <c r="A3" s="92"/>
      <c r="B3" s="93"/>
      <c r="C3" s="93"/>
      <c r="D3" s="93"/>
      <c r="E3" s="94"/>
      <c r="F3" s="94"/>
      <c r="G3" s="94"/>
      <c r="H3" s="94"/>
      <c r="I3" s="95"/>
    </row>
    <row r="4" spans="1:9" ht="12.75" customHeight="1" x14ac:dyDescent="0.2">
      <c r="A4" s="506" t="s">
        <v>273</v>
      </c>
      <c r="B4" s="506"/>
      <c r="C4" s="506"/>
      <c r="D4" s="506"/>
      <c r="E4" s="506"/>
      <c r="F4" s="506"/>
      <c r="G4" s="506"/>
      <c r="H4" s="506"/>
      <c r="I4" s="506"/>
    </row>
    <row r="5" spans="1:9" ht="12.75" customHeight="1" x14ac:dyDescent="0.25">
      <c r="A5" s="96"/>
      <c r="B5" s="97"/>
      <c r="C5" s="97"/>
      <c r="D5" s="98"/>
      <c r="E5" s="98"/>
      <c r="F5" s="99"/>
      <c r="G5" s="100"/>
      <c r="H5" s="97"/>
      <c r="I5" s="101"/>
    </row>
    <row r="6" spans="1:9" ht="12.75" customHeigh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105"/>
      <c r="I6" s="101"/>
    </row>
    <row r="7" spans="1:9" ht="3" customHeight="1" x14ac:dyDescent="0.25">
      <c r="A7" s="102"/>
      <c r="B7" s="106"/>
      <c r="C7" s="106"/>
      <c r="D7" s="106"/>
      <c r="E7" s="103"/>
      <c r="F7" s="97"/>
      <c r="G7" s="100"/>
      <c r="H7" s="97"/>
      <c r="I7" s="101"/>
    </row>
    <row r="8" spans="1:9" ht="12.75" customHeight="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105"/>
      <c r="I8" s="101"/>
    </row>
    <row r="9" spans="1:9" ht="3" customHeight="1" x14ac:dyDescent="0.2">
      <c r="A9" s="107"/>
      <c r="B9" s="367"/>
      <c r="C9" s="367"/>
      <c r="D9" s="367"/>
      <c r="E9" s="103"/>
      <c r="F9" s="108"/>
      <c r="G9" s="100"/>
      <c r="H9" s="109"/>
      <c r="I9" s="101"/>
    </row>
    <row r="10" spans="1:9" ht="12.75" customHeight="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105"/>
      <c r="I10" s="101"/>
    </row>
    <row r="11" spans="1:9" ht="3" customHeight="1" x14ac:dyDescent="0.2">
      <c r="A11" s="102"/>
      <c r="B11" s="368"/>
      <c r="C11" s="368"/>
      <c r="D11" s="368"/>
      <c r="E11" s="103"/>
      <c r="F11" s="98"/>
      <c r="G11" s="100"/>
      <c r="H11" s="100"/>
      <c r="I11" s="101"/>
    </row>
    <row r="12" spans="1:9" ht="12.75" customHeight="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105"/>
      <c r="I12" s="101"/>
    </row>
    <row r="13" spans="1:9" ht="3" customHeight="1" x14ac:dyDescent="0.2">
      <c r="A13" s="194"/>
      <c r="B13" s="195"/>
      <c r="C13" s="196"/>
      <c r="D13" s="196"/>
      <c r="E13" s="197"/>
      <c r="F13" s="198"/>
      <c r="G13" s="199"/>
      <c r="H13" s="195"/>
      <c r="I13" s="200"/>
    </row>
    <row r="14" spans="1:9" ht="12.75" customHeight="1" x14ac:dyDescent="0.2">
      <c r="A14" s="280"/>
      <c r="B14" s="280"/>
      <c r="C14" s="280"/>
      <c r="D14" s="280"/>
      <c r="E14" s="280"/>
      <c r="F14" s="280"/>
      <c r="G14" s="280"/>
      <c r="H14" s="280"/>
      <c r="I14" s="280"/>
    </row>
    <row r="15" spans="1:9" ht="12.75" customHeight="1" x14ac:dyDescent="0.2">
      <c r="A15" s="137" t="s">
        <v>107</v>
      </c>
      <c r="B15" s="117" t="s">
        <v>23</v>
      </c>
      <c r="C15" s="117" t="s">
        <v>5</v>
      </c>
      <c r="D15" s="117" t="s">
        <v>108</v>
      </c>
      <c r="E15" s="117" t="s">
        <v>109</v>
      </c>
      <c r="F15" s="117" t="s">
        <v>110</v>
      </c>
      <c r="G15" s="117" t="s">
        <v>111</v>
      </c>
      <c r="H15" s="118" t="s">
        <v>112</v>
      </c>
      <c r="I15" s="119" t="s">
        <v>11</v>
      </c>
    </row>
    <row r="16" spans="1:9" ht="12.75" customHeight="1" x14ac:dyDescent="0.2">
      <c r="A16" s="513" t="s">
        <v>113</v>
      </c>
      <c r="B16" s="122" t="s">
        <v>25</v>
      </c>
      <c r="C16" s="120">
        <f>SUM(D16:H16)</f>
        <v>0</v>
      </c>
      <c r="D16" s="120">
        <f>ZOONOSIS!E381</f>
        <v>0</v>
      </c>
      <c r="E16" s="120">
        <f>ZOONOSIS!F381</f>
        <v>0</v>
      </c>
      <c r="F16" s="120">
        <f>ZOONOSIS!G381</f>
        <v>0</v>
      </c>
      <c r="G16" s="120">
        <f>ZOONOSIS!H381</f>
        <v>0</v>
      </c>
      <c r="H16" s="120">
        <f>ZOONOSIS!I381</f>
        <v>0</v>
      </c>
      <c r="I16" s="120">
        <f>ZOONOSIS!J381</f>
        <v>0</v>
      </c>
    </row>
    <row r="17" spans="1:9" ht="12.75" customHeight="1" x14ac:dyDescent="0.2">
      <c r="A17" s="513"/>
      <c r="B17" s="122" t="s">
        <v>26</v>
      </c>
      <c r="C17" s="120">
        <f>SUM(D17:H17)</f>
        <v>0</v>
      </c>
      <c r="D17" s="123">
        <f>ZOONOSIS!E382</f>
        <v>0</v>
      </c>
      <c r="E17" s="123">
        <f>ZOONOSIS!F382</f>
        <v>0</v>
      </c>
      <c r="F17" s="123">
        <f>ZOONOSIS!G382</f>
        <v>0</v>
      </c>
      <c r="G17" s="123">
        <f>ZOONOSIS!H382</f>
        <v>0</v>
      </c>
      <c r="H17" s="124">
        <f>ZOONOSIS!I382</f>
        <v>0</v>
      </c>
      <c r="I17" s="125">
        <f>ZOONOSIS!J382</f>
        <v>0</v>
      </c>
    </row>
    <row r="18" spans="1:9" ht="12.75" customHeight="1" x14ac:dyDescent="0.2">
      <c r="A18" s="513"/>
      <c r="B18" s="122" t="s">
        <v>27</v>
      </c>
      <c r="C18" s="120">
        <f>SUM(D18:H18)</f>
        <v>0</v>
      </c>
      <c r="D18" s="123">
        <f>ZOONOSIS!E383</f>
        <v>0</v>
      </c>
      <c r="E18" s="123">
        <f>ZOONOSIS!F383</f>
        <v>0</v>
      </c>
      <c r="F18" s="123">
        <f>ZOONOSIS!G383</f>
        <v>0</v>
      </c>
      <c r="G18" s="123">
        <f>ZOONOSIS!H383</f>
        <v>0</v>
      </c>
      <c r="H18" s="124">
        <f>ZOONOSIS!I383</f>
        <v>0</v>
      </c>
      <c r="I18" s="126">
        <f>ZOONOSIS!J383</f>
        <v>0</v>
      </c>
    </row>
    <row r="19" spans="1:9" ht="12.75" customHeight="1" x14ac:dyDescent="0.2">
      <c r="A19" s="281"/>
      <c r="B19" s="136"/>
      <c r="C19" s="163"/>
      <c r="D19" s="163"/>
      <c r="E19" s="163"/>
      <c r="F19" s="163"/>
      <c r="G19" s="164"/>
      <c r="H19" s="163"/>
      <c r="I19" s="163"/>
    </row>
    <row r="20" spans="1:9" ht="12.75" customHeight="1" x14ac:dyDescent="0.2">
      <c r="A20" s="137" t="s">
        <v>114</v>
      </c>
      <c r="B20" s="117" t="s">
        <v>23</v>
      </c>
      <c r="C20" s="117" t="s">
        <v>5</v>
      </c>
      <c r="D20" s="117" t="s">
        <v>108</v>
      </c>
      <c r="E20" s="117" t="s">
        <v>109</v>
      </c>
      <c r="F20" s="117" t="s">
        <v>110</v>
      </c>
      <c r="G20" s="117" t="s">
        <v>111</v>
      </c>
      <c r="H20" s="118" t="s">
        <v>112</v>
      </c>
      <c r="I20" s="119" t="s">
        <v>11</v>
      </c>
    </row>
    <row r="21" spans="1:9" ht="12.75" customHeight="1" x14ac:dyDescent="0.2">
      <c r="A21" s="514" t="s">
        <v>115</v>
      </c>
      <c r="B21" s="122" t="s">
        <v>25</v>
      </c>
      <c r="C21" s="120">
        <f t="shared" ref="C21:C26" si="0">SUM(D21:H21)</f>
        <v>0</v>
      </c>
      <c r="D21" s="120">
        <f>ZOONOSIS!E385</f>
        <v>0</v>
      </c>
      <c r="E21" s="120">
        <f>ZOONOSIS!F385</f>
        <v>0</v>
      </c>
      <c r="F21" s="120">
        <f>ZOONOSIS!G385</f>
        <v>0</v>
      </c>
      <c r="G21" s="120">
        <f>ZOONOSIS!H385</f>
        <v>0</v>
      </c>
      <c r="H21" s="120">
        <f>ZOONOSIS!I385</f>
        <v>0</v>
      </c>
      <c r="I21" s="120">
        <f>ZOONOSIS!J385</f>
        <v>0</v>
      </c>
    </row>
    <row r="22" spans="1:9" ht="12.75" customHeight="1" x14ac:dyDescent="0.2">
      <c r="A22" s="514"/>
      <c r="B22" s="122" t="s">
        <v>26</v>
      </c>
      <c r="C22" s="120">
        <f t="shared" si="0"/>
        <v>0</v>
      </c>
      <c r="D22" s="123">
        <f>ZOONOSIS!E386</f>
        <v>0</v>
      </c>
      <c r="E22" s="123">
        <f>ZOONOSIS!F386</f>
        <v>0</v>
      </c>
      <c r="F22" s="123">
        <f>ZOONOSIS!G386</f>
        <v>0</v>
      </c>
      <c r="G22" s="123">
        <f>ZOONOSIS!H386</f>
        <v>0</v>
      </c>
      <c r="H22" s="124">
        <f>ZOONOSIS!I386</f>
        <v>0</v>
      </c>
      <c r="I22" s="125">
        <f>ZOONOSIS!J386</f>
        <v>0</v>
      </c>
    </row>
    <row r="23" spans="1:9" ht="12.75" customHeight="1" x14ac:dyDescent="0.2">
      <c r="A23" s="514"/>
      <c r="B23" s="122" t="s">
        <v>27</v>
      </c>
      <c r="C23" s="120">
        <f t="shared" si="0"/>
        <v>0</v>
      </c>
      <c r="D23" s="123">
        <f>ZOONOSIS!E387</f>
        <v>0</v>
      </c>
      <c r="E23" s="123">
        <f>ZOONOSIS!F387</f>
        <v>0</v>
      </c>
      <c r="F23" s="123">
        <f>ZOONOSIS!G387</f>
        <v>0</v>
      </c>
      <c r="G23" s="123">
        <f>ZOONOSIS!H387</f>
        <v>0</v>
      </c>
      <c r="H23" s="124">
        <f>ZOONOSIS!I387</f>
        <v>0</v>
      </c>
      <c r="I23" s="126">
        <f>ZOONOSIS!J387</f>
        <v>0</v>
      </c>
    </row>
    <row r="24" spans="1:9" ht="12.75" customHeight="1" x14ac:dyDescent="0.2">
      <c r="A24" s="503" t="s">
        <v>116</v>
      </c>
      <c r="B24" s="122" t="s">
        <v>25</v>
      </c>
      <c r="C24" s="120">
        <f t="shared" si="0"/>
        <v>0</v>
      </c>
      <c r="D24" s="120">
        <f>ZOONOSIS!E388</f>
        <v>0</v>
      </c>
      <c r="E24" s="120">
        <f>ZOONOSIS!F388</f>
        <v>0</v>
      </c>
      <c r="F24" s="120">
        <f>ZOONOSIS!G388</f>
        <v>0</v>
      </c>
      <c r="G24" s="120">
        <f>ZOONOSIS!H388</f>
        <v>0</v>
      </c>
      <c r="H24" s="120">
        <f>ZOONOSIS!I388</f>
        <v>0</v>
      </c>
      <c r="I24" s="120">
        <f>ZOONOSIS!J388</f>
        <v>0</v>
      </c>
    </row>
    <row r="25" spans="1:9" ht="12.75" customHeight="1" x14ac:dyDescent="0.2">
      <c r="A25" s="503"/>
      <c r="B25" s="122" t="s">
        <v>26</v>
      </c>
      <c r="C25" s="120">
        <f t="shared" si="0"/>
        <v>0</v>
      </c>
      <c r="D25" s="123">
        <f>ZOONOSIS!E389</f>
        <v>0</v>
      </c>
      <c r="E25" s="123">
        <f>ZOONOSIS!F389</f>
        <v>0</v>
      </c>
      <c r="F25" s="123">
        <f>ZOONOSIS!G389</f>
        <v>0</v>
      </c>
      <c r="G25" s="123">
        <f>ZOONOSIS!H389</f>
        <v>0</v>
      </c>
      <c r="H25" s="124">
        <f>ZOONOSIS!I389</f>
        <v>0</v>
      </c>
      <c r="I25" s="125">
        <f>ZOONOSIS!J389</f>
        <v>0</v>
      </c>
    </row>
    <row r="26" spans="1:9" ht="12.75" customHeight="1" x14ac:dyDescent="0.2">
      <c r="A26" s="503"/>
      <c r="B26" s="122" t="s">
        <v>27</v>
      </c>
      <c r="C26" s="120">
        <f t="shared" si="0"/>
        <v>0</v>
      </c>
      <c r="D26" s="123">
        <f>ZOONOSIS!E390</f>
        <v>0</v>
      </c>
      <c r="E26" s="123">
        <f>ZOONOSIS!F390</f>
        <v>0</v>
      </c>
      <c r="F26" s="123">
        <f>ZOONOSIS!G390</f>
        <v>0</v>
      </c>
      <c r="G26" s="123">
        <f>ZOONOSIS!H390</f>
        <v>0</v>
      </c>
      <c r="H26" s="124">
        <f>ZOONOSIS!I390</f>
        <v>0</v>
      </c>
      <c r="I26" s="126">
        <f>ZOONOSIS!J390</f>
        <v>0</v>
      </c>
    </row>
    <row r="27" spans="1:9" ht="12.75" customHeight="1" x14ac:dyDescent="0.2">
      <c r="A27" s="282"/>
      <c r="B27" s="136"/>
      <c r="C27" s="163"/>
      <c r="D27" s="163"/>
      <c r="E27" s="163"/>
      <c r="F27" s="163"/>
      <c r="G27" s="163"/>
      <c r="H27" s="163"/>
      <c r="I27" s="163"/>
    </row>
    <row r="28" spans="1:9" ht="12.75" customHeight="1" x14ac:dyDescent="0.2">
      <c r="A28" s="137" t="s">
        <v>117</v>
      </c>
      <c r="B28" s="117" t="s">
        <v>23</v>
      </c>
      <c r="C28" s="117" t="s">
        <v>5</v>
      </c>
      <c r="D28" s="117" t="s">
        <v>108</v>
      </c>
      <c r="E28" s="117" t="s">
        <v>109</v>
      </c>
      <c r="F28" s="117" t="s">
        <v>110</v>
      </c>
      <c r="G28" s="117" t="s">
        <v>111</v>
      </c>
      <c r="H28" s="118" t="s">
        <v>112</v>
      </c>
      <c r="I28" s="119" t="s">
        <v>11</v>
      </c>
    </row>
    <row r="29" spans="1:9" ht="12.75" customHeight="1" x14ac:dyDescent="0.2">
      <c r="A29" s="165" t="s">
        <v>118</v>
      </c>
      <c r="B29" s="159" t="s">
        <v>25</v>
      </c>
      <c r="C29" s="120">
        <f>SUM(D29:H29)</f>
        <v>0</v>
      </c>
      <c r="D29" s="120">
        <f>ZOONOSIS!E392</f>
        <v>0</v>
      </c>
      <c r="E29" s="120">
        <f>ZOONOSIS!F392</f>
        <v>0</v>
      </c>
      <c r="F29" s="120">
        <f>ZOONOSIS!G392</f>
        <v>0</v>
      </c>
      <c r="G29" s="120">
        <f>ZOONOSIS!H392</f>
        <v>0</v>
      </c>
      <c r="H29" s="120">
        <f>ZOONOSIS!I392</f>
        <v>0</v>
      </c>
      <c r="I29" s="120">
        <f>ZOONOSIS!J392</f>
        <v>0</v>
      </c>
    </row>
    <row r="30" spans="1:9" ht="12.75" customHeight="1" x14ac:dyDescent="0.2">
      <c r="A30" s="130"/>
      <c r="B30" s="160" t="s">
        <v>26</v>
      </c>
      <c r="C30" s="120">
        <f>SUM(D30:H30)</f>
        <v>0</v>
      </c>
      <c r="D30" s="123">
        <f>ZOONOSIS!E393</f>
        <v>0</v>
      </c>
      <c r="E30" s="123">
        <f>ZOONOSIS!F393</f>
        <v>0</v>
      </c>
      <c r="F30" s="123">
        <f>ZOONOSIS!G393</f>
        <v>0</v>
      </c>
      <c r="G30" s="123">
        <f>ZOONOSIS!H393</f>
        <v>0</v>
      </c>
      <c r="H30" s="124">
        <f>ZOONOSIS!I393</f>
        <v>0</v>
      </c>
      <c r="I30" s="125">
        <f>ZOONOSIS!J393</f>
        <v>0</v>
      </c>
    </row>
    <row r="31" spans="1:9" ht="12.75" customHeight="1" x14ac:dyDescent="0.2">
      <c r="A31" s="166"/>
      <c r="B31" s="167" t="s">
        <v>27</v>
      </c>
      <c r="C31" s="120">
        <f>SUM(D31:H31)</f>
        <v>0</v>
      </c>
      <c r="D31" s="123">
        <f>ZOONOSIS!E394</f>
        <v>0</v>
      </c>
      <c r="E31" s="123">
        <f>ZOONOSIS!F394</f>
        <v>0</v>
      </c>
      <c r="F31" s="123">
        <f>ZOONOSIS!G394</f>
        <v>0</v>
      </c>
      <c r="G31" s="123">
        <f>ZOONOSIS!H394</f>
        <v>0</v>
      </c>
      <c r="H31" s="124">
        <f>ZOONOSIS!I394</f>
        <v>0</v>
      </c>
      <c r="I31" s="126">
        <f>ZOONOSIS!J394</f>
        <v>0</v>
      </c>
    </row>
    <row r="33" spans="1:9" ht="12.75" customHeight="1" x14ac:dyDescent="0.2">
      <c r="A33" s="138" t="s">
        <v>167</v>
      </c>
      <c r="B33" s="119" t="s">
        <v>23</v>
      </c>
      <c r="C33" s="137" t="s">
        <v>5</v>
      </c>
      <c r="D33" s="137" t="s">
        <v>108</v>
      </c>
      <c r="E33" s="137" t="s">
        <v>109</v>
      </c>
      <c r="F33" s="137" t="s">
        <v>110</v>
      </c>
      <c r="G33" s="137" t="s">
        <v>111</v>
      </c>
      <c r="H33" s="182" t="s">
        <v>112</v>
      </c>
      <c r="I33" s="183" t="s">
        <v>11</v>
      </c>
    </row>
    <row r="34" spans="1:9" ht="12.75" customHeight="1" x14ac:dyDescent="0.2">
      <c r="A34" s="184" t="s">
        <v>217</v>
      </c>
      <c r="B34" s="185" t="s">
        <v>25</v>
      </c>
      <c r="C34" s="120">
        <f>SUM(D34:H34)</f>
        <v>0</v>
      </c>
      <c r="D34" s="120">
        <f t="shared" ref="D34:I34" si="1">SUM(D35:D36)</f>
        <v>0</v>
      </c>
      <c r="E34" s="120">
        <f t="shared" si="1"/>
        <v>0</v>
      </c>
      <c r="F34" s="120">
        <f t="shared" si="1"/>
        <v>0</v>
      </c>
      <c r="G34" s="120">
        <f t="shared" si="1"/>
        <v>0</v>
      </c>
      <c r="H34" s="120">
        <f t="shared" si="1"/>
        <v>0</v>
      </c>
      <c r="I34" s="120">
        <f t="shared" si="1"/>
        <v>0</v>
      </c>
    </row>
    <row r="35" spans="1:9" ht="12.75" customHeight="1" x14ac:dyDescent="0.2">
      <c r="A35" s="186"/>
      <c r="B35" s="185" t="s">
        <v>26</v>
      </c>
      <c r="C35" s="120">
        <f>SUM(D35:H35)</f>
        <v>0</v>
      </c>
      <c r="D35" s="123">
        <v>0</v>
      </c>
      <c r="E35" s="123">
        <v>0</v>
      </c>
      <c r="F35" s="123">
        <v>0</v>
      </c>
      <c r="G35" s="123">
        <v>0</v>
      </c>
      <c r="H35" s="124">
        <v>0</v>
      </c>
      <c r="I35" s="125">
        <v>0</v>
      </c>
    </row>
    <row r="36" spans="1:9" ht="12.75" customHeight="1" x14ac:dyDescent="0.2">
      <c r="A36" s="187"/>
      <c r="B36" s="185" t="s">
        <v>27</v>
      </c>
      <c r="C36" s="120">
        <f>SUM(D36:H36)</f>
        <v>0</v>
      </c>
      <c r="D36" s="123">
        <v>0</v>
      </c>
      <c r="E36" s="123">
        <v>0</v>
      </c>
      <c r="F36" s="123">
        <v>0</v>
      </c>
      <c r="G36" s="123">
        <v>0</v>
      </c>
      <c r="H36" s="124">
        <v>0</v>
      </c>
      <c r="I36" s="126">
        <v>0</v>
      </c>
    </row>
  </sheetData>
  <sheetProtection selectLockedCells="1" selectUnlockedCells="1"/>
  <mergeCells count="6">
    <mergeCell ref="A24:A26"/>
    <mergeCell ref="A4:I4"/>
    <mergeCell ref="B6:D6"/>
    <mergeCell ref="B8:D8"/>
    <mergeCell ref="A16:A18"/>
    <mergeCell ref="A21:A23"/>
  </mergeCells>
  <pageMargins left="0.7" right="0.7" top="0.75" bottom="0.75" header="0.51180555555555551" footer="0.51180555555555551"/>
  <pageSetup paperSize="9" scale="74" firstPageNumber="0" orientation="portrait" horizontalDpi="300" verticalDpi="300"/>
  <headerFooter alignWithMargins="0"/>
  <colBreaks count="1" manualBreakCount="1">
    <brk id="9" max="1048575" man="1"/>
  </col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64"/>
  <sheetViews>
    <sheetView showGridLines="0" zoomScaleSheetLayoutView="75" workbookViewId="0">
      <selection activeCell="C17" sqref="C17"/>
    </sheetView>
  </sheetViews>
  <sheetFormatPr baseColWidth="10" defaultRowHeight="12.75" x14ac:dyDescent="0.2"/>
  <cols>
    <col min="1" max="1" width="46" style="87" customWidth="1"/>
    <col min="2" max="6" width="9.42578125" customWidth="1"/>
    <col min="7" max="7" width="8.42578125" customWidth="1"/>
    <col min="9" max="9" width="6.5703125" style="112" customWidth="1"/>
  </cols>
  <sheetData>
    <row r="1" spans="1:11" x14ac:dyDescent="0.2">
      <c r="A1" s="88"/>
      <c r="B1" s="89"/>
      <c r="C1" s="89"/>
      <c r="D1" s="89"/>
      <c r="E1" s="90"/>
      <c r="F1" s="90"/>
      <c r="G1" s="90"/>
      <c r="H1" s="91"/>
      <c r="I1" s="94"/>
    </row>
    <row r="2" spans="1:11" x14ac:dyDescent="0.2">
      <c r="A2" s="92"/>
      <c r="B2" s="93"/>
      <c r="C2" s="93"/>
      <c r="D2" s="93"/>
      <c r="E2" s="94"/>
      <c r="F2" s="94"/>
      <c r="G2" s="94"/>
      <c r="H2" s="95"/>
      <c r="I2" s="94"/>
    </row>
    <row r="3" spans="1:11" x14ac:dyDescent="0.2">
      <c r="A3" s="92"/>
      <c r="B3" s="93"/>
      <c r="C3" s="93"/>
      <c r="D3" s="93"/>
      <c r="E3" s="94"/>
      <c r="F3" s="94"/>
      <c r="G3" s="94"/>
      <c r="H3" s="95"/>
      <c r="I3" s="94"/>
    </row>
    <row r="4" spans="1:11" ht="14.25" x14ac:dyDescent="0.2">
      <c r="A4" s="506" t="s">
        <v>274</v>
      </c>
      <c r="B4" s="506"/>
      <c r="C4" s="506"/>
      <c r="D4" s="506"/>
      <c r="E4" s="506"/>
      <c r="F4" s="506"/>
      <c r="G4" s="506"/>
      <c r="H4" s="506"/>
      <c r="I4" s="283"/>
    </row>
    <row r="5" spans="1:11" s="87" customFormat="1" ht="15.75" x14ac:dyDescent="0.25">
      <c r="A5" s="96"/>
      <c r="B5" s="97"/>
      <c r="C5" s="97"/>
      <c r="D5" s="98"/>
      <c r="E5" s="98"/>
      <c r="F5" s="99"/>
      <c r="G5" s="100"/>
      <c r="H5" s="284"/>
      <c r="I5" s="103"/>
    </row>
    <row r="6" spans="1:11" s="87" customFormat="1" x14ac:dyDescent="0.2">
      <c r="A6" s="102" t="s">
        <v>159</v>
      </c>
      <c r="B6" s="500" t="str">
        <f>ZOONOSIS!B1</f>
        <v>DIRESA HUANCAVELICA - OFICINA DE INFORMATICA, TELECOMUNICACIONES Y ESTADISTICA</v>
      </c>
      <c r="C6" s="500"/>
      <c r="D6" s="500"/>
      <c r="E6" s="103"/>
      <c r="F6" s="104" t="s">
        <v>160</v>
      </c>
      <c r="G6" s="100"/>
      <c r="H6" s="285"/>
      <c r="I6" s="103"/>
    </row>
    <row r="7" spans="1:11" s="87" customFormat="1" ht="3" customHeight="1" x14ac:dyDescent="0.25">
      <c r="A7" s="102"/>
      <c r="B7" s="106"/>
      <c r="C7" s="106"/>
      <c r="D7" s="106"/>
      <c r="E7" s="103"/>
      <c r="F7" s="97"/>
      <c r="G7" s="100"/>
      <c r="H7" s="284"/>
      <c r="I7" s="103"/>
    </row>
    <row r="8" spans="1:11" x14ac:dyDescent="0.2">
      <c r="A8" s="102" t="s">
        <v>161</v>
      </c>
      <c r="B8" s="501" t="str">
        <f>ZOONOSIS!B2</f>
        <v>NIVEL:</v>
      </c>
      <c r="C8" s="501"/>
      <c r="D8" s="501"/>
      <c r="E8" s="103"/>
      <c r="F8" s="104" t="s">
        <v>162</v>
      </c>
      <c r="G8" s="100"/>
      <c r="H8" s="285"/>
      <c r="I8" s="103"/>
    </row>
    <row r="9" spans="1:11" ht="3" customHeight="1" x14ac:dyDescent="0.2">
      <c r="A9" s="107"/>
      <c r="B9" s="367"/>
      <c r="C9" s="367"/>
      <c r="D9" s="367"/>
      <c r="E9" s="103"/>
      <c r="F9" s="108"/>
      <c r="G9" s="100"/>
      <c r="H9" s="286"/>
      <c r="I9" s="103"/>
      <c r="J9" s="287"/>
    </row>
    <row r="10" spans="1:11" x14ac:dyDescent="0.2">
      <c r="A10" s="102" t="s">
        <v>163</v>
      </c>
      <c r="B10" s="372" t="str">
        <f>ZOONOSIS!B3</f>
        <v>DESDE:</v>
      </c>
      <c r="C10" s="372"/>
      <c r="D10" s="373" t="str">
        <f>ZOONOSIS!B4</f>
        <v>HASTA:</v>
      </c>
      <c r="E10" s="103"/>
      <c r="F10" s="110" t="s">
        <v>164</v>
      </c>
      <c r="G10" s="100"/>
      <c r="H10" s="285"/>
      <c r="I10" s="103"/>
      <c r="J10" s="287"/>
    </row>
    <row r="11" spans="1:11" ht="3" customHeight="1" x14ac:dyDescent="0.2">
      <c r="A11" s="102"/>
      <c r="B11" s="368"/>
      <c r="C11" s="368"/>
      <c r="D11" s="368"/>
      <c r="E11" s="103"/>
      <c r="F11" s="98"/>
      <c r="G11" s="100"/>
      <c r="H11" s="288"/>
      <c r="I11" s="103"/>
      <c r="J11" s="287"/>
    </row>
    <row r="12" spans="1:11" x14ac:dyDescent="0.2">
      <c r="A12" s="111" t="s">
        <v>165</v>
      </c>
      <c r="B12" s="369"/>
      <c r="C12" s="370"/>
      <c r="D12" s="371"/>
      <c r="E12" s="103"/>
      <c r="F12" s="104" t="s">
        <v>166</v>
      </c>
      <c r="G12" s="112"/>
      <c r="H12" s="285"/>
      <c r="I12" s="103"/>
      <c r="J12" s="287"/>
    </row>
    <row r="13" spans="1:11" ht="3" customHeight="1" x14ac:dyDescent="0.2">
      <c r="A13" s="194"/>
      <c r="B13" s="195"/>
      <c r="C13" s="196"/>
      <c r="D13" s="196"/>
      <c r="E13" s="197"/>
      <c r="F13" s="198"/>
      <c r="G13" s="199"/>
      <c r="H13" s="289"/>
      <c r="I13" s="290"/>
      <c r="J13" s="287"/>
    </row>
    <row r="14" spans="1:11" s="87" customFormat="1" x14ac:dyDescent="0.2">
      <c r="A14" s="291"/>
      <c r="B14" s="292"/>
      <c r="C14" s="292"/>
      <c r="D14" s="292"/>
      <c r="E14" s="292"/>
      <c r="F14" s="292"/>
      <c r="G14" s="292"/>
      <c r="H14" s="293"/>
      <c r="I14" s="112"/>
      <c r="J14" s="103"/>
      <c r="K14" s="103"/>
    </row>
    <row r="15" spans="1:11" s="87" customFormat="1" x14ac:dyDescent="0.2">
      <c r="A15" s="294" t="s">
        <v>275</v>
      </c>
      <c r="B15" s="117" t="s">
        <v>5</v>
      </c>
      <c r="C15" s="117" t="s">
        <v>108</v>
      </c>
      <c r="D15" s="117" t="s">
        <v>109</v>
      </c>
      <c r="E15" s="117" t="s">
        <v>110</v>
      </c>
      <c r="F15" s="117" t="s">
        <v>111</v>
      </c>
      <c r="G15" s="117" t="s">
        <v>112</v>
      </c>
      <c r="H15" s="207"/>
      <c r="I15" s="131"/>
      <c r="J15" s="103"/>
    </row>
    <row r="16" spans="1:11" s="87" customFormat="1" hidden="1" x14ac:dyDescent="0.2">
      <c r="A16" s="295" t="s">
        <v>194</v>
      </c>
      <c r="B16" s="296" t="s">
        <v>5</v>
      </c>
      <c r="C16" s="296" t="s">
        <v>276</v>
      </c>
      <c r="D16" s="297" t="s">
        <v>208</v>
      </c>
      <c r="E16" s="296" t="s">
        <v>277</v>
      </c>
      <c r="F16" s="297" t="s">
        <v>278</v>
      </c>
      <c r="G16" s="296" t="s">
        <v>279</v>
      </c>
      <c r="H16" s="298"/>
      <c r="I16" s="98"/>
    </row>
    <row r="17" spans="1:256" s="169" customFormat="1" x14ac:dyDescent="0.2">
      <c r="A17" s="190" t="s">
        <v>120</v>
      </c>
      <c r="B17" s="120">
        <f t="shared" ref="B17:B25" si="0">SUM(C17:G17)</f>
        <v>0</v>
      </c>
      <c r="C17" s="123">
        <f>ZOONOSIS!D400</f>
        <v>0</v>
      </c>
      <c r="D17" s="123">
        <f>ZOONOSIS!E400</f>
        <v>0</v>
      </c>
      <c r="E17" s="123">
        <f>ZOONOSIS!F400</f>
        <v>0</v>
      </c>
      <c r="F17" s="123">
        <f>ZOONOSIS!G400</f>
        <v>0</v>
      </c>
      <c r="G17" s="123">
        <f>ZOONOSIS!H400</f>
        <v>0</v>
      </c>
      <c r="H17" s="207"/>
      <c r="I17" s="98"/>
    </row>
    <row r="18" spans="1:256" s="169" customFormat="1" x14ac:dyDescent="0.2">
      <c r="A18" s="299" t="s">
        <v>121</v>
      </c>
      <c r="B18" s="120">
        <f t="shared" si="0"/>
        <v>0</v>
      </c>
      <c r="C18" s="123">
        <f>ZOONOSIS!D401</f>
        <v>0</v>
      </c>
      <c r="D18" s="123">
        <f>ZOONOSIS!E401</f>
        <v>0</v>
      </c>
      <c r="E18" s="123">
        <f>ZOONOSIS!F401</f>
        <v>0</v>
      </c>
      <c r="F18" s="123">
        <f>ZOONOSIS!G401</f>
        <v>0</v>
      </c>
      <c r="G18" s="123">
        <f>ZOONOSIS!H401</f>
        <v>0</v>
      </c>
      <c r="H18" s="207"/>
      <c r="I18" s="98"/>
    </row>
    <row r="19" spans="1:256" s="203" customFormat="1" x14ac:dyDescent="0.2">
      <c r="A19" s="299" t="s">
        <v>122</v>
      </c>
      <c r="B19" s="120">
        <f t="shared" si="0"/>
        <v>0</v>
      </c>
      <c r="C19" s="123">
        <f>ZOONOSIS!D402</f>
        <v>0</v>
      </c>
      <c r="D19" s="123">
        <f>ZOONOSIS!E402</f>
        <v>0</v>
      </c>
      <c r="E19" s="123">
        <f>ZOONOSIS!F402</f>
        <v>0</v>
      </c>
      <c r="F19" s="123">
        <f>ZOONOSIS!G402</f>
        <v>0</v>
      </c>
      <c r="G19" s="123">
        <f>ZOONOSIS!H402</f>
        <v>0</v>
      </c>
      <c r="H19" s="207"/>
      <c r="I19" s="98"/>
      <c r="IT19" s="169"/>
      <c r="IU19" s="169"/>
      <c r="IV19" s="169"/>
    </row>
    <row r="20" spans="1:256" x14ac:dyDescent="0.2">
      <c r="A20" s="299" t="s">
        <v>123</v>
      </c>
      <c r="B20" s="120">
        <f t="shared" si="0"/>
        <v>0</v>
      </c>
      <c r="C20" s="123">
        <f>ZOONOSIS!D403</f>
        <v>0</v>
      </c>
      <c r="D20" s="123">
        <f>ZOONOSIS!E403</f>
        <v>0</v>
      </c>
      <c r="E20" s="123">
        <f>ZOONOSIS!F403</f>
        <v>0</v>
      </c>
      <c r="F20" s="123">
        <f>ZOONOSIS!G403</f>
        <v>0</v>
      </c>
      <c r="G20" s="123">
        <f>ZOONOSIS!H403</f>
        <v>0</v>
      </c>
      <c r="H20" s="207"/>
      <c r="I20" s="98"/>
    </row>
    <row r="21" spans="1:256" s="300" customFormat="1" x14ac:dyDescent="0.2">
      <c r="A21" s="299" t="s">
        <v>124</v>
      </c>
      <c r="B21" s="120">
        <f t="shared" si="0"/>
        <v>0</v>
      </c>
      <c r="C21" s="123">
        <f>ZOONOSIS!D404</f>
        <v>0</v>
      </c>
      <c r="D21" s="123">
        <f>ZOONOSIS!E404</f>
        <v>0</v>
      </c>
      <c r="E21" s="123">
        <f>ZOONOSIS!F404</f>
        <v>0</v>
      </c>
      <c r="F21" s="123">
        <f>ZOONOSIS!G404</f>
        <v>0</v>
      </c>
      <c r="G21" s="123">
        <f>ZOONOSIS!H404</f>
        <v>0</v>
      </c>
      <c r="H21" s="207"/>
      <c r="I21" s="98"/>
    </row>
    <row r="22" spans="1:256" s="300" customFormat="1" ht="14.25" customHeight="1" x14ac:dyDescent="0.2">
      <c r="A22" s="299" t="s">
        <v>125</v>
      </c>
      <c r="B22" s="120">
        <f t="shared" si="0"/>
        <v>0</v>
      </c>
      <c r="C22" s="123">
        <f>ZOONOSIS!D405</f>
        <v>0</v>
      </c>
      <c r="D22" s="123">
        <f>ZOONOSIS!E405</f>
        <v>0</v>
      </c>
      <c r="E22" s="123">
        <f>ZOONOSIS!F405</f>
        <v>0</v>
      </c>
      <c r="F22" s="123">
        <f>ZOONOSIS!G405</f>
        <v>0</v>
      </c>
      <c r="G22" s="123">
        <f>ZOONOSIS!H405</f>
        <v>0</v>
      </c>
      <c r="H22" s="207"/>
      <c r="I22" s="98"/>
    </row>
    <row r="23" spans="1:256" s="300" customFormat="1" ht="14.25" customHeight="1" x14ac:dyDescent="0.2">
      <c r="A23" s="299" t="s">
        <v>126</v>
      </c>
      <c r="B23" s="120">
        <f t="shared" si="0"/>
        <v>0</v>
      </c>
      <c r="C23" s="123">
        <f>ZOONOSIS!D406</f>
        <v>0</v>
      </c>
      <c r="D23" s="123">
        <f>ZOONOSIS!E406</f>
        <v>0</v>
      </c>
      <c r="E23" s="123">
        <f>ZOONOSIS!F406</f>
        <v>0</v>
      </c>
      <c r="F23" s="123">
        <f>ZOONOSIS!G406</f>
        <v>0</v>
      </c>
      <c r="G23" s="123">
        <f>ZOONOSIS!H406</f>
        <v>0</v>
      </c>
      <c r="H23" s="207"/>
      <c r="I23" s="98"/>
    </row>
    <row r="24" spans="1:256" s="300" customFormat="1" x14ac:dyDescent="0.2">
      <c r="A24" s="301" t="s">
        <v>127</v>
      </c>
      <c r="B24" s="120">
        <f t="shared" si="0"/>
        <v>0</v>
      </c>
      <c r="C24" s="123">
        <f>ZOONOSIS!D407</f>
        <v>0</v>
      </c>
      <c r="D24" s="123">
        <f>ZOONOSIS!E407</f>
        <v>0</v>
      </c>
      <c r="E24" s="123">
        <f>ZOONOSIS!F407</f>
        <v>0</v>
      </c>
      <c r="F24" s="123">
        <f>ZOONOSIS!G407</f>
        <v>0</v>
      </c>
      <c r="G24" s="123">
        <f>ZOONOSIS!H407</f>
        <v>0</v>
      </c>
      <c r="H24" s="302"/>
      <c r="I24" s="278"/>
    </row>
    <row r="25" spans="1:256" s="300" customFormat="1" x14ac:dyDescent="0.2">
      <c r="A25" s="301" t="s">
        <v>128</v>
      </c>
      <c r="B25" s="120">
        <f t="shared" si="0"/>
        <v>0</v>
      </c>
      <c r="C25" s="123">
        <f>ZOONOSIS!D408</f>
        <v>0</v>
      </c>
      <c r="D25" s="123">
        <f>ZOONOSIS!E408</f>
        <v>0</v>
      </c>
      <c r="E25" s="123">
        <f>ZOONOSIS!F408</f>
        <v>0</v>
      </c>
      <c r="F25" s="123">
        <f>ZOONOSIS!G408</f>
        <v>0</v>
      </c>
      <c r="G25" s="123">
        <f>ZOONOSIS!H408</f>
        <v>0</v>
      </c>
      <c r="H25" s="302"/>
      <c r="I25" s="278"/>
    </row>
    <row r="26" spans="1:256" s="300" customFormat="1" x14ac:dyDescent="0.2">
      <c r="A26" s="193"/>
      <c r="B26" s="112"/>
      <c r="C26" s="112"/>
      <c r="D26" s="112"/>
      <c r="E26" s="112"/>
      <c r="F26" s="112"/>
      <c r="G26" s="112"/>
      <c r="H26" s="303"/>
      <c r="I26" s="112"/>
    </row>
    <row r="27" spans="1:256" s="300" customFormat="1" x14ac:dyDescent="0.2">
      <c r="A27" s="304" t="s">
        <v>129</v>
      </c>
      <c r="B27" s="103"/>
      <c r="C27" s="103"/>
      <c r="D27" s="103"/>
      <c r="E27" s="103"/>
      <c r="F27" s="103"/>
      <c r="G27" s="103"/>
      <c r="H27" s="101"/>
      <c r="I27" s="103"/>
    </row>
    <row r="28" spans="1:256" s="300" customFormat="1" x14ac:dyDescent="0.2">
      <c r="A28" s="146" t="s">
        <v>16</v>
      </c>
      <c r="B28" s="305" t="s">
        <v>14</v>
      </c>
      <c r="C28" s="306"/>
      <c r="D28" s="131"/>
      <c r="E28" s="131"/>
      <c r="F28" s="131"/>
      <c r="G28" s="131"/>
      <c r="H28" s="298"/>
      <c r="I28" s="131"/>
    </row>
    <row r="29" spans="1:256" s="300" customFormat="1" x14ac:dyDescent="0.2">
      <c r="A29" s="307" t="s">
        <v>130</v>
      </c>
      <c r="B29" s="123">
        <f>ZOONOSIS!C412</f>
        <v>0</v>
      </c>
      <c r="C29" s="140"/>
      <c r="D29" s="140"/>
      <c r="E29" s="140"/>
      <c r="F29" s="140"/>
      <c r="G29" s="140"/>
      <c r="H29" s="308"/>
      <c r="I29" s="309"/>
    </row>
    <row r="30" spans="1:256" s="300" customFormat="1" x14ac:dyDescent="0.2">
      <c r="A30" s="301" t="s">
        <v>131</v>
      </c>
      <c r="B30" s="123">
        <f>ZOONOSIS!C413</f>
        <v>0</v>
      </c>
      <c r="C30" s="140"/>
      <c r="D30" s="140"/>
      <c r="E30" s="140"/>
      <c r="F30" s="140"/>
      <c r="G30" s="140"/>
      <c r="H30" s="308"/>
      <c r="I30" s="140"/>
    </row>
    <row r="31" spans="1:256" s="300" customFormat="1" x14ac:dyDescent="0.2">
      <c r="A31" s="193"/>
      <c r="B31" s="112"/>
      <c r="C31" s="112"/>
      <c r="D31" s="112"/>
      <c r="E31" s="112"/>
      <c r="F31" s="112"/>
      <c r="G31" s="112"/>
      <c r="H31" s="303"/>
      <c r="I31" s="139"/>
    </row>
    <row r="32" spans="1:256" s="300" customFormat="1" x14ac:dyDescent="0.2">
      <c r="A32" s="310" t="s">
        <v>132</v>
      </c>
      <c r="B32" s="309"/>
      <c r="C32" s="309"/>
      <c r="D32" s="309"/>
      <c r="E32" s="309"/>
      <c r="F32" s="309"/>
      <c r="G32" s="309"/>
      <c r="H32" s="311"/>
      <c r="I32" s="112"/>
    </row>
    <row r="33" spans="1:9" s="300" customFormat="1" x14ac:dyDescent="0.2">
      <c r="A33" s="312"/>
      <c r="B33" s="516" t="s">
        <v>134</v>
      </c>
      <c r="C33" s="516"/>
      <c r="D33" s="516" t="s">
        <v>135</v>
      </c>
      <c r="E33" s="516"/>
      <c r="F33" s="516" t="s">
        <v>136</v>
      </c>
      <c r="G33" s="516"/>
      <c r="H33" s="313" t="s">
        <v>137</v>
      </c>
      <c r="I33" s="309"/>
    </row>
    <row r="34" spans="1:9" s="300" customFormat="1" ht="12" customHeight="1" x14ac:dyDescent="0.2">
      <c r="A34" s="314" t="s">
        <v>133</v>
      </c>
      <c r="B34" s="515" t="s">
        <v>138</v>
      </c>
      <c r="C34" s="515"/>
      <c r="D34" s="515"/>
      <c r="E34" s="515"/>
      <c r="F34" s="316"/>
      <c r="G34" s="317"/>
      <c r="H34" s="318" t="s">
        <v>139</v>
      </c>
      <c r="I34" s="309"/>
    </row>
    <row r="35" spans="1:9" s="300" customFormat="1" x14ac:dyDescent="0.2">
      <c r="A35" s="314"/>
      <c r="B35" s="315" t="s">
        <v>14</v>
      </c>
      <c r="C35" s="319" t="s">
        <v>140</v>
      </c>
      <c r="D35" s="315" t="s">
        <v>14</v>
      </c>
      <c r="E35" s="319" t="s">
        <v>140</v>
      </c>
      <c r="F35" s="320" t="s">
        <v>14</v>
      </c>
      <c r="G35" s="137" t="s">
        <v>140</v>
      </c>
      <c r="H35" s="321" t="s">
        <v>14</v>
      </c>
      <c r="I35" s="309"/>
    </row>
    <row r="36" spans="1:9" s="300" customFormat="1" ht="12.75" customHeight="1" x14ac:dyDescent="0.2">
      <c r="A36" s="322" t="s">
        <v>13</v>
      </c>
      <c r="B36" s="120">
        <f>SUM(B37:B49)</f>
        <v>0</v>
      </c>
      <c r="C36" s="120">
        <f t="shared" ref="C36:H36" si="1">SUM(C37:C49)</f>
        <v>0</v>
      </c>
      <c r="D36" s="120">
        <f t="shared" si="1"/>
        <v>0</v>
      </c>
      <c r="E36" s="120">
        <f t="shared" si="1"/>
        <v>0</v>
      </c>
      <c r="F36" s="120">
        <f t="shared" si="1"/>
        <v>0</v>
      </c>
      <c r="G36" s="120">
        <f t="shared" si="1"/>
        <v>0</v>
      </c>
      <c r="H36" s="120">
        <f t="shared" si="1"/>
        <v>0</v>
      </c>
      <c r="I36" s="309"/>
    </row>
    <row r="37" spans="1:9" s="300" customFormat="1" ht="13.5" customHeight="1" x14ac:dyDescent="0.2">
      <c r="A37" s="299" t="s">
        <v>141</v>
      </c>
      <c r="B37" s="123">
        <f>ZOONOSIS!C420</f>
        <v>0</v>
      </c>
      <c r="C37" s="123">
        <f>ZOONOSIS!D420</f>
        <v>0</v>
      </c>
      <c r="D37" s="123">
        <f>ZOONOSIS!E420</f>
        <v>0</v>
      </c>
      <c r="E37" s="123">
        <f>ZOONOSIS!F420</f>
        <v>0</v>
      </c>
      <c r="F37" s="123">
        <f>ZOONOSIS!G420</f>
        <v>0</v>
      </c>
      <c r="G37" s="123">
        <f>ZOONOSIS!H420</f>
        <v>0</v>
      </c>
      <c r="H37" s="123">
        <f>ZOONOSIS!I420</f>
        <v>0</v>
      </c>
      <c r="I37" s="309"/>
    </row>
    <row r="38" spans="1:9" x14ac:dyDescent="0.2">
      <c r="A38" s="299" t="s">
        <v>142</v>
      </c>
      <c r="B38" s="123">
        <f>ZOONOSIS!C421</f>
        <v>0</v>
      </c>
      <c r="C38" s="123">
        <f>ZOONOSIS!D421</f>
        <v>0</v>
      </c>
      <c r="D38" s="123">
        <f>ZOONOSIS!E421</f>
        <v>0</v>
      </c>
      <c r="E38" s="123">
        <f>ZOONOSIS!F421</f>
        <v>0</v>
      </c>
      <c r="F38" s="123">
        <f>ZOONOSIS!G421</f>
        <v>0</v>
      </c>
      <c r="G38" s="123">
        <f>ZOONOSIS!H421</f>
        <v>0</v>
      </c>
      <c r="H38" s="123">
        <f>ZOONOSIS!I421</f>
        <v>0</v>
      </c>
      <c r="I38" s="309"/>
    </row>
    <row r="39" spans="1:9" x14ac:dyDescent="0.2">
      <c r="A39" s="299" t="s">
        <v>143</v>
      </c>
      <c r="B39" s="123">
        <f>ZOONOSIS!C422</f>
        <v>0</v>
      </c>
      <c r="C39" s="123">
        <f>ZOONOSIS!D422</f>
        <v>0</v>
      </c>
      <c r="D39" s="123">
        <f>ZOONOSIS!E422</f>
        <v>0</v>
      </c>
      <c r="E39" s="123">
        <f>ZOONOSIS!F422</f>
        <v>0</v>
      </c>
      <c r="F39" s="123">
        <f>ZOONOSIS!G422</f>
        <v>0</v>
      </c>
      <c r="G39" s="123">
        <f>ZOONOSIS!H422</f>
        <v>0</v>
      </c>
      <c r="H39" s="123">
        <f>ZOONOSIS!I422</f>
        <v>0</v>
      </c>
      <c r="I39" s="309"/>
    </row>
    <row r="40" spans="1:9" x14ac:dyDescent="0.2">
      <c r="A40" s="299" t="s">
        <v>144</v>
      </c>
      <c r="B40" s="123">
        <f>ZOONOSIS!C423</f>
        <v>0</v>
      </c>
      <c r="C40" s="123">
        <f>ZOONOSIS!D423</f>
        <v>0</v>
      </c>
      <c r="D40" s="123">
        <f>ZOONOSIS!E423</f>
        <v>0</v>
      </c>
      <c r="E40" s="123">
        <f>ZOONOSIS!F423</f>
        <v>0</v>
      </c>
      <c r="F40" s="123">
        <f>ZOONOSIS!G423</f>
        <v>0</v>
      </c>
      <c r="G40" s="123">
        <f>ZOONOSIS!H423</f>
        <v>0</v>
      </c>
      <c r="H40" s="123">
        <f>ZOONOSIS!I423</f>
        <v>0</v>
      </c>
      <c r="I40" s="309"/>
    </row>
    <row r="41" spans="1:9" s="300" customFormat="1" x14ac:dyDescent="0.2">
      <c r="A41" s="299" t="s">
        <v>145</v>
      </c>
      <c r="B41" s="123">
        <f>ZOONOSIS!C424</f>
        <v>0</v>
      </c>
      <c r="C41" s="123">
        <f>ZOONOSIS!D424</f>
        <v>0</v>
      </c>
      <c r="D41" s="123">
        <f>ZOONOSIS!E424</f>
        <v>0</v>
      </c>
      <c r="E41" s="123">
        <f>ZOONOSIS!F424</f>
        <v>0</v>
      </c>
      <c r="F41" s="123">
        <f>ZOONOSIS!G424</f>
        <v>0</v>
      </c>
      <c r="G41" s="123">
        <f>ZOONOSIS!H424</f>
        <v>0</v>
      </c>
      <c r="H41" s="123">
        <f>ZOONOSIS!I424</f>
        <v>0</v>
      </c>
      <c r="I41" s="309"/>
    </row>
    <row r="42" spans="1:9" s="300" customFormat="1" ht="14.25" customHeight="1" x14ac:dyDescent="0.2">
      <c r="A42" s="299" t="s">
        <v>146</v>
      </c>
      <c r="B42" s="123">
        <f>ZOONOSIS!C425</f>
        <v>0</v>
      </c>
      <c r="C42" s="123">
        <f>ZOONOSIS!D425</f>
        <v>0</v>
      </c>
      <c r="D42" s="123">
        <f>ZOONOSIS!E425</f>
        <v>0</v>
      </c>
      <c r="E42" s="123">
        <f>ZOONOSIS!F425</f>
        <v>0</v>
      </c>
      <c r="F42" s="123">
        <f>ZOONOSIS!G425</f>
        <v>0</v>
      </c>
      <c r="G42" s="123">
        <f>ZOONOSIS!H425</f>
        <v>0</v>
      </c>
      <c r="H42" s="123">
        <f>ZOONOSIS!I425</f>
        <v>0</v>
      </c>
      <c r="I42" s="309"/>
    </row>
    <row r="43" spans="1:9" s="300" customFormat="1" ht="14.25" customHeight="1" x14ac:dyDescent="0.2">
      <c r="A43" s="299" t="s">
        <v>147</v>
      </c>
      <c r="B43" s="123">
        <f>ZOONOSIS!C426</f>
        <v>0</v>
      </c>
      <c r="C43" s="123">
        <f>ZOONOSIS!D426</f>
        <v>0</v>
      </c>
      <c r="D43" s="123">
        <f>ZOONOSIS!E426</f>
        <v>0</v>
      </c>
      <c r="E43" s="123">
        <f>ZOONOSIS!F426</f>
        <v>0</v>
      </c>
      <c r="F43" s="123">
        <f>ZOONOSIS!G426</f>
        <v>0</v>
      </c>
      <c r="G43" s="123">
        <f>ZOONOSIS!H426</f>
        <v>0</v>
      </c>
      <c r="H43" s="123">
        <f>ZOONOSIS!I426</f>
        <v>0</v>
      </c>
      <c r="I43" s="309"/>
    </row>
    <row r="44" spans="1:9" s="300" customFormat="1" x14ac:dyDescent="0.2">
      <c r="A44" s="224" t="s">
        <v>148</v>
      </c>
      <c r="B44" s="123">
        <f>ZOONOSIS!C427</f>
        <v>0</v>
      </c>
      <c r="C44" s="123">
        <f>ZOONOSIS!D427</f>
        <v>0</v>
      </c>
      <c r="D44" s="123">
        <f>ZOONOSIS!E427</f>
        <v>0</v>
      </c>
      <c r="E44" s="123">
        <f>ZOONOSIS!F427</f>
        <v>0</v>
      </c>
      <c r="F44" s="123">
        <f>ZOONOSIS!G427</f>
        <v>0</v>
      </c>
      <c r="G44" s="123">
        <f>ZOONOSIS!H427</f>
        <v>0</v>
      </c>
      <c r="H44" s="123">
        <f>ZOONOSIS!I427</f>
        <v>0</v>
      </c>
      <c r="I44" s="309"/>
    </row>
    <row r="45" spans="1:9" s="300" customFormat="1" x14ac:dyDescent="0.2">
      <c r="A45" s="299" t="s">
        <v>149</v>
      </c>
      <c r="B45" s="123">
        <f>ZOONOSIS!C428</f>
        <v>0</v>
      </c>
      <c r="C45" s="123">
        <f>ZOONOSIS!D428</f>
        <v>0</v>
      </c>
      <c r="D45" s="123">
        <f>ZOONOSIS!E428</f>
        <v>0</v>
      </c>
      <c r="E45" s="123">
        <f>ZOONOSIS!F428</f>
        <v>0</v>
      </c>
      <c r="F45" s="123">
        <f>ZOONOSIS!G428</f>
        <v>0</v>
      </c>
      <c r="G45" s="123">
        <f>ZOONOSIS!H428</f>
        <v>0</v>
      </c>
      <c r="H45" s="123">
        <f>ZOONOSIS!I428</f>
        <v>0</v>
      </c>
      <c r="I45" s="309"/>
    </row>
    <row r="46" spans="1:9" s="300" customFormat="1" x14ac:dyDescent="0.2">
      <c r="A46" s="224" t="s">
        <v>150</v>
      </c>
      <c r="B46" s="123">
        <f>ZOONOSIS!C429</f>
        <v>0</v>
      </c>
      <c r="C46" s="123">
        <f>ZOONOSIS!D429</f>
        <v>0</v>
      </c>
      <c r="D46" s="123">
        <f>ZOONOSIS!E429</f>
        <v>0</v>
      </c>
      <c r="E46" s="123">
        <f>ZOONOSIS!F429</f>
        <v>0</v>
      </c>
      <c r="F46" s="123">
        <f>ZOONOSIS!G429</f>
        <v>0</v>
      </c>
      <c r="G46" s="123">
        <f>ZOONOSIS!H429</f>
        <v>0</v>
      </c>
      <c r="H46" s="123">
        <f>ZOONOSIS!I429</f>
        <v>0</v>
      </c>
      <c r="I46" s="309"/>
    </row>
    <row r="47" spans="1:9" s="300" customFormat="1" x14ac:dyDescent="0.2">
      <c r="A47" s="299" t="s">
        <v>151</v>
      </c>
      <c r="B47" s="123">
        <f>ZOONOSIS!C430</f>
        <v>0</v>
      </c>
      <c r="C47" s="123">
        <f>ZOONOSIS!D430</f>
        <v>0</v>
      </c>
      <c r="D47" s="123">
        <f>ZOONOSIS!E430</f>
        <v>0</v>
      </c>
      <c r="E47" s="123">
        <f>ZOONOSIS!F430</f>
        <v>0</v>
      </c>
      <c r="F47" s="123">
        <f>ZOONOSIS!G430</f>
        <v>0</v>
      </c>
      <c r="G47" s="123">
        <f>ZOONOSIS!H430</f>
        <v>0</v>
      </c>
      <c r="H47" s="123">
        <f>ZOONOSIS!I430</f>
        <v>0</v>
      </c>
      <c r="I47" s="309"/>
    </row>
    <row r="48" spans="1:9" s="300" customFormat="1" x14ac:dyDescent="0.2">
      <c r="A48" s="224" t="s">
        <v>152</v>
      </c>
      <c r="B48" s="123">
        <f>ZOONOSIS!C431</f>
        <v>0</v>
      </c>
      <c r="C48" s="123">
        <f>ZOONOSIS!D431</f>
        <v>0</v>
      </c>
      <c r="D48" s="123">
        <f>ZOONOSIS!E431</f>
        <v>0</v>
      </c>
      <c r="E48" s="123">
        <f>ZOONOSIS!F431</f>
        <v>0</v>
      </c>
      <c r="F48" s="123">
        <f>ZOONOSIS!G431</f>
        <v>0</v>
      </c>
      <c r="G48" s="123">
        <f>ZOONOSIS!H431</f>
        <v>0</v>
      </c>
      <c r="H48" s="123">
        <f>ZOONOSIS!I431</f>
        <v>0</v>
      </c>
      <c r="I48" s="309"/>
    </row>
    <row r="49" spans="1:9" s="300" customFormat="1" x14ac:dyDescent="0.2">
      <c r="A49" s="224" t="s">
        <v>153</v>
      </c>
      <c r="B49" s="123">
        <f>ZOONOSIS!C432</f>
        <v>0</v>
      </c>
      <c r="C49" s="123">
        <f>ZOONOSIS!D432</f>
        <v>0</v>
      </c>
      <c r="D49" s="123">
        <f>ZOONOSIS!E432</f>
        <v>0</v>
      </c>
      <c r="E49" s="123">
        <f>ZOONOSIS!F432</f>
        <v>0</v>
      </c>
      <c r="F49" s="123">
        <f>ZOONOSIS!G432</f>
        <v>0</v>
      </c>
      <c r="G49" s="123">
        <f>ZOONOSIS!H432</f>
        <v>0</v>
      </c>
      <c r="H49" s="123">
        <f>ZOONOSIS!I432</f>
        <v>0</v>
      </c>
      <c r="I49" s="309"/>
    </row>
    <row r="50" spans="1:9" s="300" customFormat="1" x14ac:dyDescent="0.2">
      <c r="A50" s="193"/>
      <c r="B50" s="112"/>
      <c r="C50" s="112"/>
      <c r="D50" s="112"/>
      <c r="E50" s="112"/>
      <c r="F50" s="112"/>
      <c r="G50" s="112"/>
      <c r="H50" s="303"/>
      <c r="I50" s="112"/>
    </row>
    <row r="51" spans="1:9" x14ac:dyDescent="0.2">
      <c r="A51" s="310" t="s">
        <v>132</v>
      </c>
      <c r="B51" s="309"/>
      <c r="C51" s="309"/>
      <c r="D51" s="309"/>
      <c r="E51" s="309"/>
      <c r="F51" s="309"/>
      <c r="G51" s="309"/>
      <c r="H51" s="311"/>
    </row>
    <row r="52" spans="1:9" x14ac:dyDescent="0.2">
      <c r="A52" s="312"/>
      <c r="B52" s="516" t="s">
        <v>134</v>
      </c>
      <c r="C52" s="516"/>
      <c r="D52" s="516" t="s">
        <v>135</v>
      </c>
      <c r="E52" s="516"/>
      <c r="F52" s="516" t="s">
        <v>136</v>
      </c>
      <c r="G52" s="516"/>
      <c r="H52" s="313" t="s">
        <v>137</v>
      </c>
      <c r="I52" s="309"/>
    </row>
    <row r="53" spans="1:9" x14ac:dyDescent="0.2">
      <c r="A53" s="314" t="s">
        <v>154</v>
      </c>
      <c r="B53" s="515" t="s">
        <v>138</v>
      </c>
      <c r="C53" s="515"/>
      <c r="D53" s="515"/>
      <c r="E53" s="515"/>
      <c r="F53" s="316"/>
      <c r="G53" s="317"/>
      <c r="H53" s="318" t="s">
        <v>139</v>
      </c>
      <c r="I53" s="309"/>
    </row>
    <row r="54" spans="1:9" x14ac:dyDescent="0.2">
      <c r="A54" s="314"/>
      <c r="B54" s="315" t="s">
        <v>14</v>
      </c>
      <c r="C54" s="319" t="s">
        <v>140</v>
      </c>
      <c r="D54" s="315" t="s">
        <v>14</v>
      </c>
      <c r="E54" s="319" t="s">
        <v>140</v>
      </c>
      <c r="F54" s="320" t="s">
        <v>14</v>
      </c>
      <c r="G54" s="137" t="s">
        <v>140</v>
      </c>
      <c r="H54" s="321" t="s">
        <v>14</v>
      </c>
      <c r="I54" s="309"/>
    </row>
    <row r="55" spans="1:9" x14ac:dyDescent="0.2">
      <c r="A55" s="322" t="s">
        <v>13</v>
      </c>
      <c r="B55" s="120">
        <f>SUM(B56:B64)</f>
        <v>0</v>
      </c>
      <c r="C55" s="120">
        <f t="shared" ref="C55:H55" si="2">SUM(C56:C64)</f>
        <v>0</v>
      </c>
      <c r="D55" s="120">
        <f t="shared" si="2"/>
        <v>0</v>
      </c>
      <c r="E55" s="120">
        <f t="shared" si="2"/>
        <v>0</v>
      </c>
      <c r="F55" s="120">
        <f t="shared" si="2"/>
        <v>0</v>
      </c>
      <c r="G55" s="120">
        <f t="shared" si="2"/>
        <v>0</v>
      </c>
      <c r="H55" s="120">
        <f t="shared" si="2"/>
        <v>0</v>
      </c>
      <c r="I55" s="309"/>
    </row>
    <row r="56" spans="1:9" x14ac:dyDescent="0.2">
      <c r="A56" s="299" t="s">
        <v>120</v>
      </c>
      <c r="B56" s="123">
        <f>ZOONOSIS!C438</f>
        <v>0</v>
      </c>
      <c r="C56" s="123">
        <f>ZOONOSIS!D438</f>
        <v>0</v>
      </c>
      <c r="D56" s="123">
        <f>ZOONOSIS!E438</f>
        <v>0</v>
      </c>
      <c r="E56" s="123">
        <f>ZOONOSIS!F438</f>
        <v>0</v>
      </c>
      <c r="F56" s="123">
        <f>ZOONOSIS!G438</f>
        <v>0</v>
      </c>
      <c r="G56" s="123">
        <f>ZOONOSIS!H438</f>
        <v>0</v>
      </c>
      <c r="H56" s="123">
        <f>ZOONOSIS!I438</f>
        <v>0</v>
      </c>
      <c r="I56" s="309"/>
    </row>
    <row r="57" spans="1:9" x14ac:dyDescent="0.2">
      <c r="A57" s="299" t="s">
        <v>121</v>
      </c>
      <c r="B57" s="123">
        <f>ZOONOSIS!C439</f>
        <v>0</v>
      </c>
      <c r="C57" s="123">
        <f>ZOONOSIS!D439</f>
        <v>0</v>
      </c>
      <c r="D57" s="123">
        <f>ZOONOSIS!E439</f>
        <v>0</v>
      </c>
      <c r="E57" s="123">
        <f>ZOONOSIS!F439</f>
        <v>0</v>
      </c>
      <c r="F57" s="123">
        <f>ZOONOSIS!G439</f>
        <v>0</v>
      </c>
      <c r="G57" s="123">
        <f>ZOONOSIS!H439</f>
        <v>0</v>
      </c>
      <c r="H57" s="123">
        <f>ZOONOSIS!I439</f>
        <v>0</v>
      </c>
      <c r="I57" s="309"/>
    </row>
    <row r="58" spans="1:9" x14ac:dyDescent="0.2">
      <c r="A58" s="299" t="s">
        <v>122</v>
      </c>
      <c r="B58" s="123">
        <f>ZOONOSIS!C440</f>
        <v>0</v>
      </c>
      <c r="C58" s="123">
        <f>ZOONOSIS!D440</f>
        <v>0</v>
      </c>
      <c r="D58" s="123">
        <f>ZOONOSIS!E440</f>
        <v>0</v>
      </c>
      <c r="E58" s="123">
        <f>ZOONOSIS!F440</f>
        <v>0</v>
      </c>
      <c r="F58" s="123">
        <f>ZOONOSIS!G440</f>
        <v>0</v>
      </c>
      <c r="G58" s="123">
        <f>ZOONOSIS!H440</f>
        <v>0</v>
      </c>
      <c r="H58" s="123">
        <f>ZOONOSIS!I440</f>
        <v>0</v>
      </c>
      <c r="I58" s="309"/>
    </row>
    <row r="59" spans="1:9" x14ac:dyDescent="0.2">
      <c r="A59" s="299" t="s">
        <v>123</v>
      </c>
      <c r="B59" s="123">
        <f>ZOONOSIS!C441</f>
        <v>0</v>
      </c>
      <c r="C59" s="123">
        <f>ZOONOSIS!D441</f>
        <v>0</v>
      </c>
      <c r="D59" s="123">
        <f>ZOONOSIS!E441</f>
        <v>0</v>
      </c>
      <c r="E59" s="123">
        <f>ZOONOSIS!F441</f>
        <v>0</v>
      </c>
      <c r="F59" s="123">
        <f>ZOONOSIS!G441</f>
        <v>0</v>
      </c>
      <c r="G59" s="123">
        <f>ZOONOSIS!H441</f>
        <v>0</v>
      </c>
      <c r="H59" s="123">
        <f>ZOONOSIS!I441</f>
        <v>0</v>
      </c>
      <c r="I59" s="309"/>
    </row>
    <row r="60" spans="1:9" x14ac:dyDescent="0.2">
      <c r="A60" s="299" t="s">
        <v>124</v>
      </c>
      <c r="B60" s="123">
        <f>ZOONOSIS!C442</f>
        <v>0</v>
      </c>
      <c r="C60" s="123">
        <f>ZOONOSIS!D442</f>
        <v>0</v>
      </c>
      <c r="D60" s="123">
        <f>ZOONOSIS!E442</f>
        <v>0</v>
      </c>
      <c r="E60" s="123">
        <f>ZOONOSIS!F442</f>
        <v>0</v>
      </c>
      <c r="F60" s="123">
        <f>ZOONOSIS!G442</f>
        <v>0</v>
      </c>
      <c r="G60" s="123">
        <f>ZOONOSIS!H442</f>
        <v>0</v>
      </c>
      <c r="H60" s="123">
        <f>ZOONOSIS!I442</f>
        <v>0</v>
      </c>
      <c r="I60" s="309"/>
    </row>
    <row r="61" spans="1:9" x14ac:dyDescent="0.2">
      <c r="A61" s="299" t="s">
        <v>155</v>
      </c>
      <c r="B61" s="123">
        <f>ZOONOSIS!C443</f>
        <v>0</v>
      </c>
      <c r="C61" s="123">
        <f>ZOONOSIS!D443</f>
        <v>0</v>
      </c>
      <c r="D61" s="123">
        <f>ZOONOSIS!E443</f>
        <v>0</v>
      </c>
      <c r="E61" s="123">
        <f>ZOONOSIS!F443</f>
        <v>0</v>
      </c>
      <c r="F61" s="123">
        <f>ZOONOSIS!G443</f>
        <v>0</v>
      </c>
      <c r="G61" s="123">
        <f>ZOONOSIS!H443</f>
        <v>0</v>
      </c>
      <c r="H61" s="123">
        <f>ZOONOSIS!I443</f>
        <v>0</v>
      </c>
      <c r="I61" s="309"/>
    </row>
    <row r="62" spans="1:9" x14ac:dyDescent="0.2">
      <c r="A62" s="299" t="s">
        <v>126</v>
      </c>
      <c r="B62" s="123">
        <f>ZOONOSIS!C444</f>
        <v>0</v>
      </c>
      <c r="C62" s="123">
        <f>ZOONOSIS!D444</f>
        <v>0</v>
      </c>
      <c r="D62" s="123">
        <f>ZOONOSIS!E444</f>
        <v>0</v>
      </c>
      <c r="E62" s="123">
        <f>ZOONOSIS!F444</f>
        <v>0</v>
      </c>
      <c r="F62" s="123">
        <f>ZOONOSIS!G444</f>
        <v>0</v>
      </c>
      <c r="G62" s="123">
        <f>ZOONOSIS!H444</f>
        <v>0</v>
      </c>
      <c r="H62" s="123">
        <f>ZOONOSIS!I444</f>
        <v>0</v>
      </c>
      <c r="I62" s="309"/>
    </row>
    <row r="63" spans="1:9" x14ac:dyDescent="0.2">
      <c r="A63" s="147" t="s">
        <v>156</v>
      </c>
      <c r="B63" s="123">
        <f>ZOONOSIS!C445</f>
        <v>0</v>
      </c>
      <c r="C63" s="123">
        <f>ZOONOSIS!D445</f>
        <v>0</v>
      </c>
      <c r="D63" s="123">
        <f>ZOONOSIS!E445</f>
        <v>0</v>
      </c>
      <c r="E63" s="123">
        <f>ZOONOSIS!F445</f>
        <v>0</v>
      </c>
      <c r="F63" s="123">
        <f>ZOONOSIS!G445</f>
        <v>0</v>
      </c>
      <c r="G63" s="123">
        <f>ZOONOSIS!H445</f>
        <v>0</v>
      </c>
      <c r="H63" s="123">
        <f>ZOONOSIS!I445</f>
        <v>0</v>
      </c>
      <c r="I63" s="309"/>
    </row>
    <row r="64" spans="1:9" x14ac:dyDescent="0.2">
      <c r="A64" s="147" t="s">
        <v>157</v>
      </c>
      <c r="B64" s="123">
        <f>ZOONOSIS!C446</f>
        <v>0</v>
      </c>
      <c r="C64" s="123">
        <f>ZOONOSIS!D446</f>
        <v>0</v>
      </c>
      <c r="D64" s="123">
        <f>ZOONOSIS!E446</f>
        <v>0</v>
      </c>
      <c r="E64" s="123">
        <f>ZOONOSIS!F446</f>
        <v>0</v>
      </c>
      <c r="F64" s="123">
        <f>ZOONOSIS!G446</f>
        <v>0</v>
      </c>
      <c r="G64" s="123">
        <f>ZOONOSIS!H446</f>
        <v>0</v>
      </c>
      <c r="H64" s="123">
        <f>ZOONOSIS!I446</f>
        <v>0</v>
      </c>
    </row>
  </sheetData>
  <sheetProtection selectLockedCells="1" selectUnlockedCells="1"/>
  <mergeCells count="13">
    <mergeCell ref="B53:C53"/>
    <mergeCell ref="D53:E53"/>
    <mergeCell ref="A4:H4"/>
    <mergeCell ref="B6:D6"/>
    <mergeCell ref="B8:D8"/>
    <mergeCell ref="B33:C33"/>
    <mergeCell ref="D33:E33"/>
    <mergeCell ref="F33:G33"/>
    <mergeCell ref="B34:C34"/>
    <mergeCell ref="D34:E34"/>
    <mergeCell ref="B52:C52"/>
    <mergeCell ref="D52:E52"/>
    <mergeCell ref="F52:G52"/>
  </mergeCells>
  <printOptions horizontalCentered="1"/>
  <pageMargins left="0" right="0" top="0.78749999999999998" bottom="0" header="0.51180555555555551" footer="0.51180555555555551"/>
  <pageSetup paperSize="9" scale="90" firstPageNumber="0" orientation="portrait" horizontalDpi="300" verticalDpi="300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3B9099-BB66-48CE-BD9F-86F39AF4B3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38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ZOONOSIS</vt:lpstr>
      <vt:lpstr>BRUCELOSIS</vt:lpstr>
      <vt:lpstr>PESTE</vt:lpstr>
      <vt:lpstr>CARBUNCO</vt:lpstr>
      <vt:lpstr>EQUINOCOCOSIS</vt:lpstr>
      <vt:lpstr>LEPTOSPIROSIS</vt:lpstr>
      <vt:lpstr> FASCIOLIASIS</vt:lpstr>
      <vt:lpstr>APPS</vt:lpstr>
      <vt:lpstr>' FASCIOLIASIS'!Área_de_impresión</vt:lpstr>
      <vt:lpstr>APPS!Área_de_impresión</vt:lpstr>
      <vt:lpstr>BRUCELOSIS!Área_de_impresión</vt:lpstr>
      <vt:lpstr>CARBUNCO!Área_de_impresión</vt:lpstr>
      <vt:lpstr>EQUINOCOCOSIS!Área_de_impresión</vt:lpstr>
      <vt:lpstr>LEPTOSPIROSIS!Área_de_impresión</vt:lpstr>
      <vt:lpstr>PESTE!Área_de_impresión</vt:lpstr>
      <vt:lpstr>ZOONOSIS!Área_de_impresión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Minsa</dc:creator>
  <cp:lastModifiedBy>ESTADISTICA</cp:lastModifiedBy>
  <cp:revision>3</cp:revision>
  <cp:lastPrinted>2011-05-09T20:16:07Z</cp:lastPrinted>
  <dcterms:created xsi:type="dcterms:W3CDTF">2007-01-24T14:26:39Z</dcterms:created>
  <dcterms:modified xsi:type="dcterms:W3CDTF">2020-05-15T16:26:50Z</dcterms:modified>
</cp:coreProperties>
</file>