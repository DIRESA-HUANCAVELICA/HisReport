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080" yWindow="120" windowWidth="6915" windowHeight="4680"/>
  </bookViews>
  <sheets>
    <sheet name="Educación_Salud" sheetId="1" r:id="rId1"/>
  </sheets>
  <definedNames>
    <definedName name="_xlnm.Print_Area" localSheetId="0">Educación_Salud!$B$1:$S$296</definedName>
  </definedNames>
  <calcPr calcId="145621"/>
</workbook>
</file>

<file path=xl/calcChain.xml><?xml version="1.0" encoding="utf-8"?>
<calcChain xmlns="http://schemas.openxmlformats.org/spreadsheetml/2006/main">
  <c r="J344" i="1" l="1"/>
  <c r="I344" i="1"/>
  <c r="J334" i="1"/>
  <c r="K334" i="1"/>
  <c r="L334" i="1"/>
  <c r="J335" i="1"/>
  <c r="K335" i="1"/>
  <c r="L335" i="1"/>
  <c r="J336" i="1"/>
  <c r="K336" i="1"/>
  <c r="L336" i="1"/>
  <c r="J337" i="1"/>
  <c r="K337" i="1"/>
  <c r="L337" i="1"/>
  <c r="J338" i="1"/>
  <c r="K338" i="1"/>
  <c r="L338" i="1"/>
  <c r="J339" i="1"/>
  <c r="K339" i="1"/>
  <c r="L339" i="1"/>
  <c r="J340" i="1"/>
  <c r="K340" i="1"/>
  <c r="L340" i="1"/>
  <c r="K333" i="1"/>
  <c r="L333" i="1"/>
  <c r="J333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K317" i="1"/>
  <c r="J317" i="1"/>
  <c r="M309" i="1"/>
  <c r="M310" i="1"/>
  <c r="M311" i="1"/>
  <c r="M308" i="1"/>
  <c r="H309" i="1"/>
  <c r="H310" i="1"/>
  <c r="H311" i="1"/>
  <c r="H308" i="1"/>
  <c r="M300" i="1"/>
  <c r="M301" i="1"/>
  <c r="M302" i="1"/>
  <c r="M299" i="1"/>
  <c r="H300" i="1"/>
  <c r="H301" i="1"/>
  <c r="H302" i="1"/>
  <c r="H299" i="1"/>
  <c r="I288" i="1"/>
  <c r="H288" i="1"/>
  <c r="J280" i="1"/>
  <c r="K280" i="1"/>
  <c r="J281" i="1"/>
  <c r="K281" i="1"/>
  <c r="J282" i="1"/>
  <c r="K282" i="1"/>
  <c r="K279" i="1"/>
  <c r="J279" i="1"/>
  <c r="G248" i="1"/>
  <c r="H248" i="1"/>
  <c r="G249" i="1"/>
  <c r="H249" i="1"/>
  <c r="G250" i="1"/>
  <c r="H250" i="1"/>
  <c r="G251" i="1"/>
  <c r="H251" i="1"/>
  <c r="G252" i="1"/>
  <c r="H252" i="1"/>
  <c r="H247" i="1"/>
  <c r="G247" i="1"/>
  <c r="J237" i="1"/>
  <c r="K237" i="1"/>
  <c r="J238" i="1"/>
  <c r="K238" i="1"/>
  <c r="J239" i="1"/>
  <c r="K239" i="1"/>
  <c r="J240" i="1"/>
  <c r="K240" i="1"/>
  <c r="J241" i="1"/>
  <c r="K241" i="1"/>
  <c r="K236" i="1"/>
  <c r="J236" i="1"/>
  <c r="G218" i="1"/>
  <c r="J210" i="1"/>
  <c r="K210" i="1"/>
  <c r="K209" i="1"/>
  <c r="J209" i="1"/>
  <c r="K211" i="1"/>
  <c r="L211" i="1"/>
  <c r="M211" i="1"/>
  <c r="N211" i="1"/>
  <c r="O211" i="1"/>
  <c r="J211" i="1"/>
  <c r="H204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H190" i="1"/>
  <c r="G190" i="1"/>
  <c r="K184" i="1"/>
  <c r="J184" i="1"/>
  <c r="F178" i="1"/>
  <c r="F177" i="1"/>
  <c r="G171" i="1"/>
  <c r="G172" i="1"/>
  <c r="G170" i="1"/>
  <c r="G165" i="1"/>
  <c r="J142" i="1"/>
  <c r="K142" i="1"/>
  <c r="K141" i="1"/>
  <c r="J141" i="1"/>
  <c r="J133" i="1"/>
  <c r="K133" i="1"/>
  <c r="J134" i="1"/>
  <c r="K134" i="1"/>
  <c r="J135" i="1"/>
  <c r="K135" i="1"/>
  <c r="K132" i="1"/>
  <c r="J132" i="1"/>
  <c r="J101" i="1"/>
  <c r="I101" i="1"/>
  <c r="I95" i="1"/>
  <c r="J95" i="1"/>
  <c r="J94" i="1"/>
  <c r="I94" i="1"/>
  <c r="J75" i="1"/>
  <c r="I75" i="1"/>
  <c r="J74" i="1"/>
  <c r="I74" i="1"/>
  <c r="J63" i="1"/>
  <c r="K63" i="1"/>
  <c r="J64" i="1"/>
  <c r="K64" i="1"/>
  <c r="J65" i="1"/>
  <c r="K65" i="1"/>
  <c r="J66" i="1"/>
  <c r="K66" i="1"/>
  <c r="J67" i="1"/>
  <c r="K67" i="1"/>
  <c r="J68" i="1"/>
  <c r="K68" i="1"/>
  <c r="K62" i="1"/>
  <c r="J62" i="1"/>
  <c r="M54" i="1"/>
  <c r="M55" i="1"/>
  <c r="M56" i="1"/>
  <c r="M53" i="1"/>
  <c r="H54" i="1"/>
  <c r="H55" i="1"/>
  <c r="H56" i="1"/>
  <c r="H53" i="1"/>
  <c r="G41" i="1"/>
  <c r="G40" i="1"/>
  <c r="G38" i="1"/>
  <c r="G37" i="1"/>
  <c r="L13" i="1"/>
  <c r="L14" i="1"/>
  <c r="L15" i="1"/>
  <c r="L12" i="1"/>
  <c r="G13" i="1"/>
  <c r="G14" i="1"/>
  <c r="G15" i="1"/>
  <c r="G12" i="1"/>
  <c r="I221" i="1"/>
  <c r="J221" i="1"/>
  <c r="K221" i="1"/>
  <c r="L221" i="1"/>
  <c r="M221" i="1"/>
  <c r="H221" i="1"/>
</calcChain>
</file>

<file path=xl/comments1.xml><?xml version="1.0" encoding="utf-8"?>
<comments xmlns="http://schemas.openxmlformats.org/spreadsheetml/2006/main">
  <authors>
    <author>Patricia J. Vásquez Reyes</author>
  </authors>
  <commentList>
    <comment ref="D259" authorId="0">
      <text>
        <r>
          <rPr>
            <b/>
            <sz val="9"/>
            <color indexed="81"/>
            <rFont val="Tahoma"/>
            <family val="2"/>
          </rPr>
          <t>Patricia J. Vásquez Reyes:</t>
        </r>
        <r>
          <rPr>
            <sz val="9"/>
            <color indexed="81"/>
            <rFont val="Tahoma"/>
            <family val="2"/>
          </rPr>
          <t xml:space="preserve">
SOLO CAMBIA LA DESCRIPCIÓN</t>
        </r>
      </text>
    </comment>
  </commentList>
</comments>
</file>

<file path=xl/sharedStrings.xml><?xml version="1.0" encoding="utf-8"?>
<sst xmlns="http://schemas.openxmlformats.org/spreadsheetml/2006/main" count="636" uniqueCount="158">
  <si>
    <t>PROGRAMA ARTICULADO NUTRICIONAL</t>
  </si>
  <si>
    <t>Dirección de Educación para la Salud: Programa de Instituciones Educativas</t>
  </si>
  <si>
    <t>Visitas de Monitoreo en las Instituciones Educativas</t>
  </si>
  <si>
    <t>Taller para Instituciones Educativas</t>
  </si>
  <si>
    <t>PROGRAMA MATERNO NEONATAL</t>
  </si>
  <si>
    <t xml:space="preserve">3.2. Docentes de instituciones educativas capacitados en prácticas para prevención y control de VIH SIDA Y TB </t>
  </si>
  <si>
    <t>PREVENCION DE ENFERMEDADES NO TRASMISIBLES</t>
  </si>
  <si>
    <t>PROGRAMA DE PREVENCION Y CONTROL DE CANCER</t>
  </si>
  <si>
    <t>Visitas de Evaluación a Instituciones Educativas</t>
  </si>
  <si>
    <t>Inicial</t>
  </si>
  <si>
    <t>Primaria</t>
  </si>
  <si>
    <t>Secundaria</t>
  </si>
  <si>
    <t>Total</t>
  </si>
  <si>
    <t>En Inicio (01-40%)</t>
  </si>
  <si>
    <t>En Proceso (41-70%)</t>
  </si>
  <si>
    <t>Logro Previsto (71-90%)</t>
  </si>
  <si>
    <t>Logro Destacado (91-100%)</t>
  </si>
  <si>
    <t>Reunión de Evaluación a Universidades Saludables</t>
  </si>
  <si>
    <t>1. INSTITUCIONES EDUCATIVAS PROMUEVEN PRÁCTICAS Y ENTORNOS SALUDABLES EN ALIMENTACIÓN Y NUTRICIÓN</t>
  </si>
  <si>
    <t>1.1 Institución Educativa con Directivos y CONEI que promueven prácticas y entornos saludables en Alimentación y Nutrición</t>
  </si>
  <si>
    <t>Reuniones en Instituciones Educativas</t>
  </si>
  <si>
    <t>Concertación</t>
  </si>
  <si>
    <t>Asistencia Técnica</t>
  </si>
  <si>
    <t>Diagnóstico y Planificación</t>
  </si>
  <si>
    <t>1º Visita</t>
  </si>
  <si>
    <t>2º Visita</t>
  </si>
  <si>
    <t>Evaluación de Quioscos Escolares</t>
  </si>
  <si>
    <t>En Inicio</t>
  </si>
  <si>
    <t>En Proceso</t>
  </si>
  <si>
    <t>Logro Destacado</t>
  </si>
  <si>
    <t>Logro Previsto</t>
  </si>
  <si>
    <t>1.2 Docentes de instituciones educativas, capacitados para promover prácticas y entornos saludables en Alimentación y Nutrición</t>
  </si>
  <si>
    <t>Especial</t>
  </si>
  <si>
    <t>Módulo Educativo de Alimentación y Nutrición Saludable</t>
  </si>
  <si>
    <t>Nº</t>
  </si>
  <si>
    <t>Capacitados</t>
  </si>
  <si>
    <t>Módulo Educativo de Lavado de Manos</t>
  </si>
  <si>
    <t>Módulo de Salud Bucal</t>
  </si>
  <si>
    <t>Cartilla Educativa Cuido mi familia</t>
  </si>
  <si>
    <t>Módulo Educativo de Promoción de Agua Segura.</t>
  </si>
  <si>
    <t>OTRAS ACTIVIDADES DEL PROGRAMA DE INSTITUCIONES EDUCATIVAS SALUDABLES</t>
  </si>
  <si>
    <t>Taller Educativo para Padres de Familia</t>
  </si>
  <si>
    <t>Taller Educativo para Expendedores de Alimentos</t>
  </si>
  <si>
    <t>Total Taller Concluido</t>
  </si>
  <si>
    <t>Reuniones con Gobiernos Locales (Municipalidades)</t>
  </si>
  <si>
    <t>2. INSTITUCIONES EDUCATIVAS PROMUEVEN PRACTICAS SALUDABLES EN SALUD SEXUAL INTEGRAL</t>
  </si>
  <si>
    <t>2.1. Institución Educativa con Directivos y CONEI que promueven prácticas saludables en salud sexual integral</t>
  </si>
  <si>
    <t>Módulo Educativo de Salud Sexual Integral</t>
  </si>
  <si>
    <t>Módulo educativo de habilidades para la vida</t>
  </si>
  <si>
    <t>Actividades en Universidades Saludables</t>
  </si>
  <si>
    <t>Fase de Concertación</t>
  </si>
  <si>
    <t>3.1 Institución Educativa con Directivos y CONEI que promueven prácticas y entornos saludables para la promoción de la salud respiratoria y la prevención del VIH SIDA</t>
  </si>
  <si>
    <t>TBC</t>
  </si>
  <si>
    <t>VIH - SIDA</t>
  </si>
  <si>
    <t>VIH</t>
  </si>
  <si>
    <t>3. Instituciones Educativas Promueven la Salud Respiratoria y la Prevención del VIH - SIDA</t>
  </si>
  <si>
    <t>4. Instituciones Educativas que Promueven Prácticas y Entornos Saludables frente a las Enfermedades Metaxénicas y Zoonosis</t>
  </si>
  <si>
    <t>Malaria</t>
  </si>
  <si>
    <t>Dengue</t>
  </si>
  <si>
    <t>Bartolenosis</t>
  </si>
  <si>
    <t>F. Amarilla</t>
  </si>
  <si>
    <t>Chagas</t>
  </si>
  <si>
    <t>Leishmaniosis</t>
  </si>
  <si>
    <t>Peste</t>
  </si>
  <si>
    <t>Leptospirosis</t>
  </si>
  <si>
    <t>Tifus</t>
  </si>
  <si>
    <t>Rabia</t>
  </si>
  <si>
    <t>ENFERMEDADES TRASMISIBLES: METAXÉNICAS Y ZOONOSIS</t>
  </si>
  <si>
    <t>ENFERMEDADES TRASMIBLES: TB Y VIH-SIDA</t>
  </si>
  <si>
    <t>4.2. Docentes de instituciones educativas, capacitados para promover prácticas y entornos saludables frente a Enfermedades Metaxénicas y Zoonosis</t>
  </si>
  <si>
    <t>4.1 Institución Educativa con Directivos y CONEI que promueven prácticas y entornos saludables frente a las Enfermedades Metaxénicas y Zoonosis</t>
  </si>
  <si>
    <t>Módulo Educativo de Prácticas Saludables frente al Dengue</t>
  </si>
  <si>
    <t>Módulo Educativo de Salud Respiratoria</t>
  </si>
  <si>
    <t>1º</t>
  </si>
  <si>
    <t>2º</t>
  </si>
  <si>
    <t>3º</t>
  </si>
  <si>
    <t>Sesiones Educativas</t>
  </si>
  <si>
    <t>Participantes</t>
  </si>
  <si>
    <t>5. Instituciones Educativas que Promueven Prácticas Saludables para Prevenir Enfermedades No Trasmisibles</t>
  </si>
  <si>
    <t>5.1 Institución Educativa con Directivos y CONEI que promueven prácticas y entornos saludables para la prevención de Enfermedades No Transmisibles</t>
  </si>
  <si>
    <t>S. Mental</t>
  </si>
  <si>
    <t>S. Bucal</t>
  </si>
  <si>
    <t>S. Ocular</t>
  </si>
  <si>
    <t>Metales P.</t>
  </si>
  <si>
    <t>Hipertensión</t>
  </si>
  <si>
    <t>Diabetes</t>
  </si>
  <si>
    <t>5.2. Docentes de instituciones educativas, capacitados para promover prácticas y entornos saludables frente a Enfermedades Metaxénicas y Zoonosis</t>
  </si>
  <si>
    <t>Módulo Educativo de Salud Bucal</t>
  </si>
  <si>
    <t>Módulo Educativo de Salud Ocular</t>
  </si>
  <si>
    <t>Módulo Educativo de Convivencia</t>
  </si>
  <si>
    <t>Módulo Educativo de Actividad Física</t>
  </si>
  <si>
    <t>Modulo Educativo de Promoción de Valores y Buen Trato</t>
  </si>
  <si>
    <t>Módulo Educativo de Seguridad Vial</t>
  </si>
  <si>
    <t>Reuniones</t>
  </si>
  <si>
    <t>Taller de Capacitación en Promoción de la Convivencia Saludable dirigido a Líderes Escolares</t>
  </si>
  <si>
    <t>Nº Personas</t>
  </si>
  <si>
    <t>Realizadas en CDJ</t>
  </si>
  <si>
    <t>1º Sesión</t>
  </si>
  <si>
    <t>2º Sesión</t>
  </si>
  <si>
    <t>3º Sesión</t>
  </si>
  <si>
    <t>4º Sesión</t>
  </si>
  <si>
    <t>5º Sesión</t>
  </si>
  <si>
    <t>6º Sesión</t>
  </si>
  <si>
    <t>Visita de Monitoreo</t>
  </si>
  <si>
    <t>Total de Talleres de Convivencia Concluidos</t>
  </si>
  <si>
    <t>Visita de Evaluación</t>
  </si>
  <si>
    <t>6. INSTITUCIONES EDUCATIVAS PROMUEVEN PRACTICAS Y ENTORNOS SALUDABLES PARA FOMENTAR EL CUIDADO Y AUTOCUIDADO DE LA SALUD FRENTE AL CÁNCER</t>
  </si>
  <si>
    <t>6.1. Institución Educativa con Directivos y CONEI que promueven prácticas y entornos saludables para fomentar el cuidado y autocuidado de la salud frente al Cáncer</t>
  </si>
  <si>
    <t>Cartilla Educativa de Quioscos y Refrigerios Escolares</t>
  </si>
  <si>
    <t>Módulo/Cartilla Educativo(a) de control de Tabaco y Alcohol</t>
  </si>
  <si>
    <t>REPORTE DE ACTIVIDADES DE PROMOCIÓN DE LA SALUD</t>
  </si>
  <si>
    <t>Módulo Educativo para el Cuidado Psicoafectivo del niño</t>
  </si>
  <si>
    <t>Fase de Planificación</t>
  </si>
  <si>
    <t>Fase de Asistencia técnica</t>
  </si>
  <si>
    <t>Fase de Sistematización</t>
  </si>
  <si>
    <t>VIH / SIDA</t>
  </si>
  <si>
    <t>Reuniones con Gobiernos Locales - Colegios</t>
  </si>
  <si>
    <t>Reuniones con Gobiernos Locales - Universidades</t>
  </si>
  <si>
    <t>Fiebre Amarilla</t>
  </si>
  <si>
    <t>Reuniones con Gobiernos Locales</t>
  </si>
  <si>
    <t>Salud Mental</t>
  </si>
  <si>
    <t>Salud Bucal</t>
  </si>
  <si>
    <t>Salud Ocular</t>
  </si>
  <si>
    <t>Metales Pesados</t>
  </si>
  <si>
    <t>Modulo Educativo(a) de Higiene y Cuidado del Ambiente</t>
  </si>
  <si>
    <t>Modulo Educativode medidas preventivas frente a ITS / VIH</t>
  </si>
  <si>
    <t>Módulo Educativo de ITS VIH SIDA</t>
  </si>
  <si>
    <t>Sesiones</t>
  </si>
  <si>
    <t>TOTAL</t>
  </si>
  <si>
    <t>Chikungunya</t>
  </si>
  <si>
    <t>Total de Reuniones con Gobiernos Locales</t>
  </si>
  <si>
    <t>Campaña de Recolección de Criaderos en la Institución Educativa</t>
  </si>
  <si>
    <t>Movilización Social / Campaña Educativa</t>
  </si>
  <si>
    <t>Toneladas de Recojo</t>
  </si>
  <si>
    <t>Total de Movilización Social / Campaña Educativa</t>
  </si>
  <si>
    <t>Movilización Social / Campaña Educativa (Concurso Interescolar)</t>
  </si>
  <si>
    <t>Fase de Evaluación</t>
  </si>
  <si>
    <t>ACTIVIDADES EN EL MARCO DEL PLAN SALUD ESCOLAR (PSE)</t>
  </si>
  <si>
    <t>7. ACTIVIDADES EN EL MARCO DEL PLAN SALUD ESCOLAR (PSE)</t>
  </si>
  <si>
    <t>7.1. Visitas de Evaluación a Instituciones Educativas</t>
  </si>
  <si>
    <t>7.2 Docentes de instituciones educativas, capacitados para promover prácticas y entornos saludables</t>
  </si>
  <si>
    <t>Reuniones con Padres de Familia</t>
  </si>
  <si>
    <t>APAFAS</t>
  </si>
  <si>
    <t>Total de Talleres Concluidos</t>
  </si>
  <si>
    <t>Reunión de Planificación</t>
  </si>
  <si>
    <t>Reunión de Coordina-ción</t>
  </si>
  <si>
    <t>Reunión de Sensibili-zación</t>
  </si>
  <si>
    <t>4º</t>
  </si>
  <si>
    <t>5º</t>
  </si>
  <si>
    <t>6º</t>
  </si>
  <si>
    <t>7º a más</t>
  </si>
  <si>
    <t>CDJ</t>
  </si>
  <si>
    <t>6.2 Docentes de instituciones educativas, capacitados para promover prácticas y entornos saludables</t>
  </si>
  <si>
    <t>Zika</t>
  </si>
  <si>
    <t>HASTA:</t>
  </si>
  <si>
    <t>DESDE:</t>
  </si>
  <si>
    <t>ESTABLECIMIENTO: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</si>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</sst>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b/>
      <sz val="9"/>
      <color theme="0"/>
      <name val="Arial Narrow"/>
      <family val="2"/>
    </font>
    <font>
      <b/>
      <sz val="10"/>
      <color rgb="FFFFC000"/>
      <name val="Calibri"/>
      <family val="2"/>
      <scheme val="minor"/>
    </font>
    <font>
      <b/>
      <sz val="8"/>
      <color indexed="8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AB"/>
        <bgColor indexed="64"/>
      </patternFill>
    </fill>
  </fills>
  <borders count="129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 style="thin">
        <color theme="0"/>
      </right>
      <top/>
      <bottom style="thin">
        <color rgb="FF92D050"/>
      </bottom>
      <diagonal/>
    </border>
    <border>
      <left style="thin">
        <color theme="0"/>
      </left>
      <right style="thin">
        <color theme="0"/>
      </right>
      <top/>
      <bottom style="thin">
        <color rgb="FF92D050"/>
      </bottom>
      <diagonal/>
    </border>
    <border>
      <left style="thin">
        <color theme="0"/>
      </left>
      <right style="thin">
        <color rgb="FF92D050"/>
      </right>
      <top/>
      <bottom style="thin">
        <color rgb="FF92D05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theme="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theme="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0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0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thin">
        <color theme="0"/>
      </bottom>
      <diagonal/>
    </border>
    <border>
      <left style="thin">
        <color theme="8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6"/>
      </left>
      <right style="thin">
        <color theme="0"/>
      </right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0"/>
      </right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0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0"/>
      </right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 style="thin">
        <color theme="0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5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8"/>
      </top>
      <bottom/>
      <diagonal/>
    </border>
    <border>
      <left style="thin">
        <color theme="0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0"/>
      </right>
      <top style="thin">
        <color theme="7"/>
      </top>
      <bottom style="thin">
        <color theme="7"/>
      </bottom>
      <diagonal/>
    </border>
    <border>
      <left/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0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rgb="FF0070C0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theme="4"/>
      </right>
      <top/>
      <bottom style="thin">
        <color theme="4"/>
      </bottom>
      <diagonal/>
    </border>
    <border>
      <left/>
      <right style="thin">
        <color theme="0"/>
      </right>
      <top style="thin">
        <color theme="8"/>
      </top>
      <bottom/>
      <diagonal/>
    </border>
    <border>
      <left/>
      <right style="thin">
        <color theme="0"/>
      </right>
      <top style="thin">
        <color theme="8"/>
      </top>
      <bottom style="thin">
        <color theme="8"/>
      </bottom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8"/>
      </left>
      <right/>
      <top/>
      <bottom style="thin">
        <color theme="8"/>
      </bottom>
      <diagonal/>
    </border>
    <border>
      <left style="thin">
        <color theme="0"/>
      </left>
      <right/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/>
      <right style="thin">
        <color theme="0"/>
      </right>
      <top style="thin">
        <color theme="9"/>
      </top>
      <bottom/>
      <diagonal/>
    </border>
    <border>
      <left style="thin">
        <color rgb="FFF2B800"/>
      </left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rgb="FFF2B800"/>
      </left>
      <right/>
      <top style="thin">
        <color rgb="FFF2B800"/>
      </top>
      <bottom style="thin">
        <color rgb="FFF2B800"/>
      </bottom>
      <diagonal/>
    </border>
    <border>
      <left/>
      <right/>
      <top style="thin">
        <color rgb="FFF2B800"/>
      </top>
      <bottom style="thin">
        <color rgb="FFF2B800"/>
      </bottom>
      <diagonal/>
    </border>
    <border>
      <left/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rgb="FFF2B800"/>
      </left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/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/>
      <top style="thin">
        <color rgb="FFF2B800"/>
      </top>
      <bottom style="thin">
        <color rgb="FFF2B800"/>
      </bottom>
      <diagonal/>
    </border>
    <border>
      <left style="thin">
        <color rgb="FFF2B800"/>
      </left>
      <right/>
      <top style="thin">
        <color rgb="FFF2B800"/>
      </top>
      <bottom style="thin">
        <color theme="0"/>
      </bottom>
      <diagonal/>
    </border>
    <border>
      <left/>
      <right style="thin">
        <color rgb="FFF2B800"/>
      </right>
      <top/>
      <bottom style="thin">
        <color rgb="FFF2B800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6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8" borderId="12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4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10" borderId="45" xfId="0" applyFont="1" applyFill="1" applyBorder="1" applyAlignment="1">
      <alignment horizontal="center" vertical="center"/>
    </xf>
    <xf numFmtId="0" fontId="6" fillId="10" borderId="46" xfId="0" applyFont="1" applyFill="1" applyBorder="1" applyAlignment="1">
      <alignment horizontal="center" vertical="center" wrapText="1"/>
    </xf>
    <xf numFmtId="0" fontId="6" fillId="10" borderId="48" xfId="0" applyFont="1" applyFill="1" applyBorder="1" applyAlignment="1">
      <alignment horizontal="center" vertical="center" wrapText="1"/>
    </xf>
    <xf numFmtId="0" fontId="6" fillId="10" borderId="46" xfId="0" applyFont="1" applyFill="1" applyBorder="1" applyAlignment="1">
      <alignment horizontal="center" vertical="center"/>
    </xf>
    <xf numFmtId="0" fontId="6" fillId="10" borderId="48" xfId="0" applyFont="1" applyFill="1" applyBorder="1" applyAlignment="1">
      <alignment horizontal="center" vertical="center"/>
    </xf>
    <xf numFmtId="0" fontId="4" fillId="0" borderId="60" xfId="0" applyFont="1" applyBorder="1" applyAlignment="1">
      <alignment vertical="center"/>
    </xf>
    <xf numFmtId="0" fontId="4" fillId="0" borderId="64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7" fillId="8" borderId="63" xfId="0" applyFont="1" applyFill="1" applyBorder="1" applyAlignment="1">
      <alignment horizontal="center" vertical="center"/>
    </xf>
    <xf numFmtId="0" fontId="6" fillId="11" borderId="37" xfId="0" applyFont="1" applyFill="1" applyBorder="1" applyAlignment="1">
      <alignment horizontal="center" vertical="center"/>
    </xf>
    <xf numFmtId="0" fontId="6" fillId="11" borderId="67" xfId="0" applyFont="1" applyFill="1" applyBorder="1" applyAlignment="1">
      <alignment horizontal="center" vertical="center" wrapText="1"/>
    </xf>
    <xf numFmtId="0" fontId="6" fillId="11" borderId="69" xfId="0" applyFont="1" applyFill="1" applyBorder="1" applyAlignment="1">
      <alignment horizontal="center" vertical="center" wrapText="1"/>
    </xf>
    <xf numFmtId="0" fontId="6" fillId="11" borderId="67" xfId="0" applyFont="1" applyFill="1" applyBorder="1" applyAlignment="1">
      <alignment horizontal="center" vertical="center"/>
    </xf>
    <xf numFmtId="0" fontId="6" fillId="11" borderId="69" xfId="0" applyFont="1" applyFill="1" applyBorder="1" applyAlignment="1">
      <alignment horizontal="center" vertical="center"/>
    </xf>
    <xf numFmtId="0" fontId="8" fillId="12" borderId="70" xfId="0" applyFont="1" applyFill="1" applyBorder="1" applyAlignment="1">
      <alignment horizontal="center" vertical="center"/>
    </xf>
    <xf numFmtId="0" fontId="4" fillId="0" borderId="71" xfId="0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6" borderId="74" xfId="0" applyFont="1" applyFill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15" fillId="15" borderId="1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4" fillId="0" borderId="81" xfId="0" applyFont="1" applyBorder="1" applyAlignment="1">
      <alignment vertical="center"/>
    </xf>
    <xf numFmtId="0" fontId="4" fillId="0" borderId="82" xfId="0" applyFont="1" applyBorder="1" applyAlignment="1">
      <alignment vertical="center"/>
    </xf>
    <xf numFmtId="0" fontId="10" fillId="7" borderId="84" xfId="0" applyFont="1" applyFill="1" applyBorder="1" applyAlignment="1">
      <alignment horizontal="center" vertical="center"/>
    </xf>
    <xf numFmtId="0" fontId="4" fillId="0" borderId="88" xfId="0" applyFont="1" applyBorder="1" applyAlignment="1">
      <alignment vertical="center"/>
    </xf>
    <xf numFmtId="0" fontId="11" fillId="9" borderId="91" xfId="0" applyFont="1" applyFill="1" applyBorder="1" applyAlignment="1">
      <alignment horizontal="center" vertical="center"/>
    </xf>
    <xf numFmtId="0" fontId="4" fillId="0" borderId="92" xfId="0" applyFont="1" applyBorder="1" applyAlignment="1">
      <alignment vertical="center"/>
    </xf>
    <xf numFmtId="0" fontId="3" fillId="0" borderId="92" xfId="0" applyFont="1" applyBorder="1" applyAlignment="1">
      <alignment vertical="center"/>
    </xf>
    <xf numFmtId="0" fontId="6" fillId="4" borderId="93" xfId="0" applyFont="1" applyFill="1" applyBorder="1" applyAlignment="1">
      <alignment horizontal="center" vertical="center"/>
    </xf>
    <xf numFmtId="0" fontId="12" fillId="14" borderId="49" xfId="0" applyFont="1" applyFill="1" applyBorder="1" applyAlignment="1">
      <alignment horizontal="center" vertical="center"/>
    </xf>
    <xf numFmtId="0" fontId="12" fillId="14" borderId="97" xfId="0" applyFont="1" applyFill="1" applyBorder="1" applyAlignment="1">
      <alignment horizontal="center" vertical="center"/>
    </xf>
    <xf numFmtId="0" fontId="12" fillId="14" borderId="53" xfId="0" applyFont="1" applyFill="1" applyBorder="1" applyAlignment="1">
      <alignment horizontal="center" vertical="center"/>
    </xf>
    <xf numFmtId="0" fontId="4" fillId="0" borderId="55" xfId="0" applyFont="1" applyBorder="1" applyAlignment="1">
      <alignment vertical="center"/>
    </xf>
    <xf numFmtId="0" fontId="4" fillId="0" borderId="56" xfId="0" applyFont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6" fillId="11" borderId="68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4" fillId="0" borderId="60" xfId="0" applyFont="1" applyBorder="1" applyAlignment="1">
      <alignment horizontal="left" vertical="center"/>
    </xf>
    <xf numFmtId="0" fontId="6" fillId="16" borderId="1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6" fillId="16" borderId="28" xfId="0" applyFont="1" applyFill="1" applyBorder="1" applyAlignment="1">
      <alignment horizontal="center" vertical="center" wrapText="1"/>
    </xf>
    <xf numFmtId="0" fontId="6" fillId="16" borderId="30" xfId="0" applyFont="1" applyFill="1" applyBorder="1" applyAlignment="1">
      <alignment horizontal="center" vertical="center" wrapText="1"/>
    </xf>
    <xf numFmtId="0" fontId="6" fillId="16" borderId="57" xfId="0" applyFont="1" applyFill="1" applyBorder="1" applyAlignment="1">
      <alignment horizontal="center" vertical="center"/>
    </xf>
    <xf numFmtId="0" fontId="6" fillId="16" borderId="59" xfId="0" applyFont="1" applyFill="1" applyBorder="1" applyAlignment="1">
      <alignment horizontal="center" vertical="center"/>
    </xf>
    <xf numFmtId="0" fontId="6" fillId="16" borderId="28" xfId="0" applyFont="1" applyFill="1" applyBorder="1" applyAlignment="1">
      <alignment horizontal="center" vertical="center"/>
    </xf>
    <xf numFmtId="0" fontId="6" fillId="16" borderId="29" xfId="0" applyFont="1" applyFill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right" vertical="center"/>
    </xf>
    <xf numFmtId="0" fontId="4" fillId="0" borderId="82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0" borderId="9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56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6" fillId="3" borderId="105" xfId="0" applyFont="1" applyFill="1" applyBorder="1" applyAlignment="1">
      <alignment horizontal="center" vertical="center"/>
    </xf>
    <xf numFmtId="0" fontId="1" fillId="0" borderId="94" xfId="0" applyFont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" fillId="0" borderId="95" xfId="0" applyFont="1" applyBorder="1" applyAlignment="1">
      <alignment vertical="center"/>
    </xf>
    <xf numFmtId="0" fontId="1" fillId="0" borderId="96" xfId="0" applyFont="1" applyBorder="1" applyAlignment="1">
      <alignment vertical="center"/>
    </xf>
    <xf numFmtId="0" fontId="16" fillId="10" borderId="47" xfId="0" applyFont="1" applyFill="1" applyBorder="1" applyAlignment="1">
      <alignment horizontal="center" vertical="center" wrapText="1"/>
    </xf>
    <xf numFmtId="0" fontId="6" fillId="11" borderId="70" xfId="0" applyFont="1" applyFill="1" applyBorder="1" applyAlignment="1">
      <alignment horizontal="center" vertical="center"/>
    </xf>
    <xf numFmtId="0" fontId="4" fillId="0" borderId="100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4" xfId="0" applyFont="1" applyFill="1" applyBorder="1" applyAlignment="1">
      <alignment vertical="center"/>
    </xf>
    <xf numFmtId="0" fontId="4" fillId="0" borderId="6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5" fillId="15" borderId="14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7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4" fillId="0" borderId="81" xfId="0" applyFont="1" applyFill="1" applyBorder="1" applyAlignment="1">
      <alignment vertical="center"/>
    </xf>
    <xf numFmtId="0" fontId="4" fillId="0" borderId="82" xfId="0" applyFont="1" applyFill="1" applyBorder="1" applyAlignment="1">
      <alignment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 wrapText="1"/>
    </xf>
    <xf numFmtId="0" fontId="6" fillId="4" borderId="112" xfId="0" applyFont="1" applyFill="1" applyBorder="1" applyAlignment="1">
      <alignment horizontal="center" vertical="center"/>
    </xf>
    <xf numFmtId="0" fontId="4" fillId="0" borderId="95" xfId="0" applyFont="1" applyBorder="1" applyAlignment="1">
      <alignment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4" fillId="0" borderId="115" xfId="0" applyFont="1" applyBorder="1" applyAlignment="1">
      <alignment vertical="center"/>
    </xf>
    <xf numFmtId="0" fontId="4" fillId="0" borderId="116" xfId="0" applyFont="1" applyBorder="1" applyAlignment="1">
      <alignment vertical="center"/>
    </xf>
    <xf numFmtId="0" fontId="6" fillId="17" borderId="113" xfId="0" applyFont="1" applyFill="1" applyBorder="1" applyAlignment="1">
      <alignment horizontal="center" vertical="center"/>
    </xf>
    <xf numFmtId="0" fontId="6" fillId="17" borderId="117" xfId="0" applyFont="1" applyFill="1" applyBorder="1" applyAlignment="1">
      <alignment horizontal="center" vertical="center"/>
    </xf>
    <xf numFmtId="0" fontId="6" fillId="17" borderId="118" xfId="0" applyFont="1" applyFill="1" applyBorder="1" applyAlignment="1">
      <alignment horizontal="center" vertical="center"/>
    </xf>
    <xf numFmtId="0" fontId="6" fillId="17" borderId="119" xfId="0" applyFont="1" applyFill="1" applyBorder="1" applyAlignment="1">
      <alignment horizontal="center" vertical="center"/>
    </xf>
    <xf numFmtId="0" fontId="6" fillId="16" borderId="120" xfId="0" applyFont="1" applyFill="1" applyBorder="1" applyAlignment="1">
      <alignment horizontal="center" vertical="center"/>
    </xf>
    <xf numFmtId="0" fontId="6" fillId="16" borderId="101" xfId="0" applyFont="1" applyFill="1" applyBorder="1" applyAlignment="1">
      <alignment horizontal="center" vertical="center"/>
    </xf>
    <xf numFmtId="0" fontId="6" fillId="16" borderId="121" xfId="0" applyFont="1" applyFill="1" applyBorder="1" applyAlignment="1">
      <alignment horizontal="center" vertical="center"/>
    </xf>
    <xf numFmtId="0" fontId="6" fillId="17" borderId="114" xfId="0" applyFont="1" applyFill="1" applyBorder="1" applyAlignment="1">
      <alignment horizontal="center" vertical="center" wrapText="1"/>
    </xf>
    <xf numFmtId="0" fontId="6" fillId="17" borderId="116" xfId="0" applyFont="1" applyFill="1" applyBorder="1" applyAlignment="1">
      <alignment horizontal="center" vertical="center" wrapText="1"/>
    </xf>
    <xf numFmtId="0" fontId="23" fillId="17" borderId="119" xfId="0" applyFont="1" applyFill="1" applyBorder="1" applyAlignment="1">
      <alignment horizontal="center" vertical="center" wrapText="1"/>
    </xf>
    <xf numFmtId="0" fontId="23" fillId="16" borderId="29" xfId="0" applyFont="1" applyFill="1" applyBorder="1" applyAlignment="1">
      <alignment horizontal="center" vertical="center" wrapText="1"/>
    </xf>
    <xf numFmtId="0" fontId="4" fillId="0" borderId="115" xfId="0" applyFont="1" applyFill="1" applyBorder="1" applyAlignment="1">
      <alignment vertical="center"/>
    </xf>
    <xf numFmtId="0" fontId="4" fillId="0" borderId="116" xfId="0" applyFont="1" applyFill="1" applyBorder="1" applyAlignment="1">
      <alignment vertical="center"/>
    </xf>
    <xf numFmtId="0" fontId="6" fillId="17" borderId="124" xfId="0" applyFont="1" applyFill="1" applyBorder="1" applyAlignment="1">
      <alignment horizontal="center" vertical="center"/>
    </xf>
    <xf numFmtId="0" fontId="6" fillId="17" borderId="125" xfId="0" applyFont="1" applyFill="1" applyBorder="1" applyAlignment="1">
      <alignment horizontal="center" vertical="center"/>
    </xf>
    <xf numFmtId="0" fontId="24" fillId="18" borderId="113" xfId="0" applyFont="1" applyFill="1" applyBorder="1" applyAlignment="1">
      <alignment horizontal="center" vertical="center"/>
    </xf>
    <xf numFmtId="0" fontId="6" fillId="17" borderId="123" xfId="0" applyFont="1" applyFill="1" applyBorder="1" applyAlignment="1">
      <alignment horizontal="center" vertical="center" wrapText="1"/>
    </xf>
    <xf numFmtId="0" fontId="6" fillId="17" borderId="117" xfId="0" applyFont="1" applyFill="1" applyBorder="1" applyAlignment="1">
      <alignment horizontal="center" vertical="center" wrapText="1"/>
    </xf>
    <xf numFmtId="0" fontId="6" fillId="17" borderId="114" xfId="0" applyFont="1" applyFill="1" applyBorder="1" applyAlignment="1">
      <alignment horizontal="center" vertical="center"/>
    </xf>
    <xf numFmtId="0" fontId="6" fillId="16" borderId="7" xfId="0" applyFont="1" applyFill="1" applyBorder="1" applyAlignment="1">
      <alignment horizontal="center" vertical="center"/>
    </xf>
    <xf numFmtId="0" fontId="6" fillId="16" borderId="26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4" borderId="87" xfId="0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0" fontId="15" fillId="15" borderId="74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106" xfId="0" applyFont="1" applyFill="1" applyBorder="1" applyAlignment="1">
      <alignment horizontal="center" vertical="center"/>
    </xf>
    <xf numFmtId="0" fontId="4" fillId="0" borderId="64" xfId="0" applyFont="1" applyFill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64" xfId="0" applyFont="1" applyFill="1" applyBorder="1" applyAlignment="1">
      <alignment vertical="center"/>
    </xf>
    <xf numFmtId="0" fontId="14" fillId="0" borderId="60" xfId="0" applyFont="1" applyFill="1" applyBorder="1" applyAlignment="1">
      <alignment vertical="center"/>
    </xf>
    <xf numFmtId="0" fontId="14" fillId="0" borderId="71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4" fillId="0" borderId="82" xfId="0" applyFont="1" applyFill="1" applyBorder="1" applyAlignment="1">
      <alignment horizontal="left" vertical="center"/>
    </xf>
    <xf numFmtId="0" fontId="25" fillId="0" borderId="0" xfId="0" applyFont="1" applyAlignment="1">
      <alignment vertical="center"/>
    </xf>
    <xf numFmtId="0" fontId="4" fillId="0" borderId="61" xfId="0" applyFont="1" applyBorder="1" applyAlignment="1">
      <alignment horizontal="left" vertical="center"/>
    </xf>
    <xf numFmtId="0" fontId="4" fillId="0" borderId="61" xfId="0" applyFont="1" applyFill="1" applyBorder="1" applyAlignment="1">
      <alignment horizontal="left" vertical="center"/>
    </xf>
    <xf numFmtId="0" fontId="14" fillId="0" borderId="61" xfId="0" applyFont="1" applyFill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14" fillId="0" borderId="43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2" borderId="1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15" borderId="13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80" xfId="0" applyFont="1" applyFill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7" xfId="0" applyFont="1" applyFill="1" applyBorder="1" applyAlignment="1">
      <alignment horizontal="left" vertical="center"/>
    </xf>
    <xf numFmtId="0" fontId="4" fillId="0" borderId="54" xfId="0" applyFont="1" applyBorder="1" applyAlignment="1">
      <alignment horizontal="left" vertical="center"/>
    </xf>
    <xf numFmtId="0" fontId="4" fillId="0" borderId="114" xfId="0" applyFont="1" applyBorder="1" applyAlignment="1">
      <alignment horizontal="left" vertical="center"/>
    </xf>
    <xf numFmtId="0" fontId="4" fillId="0" borderId="114" xfId="0" applyFont="1" applyFill="1" applyBorder="1" applyAlignment="1">
      <alignment horizontal="left" vertical="center"/>
    </xf>
    <xf numFmtId="0" fontId="25" fillId="0" borderId="127" xfId="0" applyFont="1" applyBorder="1" applyAlignment="1">
      <alignment vertical="center"/>
    </xf>
    <xf numFmtId="0" fontId="4" fillId="0" borderId="127" xfId="0" applyFont="1" applyBorder="1" applyAlignment="1">
      <alignment vertical="center"/>
    </xf>
    <xf numFmtId="0" fontId="25" fillId="0" borderId="128" xfId="0" applyFont="1" applyBorder="1" applyAlignment="1">
      <alignment vertical="center"/>
    </xf>
    <xf numFmtId="0" fontId="4" fillId="0" borderId="128" xfId="0" applyFont="1" applyBorder="1" applyAlignment="1">
      <alignment vertical="center"/>
    </xf>
    <xf numFmtId="0" fontId="4" fillId="0" borderId="58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4" fillId="0" borderId="104" xfId="0" applyFont="1" applyFill="1" applyBorder="1" applyAlignment="1">
      <alignment horizontal="center" vertical="center"/>
    </xf>
    <xf numFmtId="0" fontId="22" fillId="0" borderId="104" xfId="0" applyFont="1" applyFill="1" applyBorder="1" applyAlignment="1">
      <alignment horizontal="center" vertical="center"/>
    </xf>
    <xf numFmtId="0" fontId="22" fillId="0" borderId="99" xfId="0" applyFont="1" applyFill="1" applyBorder="1" applyAlignment="1">
      <alignment horizontal="center" vertical="center"/>
    </xf>
    <xf numFmtId="0" fontId="14" fillId="0" borderId="126" xfId="0" applyFont="1" applyFill="1" applyBorder="1" applyAlignment="1">
      <alignment horizontal="center" vertical="center"/>
    </xf>
    <xf numFmtId="0" fontId="22" fillId="0" borderId="126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5" borderId="65" xfId="0" applyFont="1" applyFill="1" applyBorder="1" applyAlignment="1">
      <alignment horizontal="center" vertical="center"/>
    </xf>
    <xf numFmtId="0" fontId="4" fillId="5" borderId="66" xfId="0" applyFont="1" applyFill="1" applyBorder="1" applyAlignment="1">
      <alignment horizontal="center" vertical="center"/>
    </xf>
    <xf numFmtId="0" fontId="14" fillId="0" borderId="58" xfId="0" applyFont="1" applyFill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14" fillId="0" borderId="37" xfId="0" applyFont="1" applyFill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111" xfId="0" applyFont="1" applyFill="1" applyBorder="1" applyAlignment="1">
      <alignment horizontal="center" vertical="center"/>
    </xf>
    <xf numFmtId="0" fontId="4" fillId="0" borderId="109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0" fontId="4" fillId="0" borderId="113" xfId="0" applyFont="1" applyFill="1" applyBorder="1" applyAlignment="1">
      <alignment horizontal="center" vertical="center"/>
    </xf>
    <xf numFmtId="0" fontId="14" fillId="0" borderId="113" xfId="0" applyFont="1" applyFill="1" applyBorder="1" applyAlignment="1">
      <alignment horizontal="center" vertical="center"/>
    </xf>
    <xf numFmtId="0" fontId="6" fillId="17" borderId="0" xfId="0" applyFont="1" applyFill="1" applyAlignment="1">
      <alignment horizontal="center" vertical="center" textRotation="90"/>
    </xf>
    <xf numFmtId="0" fontId="6" fillId="17" borderId="115" xfId="0" applyFont="1" applyFill="1" applyBorder="1" applyAlignment="1">
      <alignment horizontal="center" vertical="center"/>
    </xf>
    <xf numFmtId="0" fontId="6" fillId="17" borderId="123" xfId="0" applyFont="1" applyFill="1" applyBorder="1" applyAlignment="1">
      <alignment horizontal="center" vertical="center"/>
    </xf>
    <xf numFmtId="0" fontId="6" fillId="17" borderId="116" xfId="0" applyFont="1" applyFill="1" applyBorder="1" applyAlignment="1">
      <alignment horizontal="center" vertical="center"/>
    </xf>
    <xf numFmtId="0" fontId="6" fillId="17" borderId="122" xfId="0" applyFont="1" applyFill="1" applyBorder="1" applyAlignment="1">
      <alignment horizontal="center" vertical="center"/>
    </xf>
    <xf numFmtId="0" fontId="6" fillId="17" borderId="114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1" fillId="0" borderId="0" xfId="0" applyFont="1" applyBorder="1" applyAlignment="1">
      <alignment horizontal="right" vertical="center" wrapText="1"/>
    </xf>
    <xf numFmtId="0" fontId="6" fillId="11" borderId="41" xfId="0" applyFont="1" applyFill="1" applyBorder="1" applyAlignment="1">
      <alignment horizontal="center" vertical="center"/>
    </xf>
    <xf numFmtId="0" fontId="6" fillId="11" borderId="42" xfId="0" applyFont="1" applyFill="1" applyBorder="1" applyAlignment="1">
      <alignment horizontal="center" vertical="center"/>
    </xf>
    <xf numFmtId="0" fontId="6" fillId="11" borderId="38" xfId="0" applyFont="1" applyFill="1" applyBorder="1" applyAlignment="1">
      <alignment horizontal="center" vertical="center"/>
    </xf>
    <xf numFmtId="0" fontId="6" fillId="11" borderId="39" xfId="0" applyFont="1" applyFill="1" applyBorder="1" applyAlignment="1">
      <alignment horizontal="center" vertical="center"/>
    </xf>
    <xf numFmtId="0" fontId="6" fillId="11" borderId="40" xfId="0" applyFont="1" applyFill="1" applyBorder="1" applyAlignment="1">
      <alignment horizontal="center" vertical="center"/>
    </xf>
    <xf numFmtId="0" fontId="6" fillId="16" borderId="10" xfId="0" applyFont="1" applyFill="1" applyBorder="1" applyAlignment="1">
      <alignment horizontal="center" vertical="center"/>
    </xf>
    <xf numFmtId="0" fontId="6" fillId="16" borderId="8" xfId="0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/>
    </xf>
    <xf numFmtId="0" fontId="6" fillId="16" borderId="7" xfId="0" applyFont="1" applyFill="1" applyBorder="1" applyAlignment="1">
      <alignment horizontal="center" vertical="center"/>
    </xf>
    <xf numFmtId="0" fontId="6" fillId="16" borderId="26" xfId="0" applyFont="1" applyFill="1" applyBorder="1" applyAlignment="1">
      <alignment horizontal="center" vertical="center"/>
    </xf>
    <xf numFmtId="0" fontId="6" fillId="16" borderId="32" xfId="0" applyFont="1" applyFill="1" applyBorder="1" applyAlignment="1">
      <alignment horizontal="center" vertical="center"/>
    </xf>
    <xf numFmtId="0" fontId="6" fillId="16" borderId="31" xfId="0" applyFont="1" applyFill="1" applyBorder="1" applyAlignment="1">
      <alignment horizontal="center" vertical="center"/>
    </xf>
    <xf numFmtId="0" fontId="6" fillId="16" borderId="27" xfId="0" applyFont="1" applyFill="1" applyBorder="1" applyAlignment="1">
      <alignment horizontal="center" vertical="center"/>
    </xf>
    <xf numFmtId="0" fontId="6" fillId="16" borderId="9" xfId="0" applyFont="1" applyFill="1" applyBorder="1" applyAlignment="1">
      <alignment horizontal="center" vertical="center"/>
    </xf>
    <xf numFmtId="0" fontId="1" fillId="0" borderId="107" xfId="0" applyFont="1" applyBorder="1" applyAlignment="1">
      <alignment horizontal="right" vertical="center" wrapText="1"/>
    </xf>
    <xf numFmtId="0" fontId="4" fillId="0" borderId="0" xfId="0" applyFont="1" applyAlignment="1">
      <alignment horizontal="center" vertical="center"/>
    </xf>
    <xf numFmtId="0" fontId="17" fillId="10" borderId="0" xfId="0" applyFont="1" applyFill="1" applyAlignment="1">
      <alignment horizontal="center" vertical="center" textRotation="90"/>
    </xf>
    <xf numFmtId="0" fontId="17" fillId="2" borderId="0" xfId="0" applyFont="1" applyFill="1" applyAlignment="1">
      <alignment horizontal="center" vertical="center" textRotation="90"/>
    </xf>
    <xf numFmtId="0" fontId="17" fillId="3" borderId="0" xfId="0" applyFont="1" applyFill="1" applyAlignment="1">
      <alignment horizontal="center" vertical="center" textRotation="90"/>
    </xf>
    <xf numFmtId="0" fontId="6" fillId="10" borderId="54" xfId="0" applyFont="1" applyFill="1" applyBorder="1" applyAlignment="1">
      <alignment horizontal="center" vertical="center"/>
    </xf>
    <xf numFmtId="0" fontId="6" fillId="10" borderId="89" xfId="0" applyFont="1" applyFill="1" applyBorder="1" applyAlignment="1">
      <alignment horizontal="center" vertical="center"/>
    </xf>
    <xf numFmtId="0" fontId="6" fillId="10" borderId="51" xfId="0" applyFont="1" applyFill="1" applyBorder="1" applyAlignment="1">
      <alignment horizontal="center" vertical="center"/>
    </xf>
    <xf numFmtId="0" fontId="1" fillId="0" borderId="73" xfId="0" applyFont="1" applyBorder="1" applyAlignment="1">
      <alignment horizontal="right" vertical="center" wrapText="1"/>
    </xf>
    <xf numFmtId="0" fontId="1" fillId="0" borderId="76" xfId="0" applyFont="1" applyBorder="1" applyAlignment="1">
      <alignment horizontal="right" vertical="center" wrapText="1"/>
    </xf>
    <xf numFmtId="0" fontId="1" fillId="0" borderId="77" xfId="0" applyFont="1" applyBorder="1" applyAlignment="1">
      <alignment horizontal="right" vertical="center" wrapText="1"/>
    </xf>
    <xf numFmtId="0" fontId="6" fillId="16" borderId="98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 textRotation="90"/>
    </xf>
    <xf numFmtId="0" fontId="1" fillId="0" borderId="62" xfId="0" applyFont="1" applyBorder="1" applyAlignment="1">
      <alignment horizontal="right" vertical="center" wrapText="1"/>
    </xf>
    <xf numFmtId="0" fontId="15" fillId="15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vertical="center" textRotation="90"/>
    </xf>
    <xf numFmtId="0" fontId="17" fillId="11" borderId="0" xfId="0" applyFont="1" applyFill="1" applyAlignment="1">
      <alignment horizontal="center" vertical="center" textRotation="90"/>
    </xf>
    <xf numFmtId="0" fontId="6" fillId="4" borderId="87" xfId="0" applyFont="1" applyFill="1" applyBorder="1" applyAlignment="1">
      <alignment horizontal="center" vertical="center"/>
    </xf>
    <xf numFmtId="0" fontId="6" fillId="4" borderId="90" xfId="0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0" fontId="15" fillId="15" borderId="74" xfId="0" applyFont="1" applyFill="1" applyBorder="1" applyAlignment="1">
      <alignment horizontal="center" vertical="center"/>
    </xf>
    <xf numFmtId="0" fontId="15" fillId="15" borderId="7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" fillId="0" borderId="95" xfId="0" applyFont="1" applyBorder="1" applyAlignment="1">
      <alignment horizontal="right" vertical="center" wrapText="1"/>
    </xf>
    <xf numFmtId="0" fontId="1" fillId="0" borderId="96" xfId="0" applyFont="1" applyBorder="1" applyAlignment="1">
      <alignment horizontal="right" vertical="center" wrapText="1"/>
    </xf>
    <xf numFmtId="0" fontId="6" fillId="11" borderId="70" xfId="0" applyFont="1" applyFill="1" applyBorder="1" applyAlignment="1">
      <alignment horizontal="center" vertical="center" wrapText="1"/>
    </xf>
    <xf numFmtId="0" fontId="6" fillId="11" borderId="108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/>
    </xf>
    <xf numFmtId="0" fontId="6" fillId="10" borderId="52" xfId="0" applyFont="1" applyFill="1" applyBorder="1" applyAlignment="1">
      <alignment horizontal="center" vertical="center"/>
    </xf>
    <xf numFmtId="0" fontId="6" fillId="10" borderId="53" xfId="0" applyFont="1" applyFill="1" applyBorder="1" applyAlignment="1">
      <alignment horizontal="center" vertical="center"/>
    </xf>
    <xf numFmtId="0" fontId="6" fillId="10" borderId="5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1" fillId="0" borderId="94" xfId="0" applyFont="1" applyBorder="1" applyAlignment="1">
      <alignment horizontal="right" vertical="center" wrapText="1"/>
    </xf>
    <xf numFmtId="0" fontId="6" fillId="4" borderId="3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" fillId="0" borderId="83" xfId="0" applyFont="1" applyBorder="1" applyAlignment="1">
      <alignment horizontal="right" vertical="center" wrapText="1"/>
    </xf>
    <xf numFmtId="0" fontId="1" fillId="0" borderId="85" xfId="0" applyFont="1" applyBorder="1" applyAlignment="1">
      <alignment horizontal="right" vertical="center" wrapText="1"/>
    </xf>
    <xf numFmtId="0" fontId="1" fillId="0" borderId="86" xfId="0" applyFont="1" applyBorder="1" applyAlignment="1">
      <alignment horizontal="right" vertical="center" wrapText="1"/>
    </xf>
    <xf numFmtId="0" fontId="6" fillId="3" borderId="80" xfId="0" applyFont="1" applyFill="1" applyBorder="1" applyAlignment="1">
      <alignment horizontal="center" vertical="center"/>
    </xf>
    <xf numFmtId="0" fontId="6" fillId="3" borderId="106" xfId="0" applyFont="1" applyFill="1" applyBorder="1" applyAlignment="1">
      <alignment horizontal="center" vertical="center"/>
    </xf>
    <xf numFmtId="0" fontId="6" fillId="3" borderId="110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B800"/>
      <color rgb="FFFFEBAB"/>
      <color rgb="FFFFE389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348"/>
  <sheetViews>
    <sheetView showGridLines="0" tabSelected="1" zoomScaleNormal="100" workbookViewId="0"/>
  </sheetViews>
  <sheetFormatPr baseColWidth="10" defaultColWidth="11.42578125" defaultRowHeight="18" customHeight="1" x14ac:dyDescent="0.25"/>
  <cols>
    <col min="1" max="1" width="3.85546875" style="4" customWidth="1"/>
    <col min="2" max="2" width="3.7109375" style="4" bestFit="1" customWidth="1"/>
    <col min="3" max="3" width="2.7109375" style="4" customWidth="1"/>
    <col min="4" max="5" width="6.7109375" style="4" customWidth="1"/>
    <col min="6" max="6" width="9" style="4" customWidth="1"/>
    <col min="7" max="21" width="10.7109375" style="4" customWidth="1"/>
    <col min="22" max="16384" width="11.42578125" style="4"/>
  </cols>
  <sheetData>
    <row r="1" spans="2:19" ht="19.5" customHeight="1" x14ac:dyDescent="0.25">
      <c r="B1" s="144" t="s">
        <v>157</v>
      </c>
    </row>
    <row r="2" spans="2:19" ht="19.5" customHeight="1" x14ac:dyDescent="0.25">
      <c r="B2" s="164" t="s">
        <v>156</v>
      </c>
      <c r="C2" s="165"/>
      <c r="D2" s="165"/>
      <c r="E2" s="165"/>
      <c r="F2" s="165"/>
      <c r="G2" s="165"/>
      <c r="H2" s="165"/>
      <c r="I2" s="165"/>
    </row>
    <row r="3" spans="2:19" ht="19.5" customHeight="1" x14ac:dyDescent="0.25">
      <c r="B3" s="166" t="s">
        <v>155</v>
      </c>
      <c r="C3" s="167"/>
      <c r="D3" s="167"/>
      <c r="E3" s="167"/>
      <c r="F3" s="167"/>
      <c r="G3" s="167"/>
      <c r="H3" s="167"/>
      <c r="I3" s="167"/>
    </row>
    <row r="4" spans="2:19" ht="19.5" customHeight="1" x14ac:dyDescent="0.25">
      <c r="B4" s="166" t="s">
        <v>154</v>
      </c>
      <c r="C4" s="167"/>
      <c r="D4" s="167"/>
      <c r="E4" s="167"/>
      <c r="F4" s="167"/>
      <c r="G4" s="167"/>
      <c r="H4" s="167"/>
      <c r="I4" s="167"/>
    </row>
    <row r="5" spans="2:19" ht="23.25" customHeight="1" x14ac:dyDescent="0.25">
      <c r="B5" s="3"/>
      <c r="F5" s="38"/>
      <c r="G5" s="38"/>
      <c r="H5" s="38"/>
      <c r="I5" s="38"/>
      <c r="J5" s="38"/>
      <c r="P5"/>
      <c r="Q5"/>
      <c r="R5"/>
      <c r="S5"/>
    </row>
    <row r="6" spans="2:19" ht="25.5" customHeight="1" x14ac:dyDescent="0.25">
      <c r="B6" s="2" t="s">
        <v>110</v>
      </c>
      <c r="E6" s="38"/>
      <c r="F6" s="38"/>
      <c r="G6" s="38"/>
    </row>
    <row r="7" spans="2:19" ht="21" x14ac:dyDescent="0.25">
      <c r="B7" s="61" t="s">
        <v>1</v>
      </c>
    </row>
    <row r="8" spans="2:19" ht="12.75" x14ac:dyDescent="0.25">
      <c r="B8" s="5"/>
    </row>
    <row r="9" spans="2:19" ht="18" customHeight="1" x14ac:dyDescent="0.25">
      <c r="B9" s="1" t="s">
        <v>8</v>
      </c>
      <c r="C9" s="5"/>
    </row>
    <row r="10" spans="2:19" ht="18" customHeight="1" x14ac:dyDescent="0.25">
      <c r="B10" s="1"/>
      <c r="C10" s="5"/>
    </row>
    <row r="11" spans="2:19" ht="18" customHeight="1" x14ac:dyDescent="0.25">
      <c r="G11" s="109" t="s">
        <v>24</v>
      </c>
      <c r="H11" s="110" t="s">
        <v>9</v>
      </c>
      <c r="I11" s="110" t="s">
        <v>10</v>
      </c>
      <c r="J11" s="111" t="s">
        <v>11</v>
      </c>
      <c r="L11" s="66" t="s">
        <v>25</v>
      </c>
      <c r="M11" s="67" t="s">
        <v>9</v>
      </c>
      <c r="N11" s="67" t="s">
        <v>10</v>
      </c>
      <c r="O11" s="68" t="s">
        <v>11</v>
      </c>
    </row>
    <row r="12" spans="2:19" ht="18" customHeight="1" x14ac:dyDescent="0.25">
      <c r="C12" s="145" t="s">
        <v>13</v>
      </c>
      <c r="D12" s="22"/>
      <c r="E12" s="22"/>
      <c r="F12" s="22"/>
      <c r="G12" s="168">
        <f>SUM(H12:J12)</f>
        <v>0</v>
      </c>
      <c r="H12" s="168"/>
      <c r="I12" s="168"/>
      <c r="J12" s="168"/>
      <c r="L12" s="168">
        <f>SUM(M12:O12)</f>
        <v>0</v>
      </c>
      <c r="M12" s="168"/>
      <c r="N12" s="168"/>
      <c r="O12" s="168"/>
    </row>
    <row r="13" spans="2:19" ht="18" customHeight="1" x14ac:dyDescent="0.25">
      <c r="C13" s="145" t="s">
        <v>14</v>
      </c>
      <c r="D13" s="22"/>
      <c r="E13" s="22"/>
      <c r="F13" s="22"/>
      <c r="G13" s="168">
        <f t="shared" ref="G13:G15" si="0">SUM(H13:J13)</f>
        <v>0</v>
      </c>
      <c r="H13" s="168"/>
      <c r="I13" s="168"/>
      <c r="J13" s="168"/>
      <c r="L13" s="168">
        <f t="shared" ref="L13:L15" si="1">SUM(M13:O13)</f>
        <v>0</v>
      </c>
      <c r="M13" s="168"/>
      <c r="N13" s="168"/>
      <c r="O13" s="168"/>
    </row>
    <row r="14" spans="2:19" ht="18" customHeight="1" x14ac:dyDescent="0.25">
      <c r="C14" s="145" t="s">
        <v>15</v>
      </c>
      <c r="D14" s="22"/>
      <c r="E14" s="22"/>
      <c r="F14" s="22"/>
      <c r="G14" s="168">
        <f t="shared" si="0"/>
        <v>0</v>
      </c>
      <c r="H14" s="168"/>
      <c r="I14" s="168"/>
      <c r="J14" s="168"/>
      <c r="L14" s="168">
        <f t="shared" si="1"/>
        <v>0</v>
      </c>
      <c r="M14" s="168"/>
      <c r="N14" s="168"/>
      <c r="O14" s="168"/>
    </row>
    <row r="15" spans="2:19" ht="18" customHeight="1" x14ac:dyDescent="0.25">
      <c r="C15" s="145" t="s">
        <v>16</v>
      </c>
      <c r="D15" s="22"/>
      <c r="E15" s="22"/>
      <c r="F15" s="22"/>
      <c r="G15" s="168">
        <f t="shared" si="0"/>
        <v>0</v>
      </c>
      <c r="H15" s="168"/>
      <c r="I15" s="168"/>
      <c r="J15" s="168"/>
      <c r="L15" s="168">
        <f t="shared" si="1"/>
        <v>0</v>
      </c>
      <c r="M15" s="168"/>
      <c r="N15" s="168"/>
      <c r="O15" s="168"/>
    </row>
    <row r="17" spans="2:16" ht="18" customHeight="1" x14ac:dyDescent="0.25">
      <c r="B17" s="1" t="s">
        <v>17</v>
      </c>
    </row>
    <row r="18" spans="2:16" ht="18" customHeight="1" x14ac:dyDescent="0.25">
      <c r="B18" s="1"/>
    </row>
    <row r="19" spans="2:16" ht="18" customHeight="1" x14ac:dyDescent="0.25">
      <c r="G19" s="65" t="s">
        <v>24</v>
      </c>
      <c r="H19" s="68" t="s">
        <v>25</v>
      </c>
    </row>
    <row r="20" spans="2:16" ht="18" customHeight="1" x14ac:dyDescent="0.25">
      <c r="C20" s="145" t="s">
        <v>13</v>
      </c>
      <c r="D20" s="22"/>
      <c r="E20" s="22"/>
      <c r="F20" s="21"/>
      <c r="G20" s="168"/>
      <c r="H20" s="168"/>
    </row>
    <row r="21" spans="2:16" ht="18" customHeight="1" x14ac:dyDescent="0.25">
      <c r="C21" s="145" t="s">
        <v>14</v>
      </c>
      <c r="D21" s="22"/>
      <c r="E21" s="22"/>
      <c r="F21" s="21"/>
      <c r="G21" s="168"/>
      <c r="H21" s="168"/>
    </row>
    <row r="22" spans="2:16" ht="18" customHeight="1" x14ac:dyDescent="0.25">
      <c r="C22" s="145" t="s">
        <v>15</v>
      </c>
      <c r="D22" s="22"/>
      <c r="E22" s="22"/>
      <c r="F22" s="21"/>
      <c r="G22" s="168"/>
      <c r="H22" s="168"/>
    </row>
    <row r="23" spans="2:16" ht="18" customHeight="1" x14ac:dyDescent="0.25">
      <c r="C23" s="145" t="s">
        <v>16</v>
      </c>
      <c r="D23" s="22"/>
      <c r="E23" s="22"/>
      <c r="F23" s="21"/>
      <c r="G23" s="168"/>
      <c r="H23" s="168"/>
    </row>
    <row r="25" spans="2:16" ht="18" customHeight="1" x14ac:dyDescent="0.25">
      <c r="B25" s="1" t="s">
        <v>94</v>
      </c>
    </row>
    <row r="26" spans="2:16" ht="18" customHeight="1" x14ac:dyDescent="0.25">
      <c r="B26" s="1"/>
    </row>
    <row r="27" spans="2:16" ht="18" customHeight="1" x14ac:dyDescent="0.25">
      <c r="G27" s="214" t="s">
        <v>12</v>
      </c>
      <c r="H27" s="230"/>
      <c r="I27" s="216" t="s">
        <v>96</v>
      </c>
      <c r="J27" s="217"/>
      <c r="M27" s="54"/>
      <c r="N27" s="54"/>
      <c r="O27" s="125" t="s">
        <v>12</v>
      </c>
      <c r="P27" s="68" t="s">
        <v>35</v>
      </c>
    </row>
    <row r="28" spans="2:16" ht="18" customHeight="1" x14ac:dyDescent="0.25">
      <c r="C28" s="79" t="s">
        <v>76</v>
      </c>
      <c r="D28" s="55"/>
      <c r="E28" s="55"/>
      <c r="F28" s="55"/>
      <c r="G28" s="101" t="s">
        <v>127</v>
      </c>
      <c r="H28" s="101" t="s">
        <v>95</v>
      </c>
      <c r="I28" s="102" t="s">
        <v>127</v>
      </c>
      <c r="J28" s="101" t="s">
        <v>95</v>
      </c>
      <c r="M28" s="54"/>
      <c r="N28" s="69" t="s">
        <v>104</v>
      </c>
      <c r="O28" s="170"/>
      <c r="P28" s="170"/>
    </row>
    <row r="29" spans="2:16" ht="18" customHeight="1" x14ac:dyDescent="0.25">
      <c r="E29" s="145" t="s">
        <v>97</v>
      </c>
      <c r="F29" s="59"/>
      <c r="G29" s="169"/>
      <c r="H29" s="169"/>
      <c r="I29" s="169"/>
      <c r="J29" s="169"/>
    </row>
    <row r="30" spans="2:16" ht="18" customHeight="1" x14ac:dyDescent="0.25">
      <c r="E30" s="145" t="s">
        <v>98</v>
      </c>
      <c r="F30" s="59"/>
      <c r="G30" s="168"/>
      <c r="H30" s="168"/>
      <c r="I30" s="168"/>
      <c r="J30" s="168"/>
    </row>
    <row r="31" spans="2:16" ht="18" customHeight="1" x14ac:dyDescent="0.25">
      <c r="E31" s="145" t="s">
        <v>99</v>
      </c>
      <c r="F31" s="59"/>
      <c r="G31" s="168"/>
      <c r="H31" s="168"/>
      <c r="I31" s="168"/>
      <c r="J31" s="168"/>
    </row>
    <row r="32" spans="2:16" ht="18" customHeight="1" x14ac:dyDescent="0.25">
      <c r="E32" s="145" t="s">
        <v>100</v>
      </c>
      <c r="F32" s="59"/>
      <c r="G32" s="168"/>
      <c r="H32" s="168"/>
      <c r="I32" s="168"/>
      <c r="J32" s="168"/>
    </row>
    <row r="33" spans="2:14" ht="18" customHeight="1" x14ac:dyDescent="0.25">
      <c r="E33" s="145" t="s">
        <v>101</v>
      </c>
      <c r="F33" s="59"/>
      <c r="G33" s="168"/>
      <c r="H33" s="168"/>
      <c r="I33" s="168"/>
      <c r="J33" s="168"/>
    </row>
    <row r="34" spans="2:14" ht="18" customHeight="1" x14ac:dyDescent="0.25">
      <c r="E34" s="145" t="s">
        <v>102</v>
      </c>
      <c r="F34" s="59"/>
      <c r="G34" s="168"/>
      <c r="H34" s="168"/>
      <c r="I34" s="168"/>
      <c r="J34" s="168"/>
    </row>
    <row r="36" spans="2:14" ht="18" customHeight="1" x14ac:dyDescent="0.25">
      <c r="G36" s="125" t="s">
        <v>12</v>
      </c>
      <c r="H36" s="125" t="s">
        <v>73</v>
      </c>
      <c r="I36" s="125" t="s">
        <v>74</v>
      </c>
      <c r="J36" s="125" t="s">
        <v>75</v>
      </c>
      <c r="K36" s="125" t="s">
        <v>147</v>
      </c>
      <c r="L36" s="125" t="s">
        <v>148</v>
      </c>
      <c r="M36" s="125" t="s">
        <v>149</v>
      </c>
      <c r="N36" s="60" t="s">
        <v>150</v>
      </c>
    </row>
    <row r="37" spans="2:14" ht="18" customHeight="1" x14ac:dyDescent="0.25">
      <c r="C37" s="146" t="s">
        <v>103</v>
      </c>
      <c r="D37" s="136"/>
      <c r="E37" s="136"/>
      <c r="F37" s="136"/>
      <c r="G37" s="171">
        <f>SUM(H37:N37)</f>
        <v>0</v>
      </c>
      <c r="H37" s="172"/>
      <c r="I37" s="172"/>
      <c r="J37" s="172"/>
      <c r="K37" s="172"/>
      <c r="L37" s="172"/>
      <c r="M37" s="172"/>
      <c r="N37" s="172"/>
    </row>
    <row r="38" spans="2:14" ht="18" customHeight="1" x14ac:dyDescent="0.25">
      <c r="C38" s="146" t="s">
        <v>105</v>
      </c>
      <c r="D38" s="136"/>
      <c r="E38" s="136"/>
      <c r="F38" s="136"/>
      <c r="G38" s="171">
        <f>SUM(H38:N38)</f>
        <v>0</v>
      </c>
      <c r="H38" s="173"/>
      <c r="I38" s="173"/>
      <c r="J38" s="173"/>
      <c r="K38" s="173"/>
      <c r="L38" s="173"/>
      <c r="M38" s="173"/>
      <c r="N38" s="173"/>
    </row>
    <row r="39" spans="2:14" ht="18" customHeight="1" x14ac:dyDescent="0.25">
      <c r="G39" s="125" t="s">
        <v>151</v>
      </c>
      <c r="H39" s="126"/>
      <c r="I39" s="126"/>
      <c r="J39" s="126"/>
      <c r="K39" s="126"/>
      <c r="L39" s="126"/>
      <c r="M39" s="126"/>
      <c r="N39" s="126"/>
    </row>
    <row r="40" spans="2:14" ht="18" customHeight="1" x14ac:dyDescent="0.25">
      <c r="C40" s="146" t="s">
        <v>103</v>
      </c>
      <c r="D40" s="136"/>
      <c r="E40" s="136"/>
      <c r="F40" s="136"/>
      <c r="G40" s="174">
        <f>SUM(H40:N40)</f>
        <v>0</v>
      </c>
      <c r="H40" s="175"/>
      <c r="I40" s="175"/>
      <c r="J40" s="175"/>
      <c r="K40" s="175"/>
      <c r="L40" s="175"/>
      <c r="M40" s="175"/>
      <c r="N40" s="175"/>
    </row>
    <row r="41" spans="2:14" ht="18" customHeight="1" x14ac:dyDescent="0.25">
      <c r="C41" s="146" t="s">
        <v>105</v>
      </c>
      <c r="D41" s="136"/>
      <c r="E41" s="136"/>
      <c r="F41" s="136"/>
      <c r="G41" s="174">
        <f>SUM(H41:N41)</f>
        <v>0</v>
      </c>
      <c r="H41" s="175"/>
      <c r="I41" s="175"/>
      <c r="J41" s="175"/>
      <c r="K41" s="175"/>
      <c r="L41" s="175"/>
      <c r="M41" s="175"/>
      <c r="N41" s="175"/>
    </row>
    <row r="42" spans="2:14" ht="18" customHeight="1" x14ac:dyDescent="0.25">
      <c r="G42" s="137"/>
    </row>
    <row r="44" spans="2:14" ht="18" customHeight="1" x14ac:dyDescent="0.25">
      <c r="B44" s="236" t="s">
        <v>0</v>
      </c>
      <c r="C44" s="1" t="s">
        <v>18</v>
      </c>
    </row>
    <row r="45" spans="2:14" ht="18" customHeight="1" x14ac:dyDescent="0.25">
      <c r="B45" s="236"/>
      <c r="C45" s="3"/>
      <c r="D45" s="1" t="s">
        <v>19</v>
      </c>
    </row>
    <row r="46" spans="2:14" ht="18" customHeight="1" x14ac:dyDescent="0.25">
      <c r="B46" s="236"/>
      <c r="C46" s="3"/>
      <c r="D46" s="1"/>
    </row>
    <row r="47" spans="2:14" ht="18" customHeight="1" x14ac:dyDescent="0.25">
      <c r="B47" s="236"/>
      <c r="C47" s="3"/>
      <c r="G47" s="60" t="s">
        <v>12</v>
      </c>
      <c r="H47" s="170"/>
    </row>
    <row r="48" spans="2:14" ht="18" customHeight="1" x14ac:dyDescent="0.25">
      <c r="B48" s="236"/>
      <c r="C48" s="3"/>
    </row>
    <row r="49" spans="2:19" ht="27" x14ac:dyDescent="0.25">
      <c r="B49" s="236"/>
      <c r="C49" s="3"/>
      <c r="D49" s="203" t="s">
        <v>20</v>
      </c>
      <c r="E49" s="203"/>
      <c r="F49" s="232"/>
      <c r="G49" s="62" t="s">
        <v>21</v>
      </c>
      <c r="H49" s="115" t="s">
        <v>23</v>
      </c>
      <c r="I49" s="63" t="s">
        <v>22</v>
      </c>
      <c r="K49" s="203" t="s">
        <v>2</v>
      </c>
      <c r="L49" s="203"/>
      <c r="M49" s="232"/>
      <c r="N49" s="124" t="s">
        <v>24</v>
      </c>
      <c r="O49" s="64" t="s">
        <v>25</v>
      </c>
    </row>
    <row r="50" spans="2:19" ht="18" customHeight="1" x14ac:dyDescent="0.25">
      <c r="B50" s="236"/>
      <c r="C50" s="3"/>
      <c r="D50" s="203"/>
      <c r="E50" s="203"/>
      <c r="F50" s="232"/>
      <c r="G50" s="170"/>
      <c r="H50" s="170"/>
      <c r="I50" s="170"/>
      <c r="K50" s="203"/>
      <c r="L50" s="203"/>
      <c r="M50" s="232"/>
      <c r="N50" s="170"/>
      <c r="O50" s="170"/>
    </row>
    <row r="51" spans="2:19" ht="18" customHeight="1" x14ac:dyDescent="0.25">
      <c r="B51" s="236"/>
      <c r="C51" s="3"/>
    </row>
    <row r="52" spans="2:19" ht="18" customHeight="1" x14ac:dyDescent="0.25">
      <c r="B52" s="236"/>
      <c r="D52" s="80" t="s">
        <v>26</v>
      </c>
      <c r="E52" s="23"/>
      <c r="F52" s="23"/>
      <c r="G52" s="23"/>
      <c r="H52" s="60" t="s">
        <v>24</v>
      </c>
      <c r="I52" s="101" t="s">
        <v>9</v>
      </c>
      <c r="J52" s="101" t="s">
        <v>10</v>
      </c>
      <c r="K52" s="101" t="s">
        <v>11</v>
      </c>
      <c r="M52" s="60" t="s">
        <v>25</v>
      </c>
      <c r="N52" s="101" t="s">
        <v>9</v>
      </c>
      <c r="O52" s="101" t="s">
        <v>10</v>
      </c>
      <c r="P52" s="101" t="s">
        <v>11</v>
      </c>
    </row>
    <row r="53" spans="2:19" ht="18" customHeight="1" x14ac:dyDescent="0.25">
      <c r="B53" s="236"/>
      <c r="F53" s="145" t="s">
        <v>27</v>
      </c>
      <c r="G53" s="21"/>
      <c r="H53" s="169">
        <f>SUM(I53:K53)</f>
        <v>0</v>
      </c>
      <c r="I53" s="169"/>
      <c r="J53" s="169"/>
      <c r="K53" s="169"/>
      <c r="M53" s="176">
        <f>SUM(N53:P53)</f>
        <v>0</v>
      </c>
      <c r="N53" s="176"/>
      <c r="O53" s="176"/>
      <c r="P53" s="176"/>
    </row>
    <row r="54" spans="2:19" ht="18" customHeight="1" x14ac:dyDescent="0.25">
      <c r="B54" s="236"/>
      <c r="F54" s="145" t="s">
        <v>28</v>
      </c>
      <c r="G54" s="21"/>
      <c r="H54" s="169">
        <f t="shared" ref="H54:H56" si="2">SUM(I54:K54)</f>
        <v>0</v>
      </c>
      <c r="I54" s="168"/>
      <c r="J54" s="168"/>
      <c r="K54" s="168"/>
      <c r="M54" s="176">
        <f t="shared" ref="M54:M56" si="3">SUM(N54:P54)</f>
        <v>0</v>
      </c>
      <c r="N54" s="170"/>
      <c r="O54" s="170"/>
      <c r="P54" s="170"/>
    </row>
    <row r="55" spans="2:19" ht="18" customHeight="1" x14ac:dyDescent="0.25">
      <c r="B55" s="236"/>
      <c r="F55" s="145" t="s">
        <v>30</v>
      </c>
      <c r="G55" s="21"/>
      <c r="H55" s="169">
        <f t="shared" si="2"/>
        <v>0</v>
      </c>
      <c r="I55" s="168"/>
      <c r="J55" s="168"/>
      <c r="K55" s="168"/>
      <c r="M55" s="176">
        <f t="shared" si="3"/>
        <v>0</v>
      </c>
      <c r="N55" s="170"/>
      <c r="O55" s="170"/>
      <c r="P55" s="170"/>
    </row>
    <row r="56" spans="2:19" ht="18" customHeight="1" x14ac:dyDescent="0.25">
      <c r="B56" s="236"/>
      <c r="F56" s="145" t="s">
        <v>29</v>
      </c>
      <c r="G56" s="21"/>
      <c r="H56" s="169">
        <f t="shared" si="2"/>
        <v>0</v>
      </c>
      <c r="I56" s="168"/>
      <c r="J56" s="168"/>
      <c r="K56" s="168"/>
      <c r="M56" s="176">
        <f t="shared" si="3"/>
        <v>0</v>
      </c>
      <c r="N56" s="170"/>
      <c r="O56" s="170"/>
      <c r="P56" s="170"/>
    </row>
    <row r="57" spans="2:19" ht="18" customHeight="1" x14ac:dyDescent="0.25">
      <c r="B57" s="236"/>
    </row>
    <row r="58" spans="2:19" ht="18" customHeight="1" x14ac:dyDescent="0.25">
      <c r="B58" s="236"/>
      <c r="D58" s="1" t="s">
        <v>31</v>
      </c>
    </row>
    <row r="59" spans="2:19" ht="18" customHeight="1" x14ac:dyDescent="0.25">
      <c r="B59" s="236"/>
      <c r="D59" s="1"/>
    </row>
    <row r="60" spans="2:19" ht="18" customHeight="1" x14ac:dyDescent="0.25">
      <c r="B60" s="236"/>
      <c r="J60" s="213" t="s">
        <v>43</v>
      </c>
      <c r="K60" s="211"/>
      <c r="L60" s="218" t="s">
        <v>9</v>
      </c>
      <c r="M60" s="218"/>
      <c r="N60" s="210" t="s">
        <v>10</v>
      </c>
      <c r="O60" s="211"/>
      <c r="P60" s="210" t="s">
        <v>11</v>
      </c>
      <c r="Q60" s="211"/>
      <c r="R60" s="210" t="s">
        <v>32</v>
      </c>
      <c r="S60" s="212"/>
    </row>
    <row r="61" spans="2:19" ht="18" customHeight="1" x14ac:dyDescent="0.25">
      <c r="B61" s="236"/>
      <c r="D61" s="1" t="s">
        <v>3</v>
      </c>
      <c r="J61" s="24" t="s">
        <v>34</v>
      </c>
      <c r="K61" s="24" t="s">
        <v>35</v>
      </c>
      <c r="L61" s="24" t="s">
        <v>34</v>
      </c>
      <c r="M61" s="24" t="s">
        <v>35</v>
      </c>
      <c r="N61" s="24" t="s">
        <v>34</v>
      </c>
      <c r="O61" s="24" t="s">
        <v>35</v>
      </c>
      <c r="P61" s="24" t="s">
        <v>34</v>
      </c>
      <c r="Q61" s="24" t="s">
        <v>35</v>
      </c>
      <c r="R61" s="24" t="s">
        <v>34</v>
      </c>
      <c r="S61" s="24" t="s">
        <v>35</v>
      </c>
    </row>
    <row r="62" spans="2:19" ht="18" customHeight="1" x14ac:dyDescent="0.25">
      <c r="B62" s="236"/>
      <c r="D62" s="145" t="s">
        <v>33</v>
      </c>
      <c r="E62" s="22"/>
      <c r="F62" s="22"/>
      <c r="G62" s="22"/>
      <c r="H62" s="22"/>
      <c r="I62" s="21"/>
      <c r="J62" s="177">
        <f>L62+N62+P62+R62</f>
        <v>0</v>
      </c>
      <c r="K62" s="177">
        <f>M62+O62+Q62+S62</f>
        <v>0</v>
      </c>
      <c r="L62" s="168"/>
      <c r="M62" s="168"/>
      <c r="N62" s="168"/>
      <c r="O62" s="168"/>
      <c r="P62" s="168"/>
      <c r="Q62" s="168"/>
      <c r="R62" s="168"/>
      <c r="S62" s="168"/>
    </row>
    <row r="63" spans="2:19" ht="18" customHeight="1" x14ac:dyDescent="0.25">
      <c r="B63" s="236"/>
      <c r="D63" s="145" t="s">
        <v>36</v>
      </c>
      <c r="E63" s="22"/>
      <c r="F63" s="22"/>
      <c r="G63" s="22"/>
      <c r="H63" s="22"/>
      <c r="I63" s="21"/>
      <c r="J63" s="177">
        <f t="shared" ref="J63:J68" si="4">L63+N63+P63+R63</f>
        <v>0</v>
      </c>
      <c r="K63" s="177">
        <f t="shared" ref="K63:K68" si="5">M63+O63+Q63+S63</f>
        <v>0</v>
      </c>
      <c r="L63" s="168"/>
      <c r="M63" s="168"/>
      <c r="N63" s="168"/>
      <c r="O63" s="168"/>
      <c r="P63" s="168"/>
      <c r="Q63" s="168"/>
      <c r="R63" s="168"/>
      <c r="S63" s="168"/>
    </row>
    <row r="64" spans="2:19" ht="18" customHeight="1" x14ac:dyDescent="0.25">
      <c r="B64" s="236"/>
      <c r="D64" s="145" t="s">
        <v>37</v>
      </c>
      <c r="E64" s="22"/>
      <c r="F64" s="22"/>
      <c r="G64" s="22"/>
      <c r="H64" s="22"/>
      <c r="I64" s="21"/>
      <c r="J64" s="177">
        <f t="shared" si="4"/>
        <v>0</v>
      </c>
      <c r="K64" s="177">
        <f t="shared" si="5"/>
        <v>0</v>
      </c>
      <c r="L64" s="168"/>
      <c r="M64" s="168"/>
      <c r="N64" s="168"/>
      <c r="O64" s="168"/>
      <c r="P64" s="168"/>
      <c r="Q64" s="168"/>
      <c r="R64" s="168"/>
      <c r="S64" s="168"/>
    </row>
    <row r="65" spans="2:19" ht="18" customHeight="1" x14ac:dyDescent="0.25">
      <c r="B65" s="236"/>
      <c r="D65" s="145" t="s">
        <v>38</v>
      </c>
      <c r="E65" s="22"/>
      <c r="F65" s="22"/>
      <c r="G65" s="22"/>
      <c r="H65" s="22"/>
      <c r="I65" s="21"/>
      <c r="J65" s="177">
        <f t="shared" si="4"/>
        <v>0</v>
      </c>
      <c r="K65" s="177">
        <f t="shared" si="5"/>
        <v>0</v>
      </c>
      <c r="L65" s="168"/>
      <c r="M65" s="168"/>
      <c r="N65" s="168"/>
      <c r="O65" s="168"/>
      <c r="P65" s="168"/>
      <c r="Q65" s="168"/>
      <c r="R65" s="168"/>
      <c r="S65" s="168"/>
    </row>
    <row r="66" spans="2:19" ht="18" customHeight="1" x14ac:dyDescent="0.25">
      <c r="B66" s="236"/>
      <c r="D66" s="145" t="s">
        <v>111</v>
      </c>
      <c r="E66" s="22"/>
      <c r="F66" s="22"/>
      <c r="G66" s="22"/>
      <c r="H66" s="22"/>
      <c r="I66" s="21"/>
      <c r="J66" s="177">
        <f t="shared" si="4"/>
        <v>0</v>
      </c>
      <c r="K66" s="177">
        <f t="shared" si="5"/>
        <v>0</v>
      </c>
      <c r="L66" s="168"/>
      <c r="M66" s="168"/>
      <c r="N66" s="168"/>
      <c r="O66" s="168"/>
      <c r="P66" s="168"/>
      <c r="Q66" s="168"/>
      <c r="R66" s="168"/>
      <c r="S66" s="168"/>
    </row>
    <row r="67" spans="2:19" ht="18" customHeight="1" x14ac:dyDescent="0.25">
      <c r="B67" s="236"/>
      <c r="D67" s="145" t="s">
        <v>39</v>
      </c>
      <c r="E67" s="22"/>
      <c r="F67" s="22"/>
      <c r="G67" s="22"/>
      <c r="H67" s="22"/>
      <c r="I67" s="21"/>
      <c r="J67" s="177">
        <f t="shared" si="4"/>
        <v>0</v>
      </c>
      <c r="K67" s="177">
        <f t="shared" si="5"/>
        <v>0</v>
      </c>
      <c r="L67" s="168"/>
      <c r="M67" s="168"/>
      <c r="N67" s="168"/>
      <c r="O67" s="168"/>
      <c r="P67" s="168"/>
      <c r="Q67" s="168"/>
      <c r="R67" s="168"/>
      <c r="S67" s="168"/>
    </row>
    <row r="68" spans="2:19" ht="18" customHeight="1" x14ac:dyDescent="0.25">
      <c r="B68" s="236"/>
      <c r="D68" s="145" t="s">
        <v>108</v>
      </c>
      <c r="E68" s="22"/>
      <c r="F68" s="22"/>
      <c r="G68" s="22"/>
      <c r="H68" s="22"/>
      <c r="I68" s="21"/>
      <c r="J68" s="177">
        <f t="shared" si="4"/>
        <v>0</v>
      </c>
      <c r="K68" s="177">
        <f t="shared" si="5"/>
        <v>0</v>
      </c>
      <c r="L68" s="168"/>
      <c r="M68" s="168"/>
      <c r="N68" s="168"/>
      <c r="O68" s="168"/>
      <c r="P68" s="168"/>
      <c r="Q68" s="168"/>
      <c r="R68" s="168"/>
      <c r="S68" s="168"/>
    </row>
    <row r="69" spans="2:19" ht="18" customHeight="1" x14ac:dyDescent="0.25">
      <c r="B69" s="236"/>
    </row>
    <row r="70" spans="2:19" ht="18" customHeight="1" x14ac:dyDescent="0.25">
      <c r="B70" s="236"/>
      <c r="D70" s="1" t="s">
        <v>40</v>
      </c>
    </row>
    <row r="71" spans="2:19" ht="18" customHeight="1" x14ac:dyDescent="0.25">
      <c r="B71" s="236"/>
      <c r="D71" s="1"/>
    </row>
    <row r="72" spans="2:19" ht="18" customHeight="1" x14ac:dyDescent="0.25">
      <c r="B72" s="236"/>
      <c r="I72" s="214" t="s">
        <v>43</v>
      </c>
      <c r="J72" s="215"/>
      <c r="K72" s="216" t="s">
        <v>9</v>
      </c>
      <c r="L72" s="215"/>
      <c r="M72" s="216" t="s">
        <v>10</v>
      </c>
      <c r="N72" s="215"/>
      <c r="O72" s="216" t="s">
        <v>11</v>
      </c>
      <c r="P72" s="215"/>
      <c r="Q72" s="216" t="s">
        <v>32</v>
      </c>
      <c r="R72" s="217"/>
    </row>
    <row r="73" spans="2:19" ht="18" customHeight="1" x14ac:dyDescent="0.25">
      <c r="B73" s="236"/>
      <c r="I73" s="6" t="s">
        <v>34</v>
      </c>
      <c r="J73" s="24" t="s">
        <v>35</v>
      </c>
      <c r="K73" s="24" t="s">
        <v>34</v>
      </c>
      <c r="L73" s="24" t="s">
        <v>35</v>
      </c>
      <c r="M73" s="24" t="s">
        <v>34</v>
      </c>
      <c r="N73" s="24" t="s">
        <v>35</v>
      </c>
      <c r="O73" s="24" t="s">
        <v>34</v>
      </c>
      <c r="P73" s="24" t="s">
        <v>35</v>
      </c>
      <c r="Q73" s="24" t="s">
        <v>34</v>
      </c>
      <c r="R73" s="24" t="s">
        <v>35</v>
      </c>
    </row>
    <row r="74" spans="2:19" ht="18" customHeight="1" x14ac:dyDescent="0.25">
      <c r="B74" s="236"/>
      <c r="D74" s="146" t="s">
        <v>41</v>
      </c>
      <c r="E74" s="88"/>
      <c r="F74" s="88"/>
      <c r="G74" s="88"/>
      <c r="H74" s="89"/>
      <c r="I74" s="177">
        <f>K74+M74+O74+Q74</f>
        <v>0</v>
      </c>
      <c r="J74" s="177">
        <f>L74+N74+P74+R74</f>
        <v>0</v>
      </c>
      <c r="K74" s="177"/>
      <c r="L74" s="177"/>
      <c r="M74" s="177"/>
      <c r="N74" s="177"/>
      <c r="O74" s="177"/>
      <c r="P74" s="177"/>
      <c r="Q74" s="177"/>
      <c r="R74" s="177"/>
    </row>
    <row r="75" spans="2:19" ht="18" customHeight="1" x14ac:dyDescent="0.25">
      <c r="B75" s="236"/>
      <c r="D75" s="146" t="s">
        <v>42</v>
      </c>
      <c r="E75" s="88"/>
      <c r="F75" s="88"/>
      <c r="G75" s="88"/>
      <c r="H75" s="89"/>
      <c r="I75" s="177">
        <f>M75+O75+Q75</f>
        <v>0</v>
      </c>
      <c r="J75" s="177">
        <f>N75+P75+R75</f>
        <v>0</v>
      </c>
      <c r="K75" s="178"/>
      <c r="L75" s="179"/>
      <c r="M75" s="177"/>
      <c r="N75" s="177"/>
      <c r="O75" s="177"/>
      <c r="P75" s="177"/>
      <c r="Q75" s="177"/>
      <c r="R75" s="177"/>
    </row>
    <row r="76" spans="2:19" ht="18" customHeight="1" x14ac:dyDescent="0.25">
      <c r="B76" s="236"/>
      <c r="K76" s="90"/>
      <c r="L76" s="90"/>
      <c r="M76" s="90"/>
      <c r="N76" s="90"/>
      <c r="O76" s="90"/>
      <c r="P76" s="90"/>
      <c r="Q76" s="90"/>
      <c r="R76" s="90"/>
    </row>
    <row r="77" spans="2:19" ht="18" customHeight="1" x14ac:dyDescent="0.25">
      <c r="B77" s="236"/>
      <c r="I77" s="24" t="s">
        <v>12</v>
      </c>
      <c r="J77" s="90"/>
      <c r="K77" s="90"/>
      <c r="L77" s="90"/>
      <c r="M77" s="90"/>
      <c r="N77" s="90"/>
      <c r="O77" s="90"/>
      <c r="P77" s="90"/>
      <c r="Q77" s="90"/>
      <c r="R77" s="90"/>
    </row>
    <row r="78" spans="2:19" ht="18" customHeight="1" x14ac:dyDescent="0.25">
      <c r="B78" s="236"/>
      <c r="D78" s="147" t="s">
        <v>119</v>
      </c>
      <c r="E78" s="138"/>
      <c r="F78" s="138"/>
      <c r="G78" s="138"/>
      <c r="H78" s="139"/>
      <c r="I78" s="180"/>
      <c r="J78" s="90"/>
      <c r="K78" s="90"/>
      <c r="L78" s="90"/>
      <c r="M78" s="90"/>
      <c r="N78" s="90"/>
      <c r="O78" s="90"/>
      <c r="P78" s="90"/>
      <c r="Q78" s="90"/>
      <c r="R78" s="90"/>
    </row>
    <row r="79" spans="2:19" ht="18" customHeight="1" x14ac:dyDescent="0.25">
      <c r="B79" s="236"/>
      <c r="J79" s="90"/>
    </row>
    <row r="82" spans="2:18" ht="18" customHeight="1" x14ac:dyDescent="0.25">
      <c r="B82" s="237" t="s">
        <v>4</v>
      </c>
      <c r="C82" s="1" t="s">
        <v>45</v>
      </c>
    </row>
    <row r="83" spans="2:18" ht="18" customHeight="1" x14ac:dyDescent="0.25">
      <c r="B83" s="237"/>
      <c r="D83" s="1" t="s">
        <v>46</v>
      </c>
    </row>
    <row r="84" spans="2:18" ht="18" customHeight="1" x14ac:dyDescent="0.25">
      <c r="B84" s="237"/>
      <c r="D84" s="1"/>
    </row>
    <row r="85" spans="2:18" ht="18" customHeight="1" x14ac:dyDescent="0.25">
      <c r="B85" s="237"/>
      <c r="G85" s="25" t="s">
        <v>12</v>
      </c>
      <c r="H85" s="181"/>
    </row>
    <row r="86" spans="2:18" ht="18" customHeight="1" x14ac:dyDescent="0.25">
      <c r="B86" s="237"/>
    </row>
    <row r="87" spans="2:18" ht="27" customHeight="1" x14ac:dyDescent="0.25">
      <c r="B87" s="237"/>
      <c r="D87" s="203" t="s">
        <v>20</v>
      </c>
      <c r="E87" s="203"/>
      <c r="F87" s="204"/>
      <c r="G87" s="26" t="s">
        <v>21</v>
      </c>
      <c r="H87" s="56" t="s">
        <v>23</v>
      </c>
      <c r="I87" s="27" t="s">
        <v>22</v>
      </c>
      <c r="K87" s="203" t="s">
        <v>2</v>
      </c>
      <c r="L87" s="203"/>
      <c r="M87" s="203"/>
      <c r="N87" s="28" t="s">
        <v>24</v>
      </c>
      <c r="O87" s="29" t="s">
        <v>25</v>
      </c>
    </row>
    <row r="88" spans="2:18" ht="18" customHeight="1" x14ac:dyDescent="0.25">
      <c r="B88" s="237"/>
      <c r="D88" s="203"/>
      <c r="E88" s="203"/>
      <c r="F88" s="204"/>
      <c r="G88" s="181"/>
      <c r="H88" s="181"/>
      <c r="I88" s="181"/>
      <c r="K88" s="203"/>
      <c r="L88" s="203"/>
      <c r="M88" s="203"/>
      <c r="N88" s="181"/>
      <c r="O88" s="181"/>
    </row>
    <row r="89" spans="2:18" ht="18" customHeight="1" x14ac:dyDescent="0.25">
      <c r="B89" s="237"/>
    </row>
    <row r="90" spans="2:18" ht="18" customHeight="1" x14ac:dyDescent="0.25">
      <c r="B90" s="237"/>
      <c r="D90" s="1" t="s">
        <v>31</v>
      </c>
    </row>
    <row r="91" spans="2:18" ht="18" customHeight="1" x14ac:dyDescent="0.25">
      <c r="B91" s="237"/>
      <c r="D91" s="1"/>
    </row>
    <row r="92" spans="2:18" ht="18" customHeight="1" x14ac:dyDescent="0.25">
      <c r="B92" s="237"/>
      <c r="I92" s="207" t="s">
        <v>43</v>
      </c>
      <c r="J92" s="208"/>
      <c r="K92" s="209" t="s">
        <v>9</v>
      </c>
      <c r="L92" s="209"/>
      <c r="M92" s="205" t="s">
        <v>10</v>
      </c>
      <c r="N92" s="208"/>
      <c r="O92" s="205" t="s">
        <v>11</v>
      </c>
      <c r="P92" s="208"/>
      <c r="Q92" s="205" t="s">
        <v>32</v>
      </c>
      <c r="R92" s="206"/>
    </row>
    <row r="93" spans="2:18" ht="18" customHeight="1" x14ac:dyDescent="0.25">
      <c r="B93" s="237"/>
      <c r="D93" s="1" t="s">
        <v>3</v>
      </c>
      <c r="I93" s="30" t="s">
        <v>34</v>
      </c>
      <c r="J93" s="30" t="s">
        <v>35</v>
      </c>
      <c r="K93" s="30" t="s">
        <v>34</v>
      </c>
      <c r="L93" s="30" t="s">
        <v>35</v>
      </c>
      <c r="M93" s="30" t="s">
        <v>34</v>
      </c>
      <c r="N93" s="30" t="s">
        <v>35</v>
      </c>
      <c r="O93" s="30" t="s">
        <v>34</v>
      </c>
      <c r="P93" s="30" t="s">
        <v>35</v>
      </c>
      <c r="Q93" s="30" t="s">
        <v>34</v>
      </c>
      <c r="R93" s="30" t="s">
        <v>35</v>
      </c>
    </row>
    <row r="94" spans="2:18" ht="18" customHeight="1" x14ac:dyDescent="0.25">
      <c r="B94" s="237"/>
      <c r="D94" s="148" t="s">
        <v>47</v>
      </c>
      <c r="E94" s="31"/>
      <c r="F94" s="31"/>
      <c r="G94" s="31"/>
      <c r="H94" s="32"/>
      <c r="I94" s="182">
        <f>K94+M94+O94+Q94</f>
        <v>0</v>
      </c>
      <c r="J94" s="182">
        <f>L94+N94+P94+R94</f>
        <v>0</v>
      </c>
      <c r="K94" s="181"/>
      <c r="L94" s="181"/>
      <c r="M94" s="181"/>
      <c r="N94" s="181"/>
      <c r="O94" s="181"/>
      <c r="P94" s="181"/>
      <c r="Q94" s="181"/>
      <c r="R94" s="181"/>
    </row>
    <row r="95" spans="2:18" ht="18" customHeight="1" x14ac:dyDescent="0.25">
      <c r="B95" s="237"/>
      <c r="D95" s="148" t="s">
        <v>48</v>
      </c>
      <c r="E95" s="31"/>
      <c r="F95" s="31"/>
      <c r="G95" s="31"/>
      <c r="H95" s="32"/>
      <c r="I95" s="182">
        <f>K95+M95+O95+Q95</f>
        <v>0</v>
      </c>
      <c r="J95" s="182">
        <f>L95+N95+P95+R95</f>
        <v>0</v>
      </c>
      <c r="K95" s="181"/>
      <c r="L95" s="181"/>
      <c r="M95" s="181"/>
      <c r="N95" s="181"/>
      <c r="O95" s="181"/>
      <c r="P95" s="181"/>
      <c r="Q95" s="181"/>
      <c r="R95" s="181"/>
    </row>
    <row r="96" spans="2:18" ht="18" customHeight="1" x14ac:dyDescent="0.25">
      <c r="B96" s="237"/>
    </row>
    <row r="97" spans="2:18" ht="18" customHeight="1" x14ac:dyDescent="0.25">
      <c r="B97" s="237"/>
      <c r="D97" s="1" t="s">
        <v>40</v>
      </c>
    </row>
    <row r="98" spans="2:18" ht="18" customHeight="1" x14ac:dyDescent="0.25">
      <c r="B98" s="237"/>
      <c r="D98" s="1"/>
    </row>
    <row r="99" spans="2:18" ht="18" customHeight="1" x14ac:dyDescent="0.25">
      <c r="B99" s="237"/>
      <c r="I99" s="207" t="s">
        <v>43</v>
      </c>
      <c r="J99" s="208"/>
      <c r="K99" s="209" t="s">
        <v>9</v>
      </c>
      <c r="L99" s="209"/>
      <c r="M99" s="205" t="s">
        <v>10</v>
      </c>
      <c r="N99" s="208"/>
      <c r="O99" s="205" t="s">
        <v>11</v>
      </c>
      <c r="P99" s="208"/>
      <c r="Q99" s="205" t="s">
        <v>32</v>
      </c>
      <c r="R99" s="206"/>
    </row>
    <row r="100" spans="2:18" ht="18" customHeight="1" x14ac:dyDescent="0.25">
      <c r="B100" s="237"/>
      <c r="I100" s="7" t="s">
        <v>34</v>
      </c>
      <c r="J100" s="7" t="s">
        <v>35</v>
      </c>
      <c r="K100" s="7" t="s">
        <v>34</v>
      </c>
      <c r="L100" s="7" t="s">
        <v>35</v>
      </c>
      <c r="M100" s="7" t="s">
        <v>34</v>
      </c>
      <c r="N100" s="7" t="s">
        <v>35</v>
      </c>
      <c r="O100" s="7" t="s">
        <v>34</v>
      </c>
      <c r="P100" s="7" t="s">
        <v>35</v>
      </c>
      <c r="Q100" s="7" t="s">
        <v>34</v>
      </c>
      <c r="R100" s="7" t="s">
        <v>35</v>
      </c>
    </row>
    <row r="101" spans="2:18" ht="18" customHeight="1" x14ac:dyDescent="0.25">
      <c r="B101" s="237"/>
      <c r="D101" s="148" t="s">
        <v>41</v>
      </c>
      <c r="E101" s="31"/>
      <c r="F101" s="31"/>
      <c r="G101" s="31"/>
      <c r="H101" s="32"/>
      <c r="I101" s="182">
        <f>K101+M101+O101+Q101</f>
        <v>0</v>
      </c>
      <c r="J101" s="182">
        <f>L101+N101+P101+R101</f>
        <v>0</v>
      </c>
      <c r="K101" s="181"/>
      <c r="L101" s="181"/>
      <c r="M101" s="181"/>
      <c r="N101" s="181"/>
      <c r="O101" s="181"/>
      <c r="P101" s="181"/>
      <c r="Q101" s="181"/>
      <c r="R101" s="181"/>
    </row>
    <row r="102" spans="2:18" ht="18" customHeight="1" x14ac:dyDescent="0.25">
      <c r="B102" s="237"/>
      <c r="D102" s="58"/>
      <c r="E102" s="38"/>
      <c r="F102" s="38"/>
      <c r="G102" s="38"/>
      <c r="H102" s="38"/>
      <c r="I102" s="90"/>
      <c r="J102" s="90"/>
      <c r="K102" s="38"/>
      <c r="L102" s="38"/>
      <c r="M102" s="38"/>
      <c r="N102" s="38"/>
      <c r="O102" s="38"/>
      <c r="P102" s="38"/>
      <c r="Q102" s="38"/>
      <c r="R102" s="38"/>
    </row>
    <row r="103" spans="2:18" ht="18" customHeight="1" x14ac:dyDescent="0.25">
      <c r="B103" s="237"/>
      <c r="C103" s="38"/>
      <c r="D103" s="38"/>
      <c r="E103" s="38"/>
      <c r="F103" s="38"/>
      <c r="G103" s="38"/>
      <c r="H103" s="38"/>
      <c r="I103" s="84" t="s">
        <v>12</v>
      </c>
      <c r="K103" s="38"/>
      <c r="L103" s="38"/>
      <c r="M103" s="38"/>
      <c r="N103" s="38"/>
      <c r="O103" s="38"/>
      <c r="P103" s="38"/>
      <c r="Q103" s="38"/>
      <c r="R103" s="38"/>
    </row>
    <row r="104" spans="2:18" ht="18" customHeight="1" x14ac:dyDescent="0.25">
      <c r="B104" s="237"/>
      <c r="D104" s="149" t="s">
        <v>44</v>
      </c>
      <c r="E104" s="140"/>
      <c r="F104" s="140"/>
      <c r="G104" s="140"/>
      <c r="H104" s="140"/>
      <c r="I104" s="183"/>
      <c r="J104" s="38"/>
      <c r="K104" s="38"/>
      <c r="L104" s="38"/>
      <c r="M104" s="38"/>
      <c r="N104" s="38"/>
      <c r="O104" s="38"/>
      <c r="P104" s="38"/>
      <c r="Q104" s="38"/>
      <c r="R104" s="38"/>
    </row>
    <row r="105" spans="2:18" ht="18" customHeight="1" x14ac:dyDescent="0.25">
      <c r="B105" s="237"/>
      <c r="D105" s="150"/>
      <c r="K105" s="38"/>
      <c r="L105" s="38"/>
      <c r="M105" s="38"/>
      <c r="N105" s="38"/>
      <c r="O105" s="38"/>
      <c r="P105" s="38"/>
      <c r="Q105" s="38"/>
      <c r="R105" s="38"/>
    </row>
    <row r="106" spans="2:18" ht="18" customHeight="1" x14ac:dyDescent="0.25">
      <c r="B106" s="237"/>
      <c r="D106" s="203" t="s">
        <v>49</v>
      </c>
      <c r="E106" s="203"/>
      <c r="F106" s="203"/>
      <c r="G106" s="219"/>
      <c r="H106" s="249" t="s">
        <v>43</v>
      </c>
    </row>
    <row r="107" spans="2:18" ht="18" customHeight="1" x14ac:dyDescent="0.25">
      <c r="B107" s="237"/>
      <c r="D107" s="203"/>
      <c r="E107" s="203"/>
      <c r="F107" s="203"/>
      <c r="G107" s="219"/>
      <c r="H107" s="250"/>
    </row>
    <row r="108" spans="2:18" ht="18" customHeight="1" x14ac:dyDescent="0.25">
      <c r="B108" s="237"/>
      <c r="D108" s="148" t="s">
        <v>50</v>
      </c>
      <c r="E108" s="31"/>
      <c r="F108" s="31"/>
      <c r="G108" s="32"/>
      <c r="H108" s="181"/>
    </row>
    <row r="109" spans="2:18" ht="18" customHeight="1" x14ac:dyDescent="0.25">
      <c r="B109" s="237"/>
      <c r="D109" s="148" t="s">
        <v>112</v>
      </c>
      <c r="E109" s="31"/>
      <c r="F109" s="31"/>
      <c r="G109" s="32"/>
      <c r="H109" s="181"/>
    </row>
    <row r="110" spans="2:18" ht="18" customHeight="1" x14ac:dyDescent="0.25">
      <c r="B110" s="237"/>
      <c r="D110" s="148" t="s">
        <v>113</v>
      </c>
      <c r="E110" s="31"/>
      <c r="F110" s="31"/>
      <c r="G110" s="32"/>
      <c r="H110" s="181"/>
    </row>
    <row r="111" spans="2:18" ht="18" customHeight="1" x14ac:dyDescent="0.25">
      <c r="B111" s="237"/>
      <c r="D111" s="148" t="s">
        <v>114</v>
      </c>
      <c r="E111" s="31"/>
      <c r="F111" s="31"/>
      <c r="G111" s="32"/>
      <c r="H111" s="181"/>
    </row>
    <row r="112" spans="2:18" ht="18" customHeight="1" x14ac:dyDescent="0.25">
      <c r="B112" s="237"/>
    </row>
    <row r="115" spans="2:16" ht="18" customHeight="1" x14ac:dyDescent="0.25">
      <c r="B115" s="222" t="s">
        <v>68</v>
      </c>
      <c r="C115" s="1" t="s">
        <v>55</v>
      </c>
    </row>
    <row r="116" spans="2:16" ht="18" customHeight="1" x14ac:dyDescent="0.25">
      <c r="B116" s="222"/>
      <c r="D116" s="1" t="s">
        <v>51</v>
      </c>
    </row>
    <row r="117" spans="2:16" ht="18" customHeight="1" x14ac:dyDescent="0.25">
      <c r="B117" s="222"/>
      <c r="D117" s="1"/>
    </row>
    <row r="118" spans="2:16" ht="18" customHeight="1" x14ac:dyDescent="0.25">
      <c r="B118" s="222"/>
      <c r="E118" s="151" t="s">
        <v>52</v>
      </c>
      <c r="F118" s="8"/>
      <c r="G118" s="86"/>
      <c r="O118" s="220"/>
      <c r="P118" s="220"/>
    </row>
    <row r="119" spans="2:16" ht="18" customHeight="1" x14ac:dyDescent="0.25">
      <c r="B119" s="222"/>
      <c r="E119" s="152" t="s">
        <v>53</v>
      </c>
      <c r="F119" s="9"/>
      <c r="G119" s="86"/>
    </row>
    <row r="120" spans="2:16" ht="18" customHeight="1" x14ac:dyDescent="0.25">
      <c r="B120" s="222"/>
      <c r="I120" s="244" t="s">
        <v>52</v>
      </c>
      <c r="J120" s="245"/>
      <c r="K120" s="246"/>
      <c r="L120" s="244" t="s">
        <v>53</v>
      </c>
      <c r="M120" s="245"/>
      <c r="N120" s="246"/>
    </row>
    <row r="121" spans="2:16" ht="26.25" customHeight="1" x14ac:dyDescent="0.25">
      <c r="B121" s="222"/>
      <c r="I121" s="10" t="s">
        <v>21</v>
      </c>
      <c r="J121" s="57" t="s">
        <v>23</v>
      </c>
      <c r="K121" s="11" t="s">
        <v>22</v>
      </c>
      <c r="L121" s="10" t="s">
        <v>21</v>
      </c>
      <c r="M121" s="57" t="s">
        <v>23</v>
      </c>
      <c r="N121" s="11" t="s">
        <v>22</v>
      </c>
    </row>
    <row r="122" spans="2:16" ht="18" customHeight="1" x14ac:dyDescent="0.25">
      <c r="B122" s="222"/>
      <c r="D122" s="153" t="s">
        <v>20</v>
      </c>
      <c r="E122" s="3"/>
      <c r="F122" s="33"/>
      <c r="I122" s="184"/>
      <c r="J122" s="184"/>
      <c r="K122" s="184"/>
      <c r="L122" s="184"/>
      <c r="M122" s="184"/>
      <c r="N122" s="184"/>
    </row>
    <row r="123" spans="2:16" ht="18" customHeight="1" x14ac:dyDescent="0.25">
      <c r="B123" s="222"/>
      <c r="D123" s="154"/>
      <c r="E123" s="3"/>
      <c r="F123" s="33"/>
    </row>
    <row r="124" spans="2:16" ht="18" customHeight="1" x14ac:dyDescent="0.25">
      <c r="B124" s="222"/>
      <c r="D124" s="153" t="s">
        <v>2</v>
      </c>
      <c r="E124" s="3"/>
      <c r="F124" s="33"/>
      <c r="J124" s="12" t="s">
        <v>24</v>
      </c>
      <c r="K124" s="13" t="s">
        <v>25</v>
      </c>
    </row>
    <row r="125" spans="2:16" ht="18" customHeight="1" x14ac:dyDescent="0.25">
      <c r="B125" s="222"/>
      <c r="D125" s="3"/>
      <c r="E125" s="3"/>
      <c r="F125" s="33"/>
      <c r="I125" s="155" t="s">
        <v>52</v>
      </c>
      <c r="J125" s="86"/>
      <c r="K125" s="86"/>
    </row>
    <row r="126" spans="2:16" ht="18" customHeight="1" x14ac:dyDescent="0.25">
      <c r="B126" s="222"/>
      <c r="I126" s="155" t="s">
        <v>115</v>
      </c>
      <c r="J126" s="86"/>
      <c r="K126" s="86"/>
    </row>
    <row r="127" spans="2:16" ht="18" customHeight="1" x14ac:dyDescent="0.25">
      <c r="B127" s="222"/>
    </row>
    <row r="128" spans="2:16" ht="18" customHeight="1" x14ac:dyDescent="0.25">
      <c r="B128" s="222"/>
      <c r="D128" s="1" t="s">
        <v>5</v>
      </c>
    </row>
    <row r="129" spans="2:20" ht="18" customHeight="1" x14ac:dyDescent="0.25">
      <c r="B129" s="222"/>
      <c r="D129" s="1"/>
    </row>
    <row r="130" spans="2:20" ht="18" customHeight="1" x14ac:dyDescent="0.25">
      <c r="B130" s="222"/>
      <c r="E130" s="33"/>
      <c r="F130" s="33"/>
      <c r="J130" s="234" t="s">
        <v>43</v>
      </c>
      <c r="K130" s="235"/>
      <c r="L130" s="257" t="s">
        <v>9</v>
      </c>
      <c r="M130" s="257"/>
      <c r="N130" s="255" t="s">
        <v>10</v>
      </c>
      <c r="O130" s="235"/>
      <c r="P130" s="255" t="s">
        <v>11</v>
      </c>
      <c r="Q130" s="235"/>
      <c r="R130" s="255" t="s">
        <v>32</v>
      </c>
      <c r="S130" s="256"/>
    </row>
    <row r="131" spans="2:20" ht="18" customHeight="1" x14ac:dyDescent="0.25">
      <c r="B131" s="222"/>
      <c r="D131" s="76" t="s">
        <v>3</v>
      </c>
      <c r="E131" s="33"/>
      <c r="F131" s="33"/>
      <c r="J131" s="34" t="s">
        <v>34</v>
      </c>
      <c r="K131" s="34" t="s">
        <v>35</v>
      </c>
      <c r="L131" s="34" t="s">
        <v>34</v>
      </c>
      <c r="M131" s="34" t="s">
        <v>35</v>
      </c>
      <c r="N131" s="34" t="s">
        <v>34</v>
      </c>
      <c r="O131" s="34" t="s">
        <v>35</v>
      </c>
      <c r="P131" s="34" t="s">
        <v>34</v>
      </c>
      <c r="Q131" s="34" t="s">
        <v>35</v>
      </c>
      <c r="R131" s="34" t="s">
        <v>34</v>
      </c>
      <c r="S131" s="34" t="s">
        <v>35</v>
      </c>
    </row>
    <row r="132" spans="2:20" ht="18" customHeight="1" x14ac:dyDescent="0.25">
      <c r="B132" s="222"/>
      <c r="D132" s="233" t="s">
        <v>52</v>
      </c>
      <c r="E132" s="156" t="s">
        <v>72</v>
      </c>
      <c r="F132" s="35"/>
      <c r="G132" s="35"/>
      <c r="H132" s="35"/>
      <c r="I132" s="36"/>
      <c r="J132" s="86">
        <f>L132+N132+P132+R132</f>
        <v>0</v>
      </c>
      <c r="K132" s="86">
        <f>M132+O132+Q132+S132</f>
        <v>0</v>
      </c>
      <c r="L132" s="86"/>
      <c r="M132" s="86"/>
      <c r="N132" s="86"/>
      <c r="O132" s="86"/>
      <c r="P132" s="86"/>
      <c r="Q132" s="86"/>
      <c r="R132" s="86"/>
      <c r="S132" s="86"/>
    </row>
    <row r="133" spans="2:20" ht="18" customHeight="1" x14ac:dyDescent="0.25">
      <c r="B133" s="222"/>
      <c r="D133" s="233"/>
      <c r="E133" s="156" t="s">
        <v>124</v>
      </c>
      <c r="F133" s="35"/>
      <c r="G133" s="35"/>
      <c r="H133" s="35"/>
      <c r="I133" s="36"/>
      <c r="J133" s="86">
        <f t="shared" ref="J133:J135" si="6">L133+N133+P133+R133</f>
        <v>0</v>
      </c>
      <c r="K133" s="86">
        <f t="shared" ref="K133:K135" si="7">M133+O133+Q133+S133</f>
        <v>0</v>
      </c>
      <c r="L133" s="86"/>
      <c r="M133" s="86"/>
      <c r="N133" s="86"/>
      <c r="O133" s="86"/>
      <c r="P133" s="86"/>
      <c r="Q133" s="86"/>
      <c r="R133" s="86"/>
      <c r="S133" s="86"/>
    </row>
    <row r="134" spans="2:20" ht="18" customHeight="1" x14ac:dyDescent="0.25">
      <c r="B134" s="222"/>
      <c r="D134" s="233"/>
      <c r="E134" s="156" t="s">
        <v>125</v>
      </c>
      <c r="F134" s="35"/>
      <c r="G134" s="35"/>
      <c r="H134" s="35"/>
      <c r="I134" s="36"/>
      <c r="J134" s="86">
        <f t="shared" si="6"/>
        <v>0</v>
      </c>
      <c r="K134" s="86">
        <f t="shared" si="7"/>
        <v>0</v>
      </c>
      <c r="L134" s="86"/>
      <c r="M134" s="86"/>
      <c r="N134" s="86"/>
      <c r="O134" s="86"/>
      <c r="P134" s="86"/>
      <c r="Q134" s="86"/>
      <c r="R134" s="86"/>
      <c r="S134" s="86"/>
    </row>
    <row r="135" spans="2:20" ht="18" customHeight="1" x14ac:dyDescent="0.25">
      <c r="B135" s="222"/>
      <c r="D135" s="37" t="s">
        <v>54</v>
      </c>
      <c r="E135" s="156" t="s">
        <v>126</v>
      </c>
      <c r="F135" s="35"/>
      <c r="G135" s="35"/>
      <c r="H135" s="35"/>
      <c r="I135" s="36"/>
      <c r="J135" s="86">
        <f t="shared" si="6"/>
        <v>0</v>
      </c>
      <c r="K135" s="86">
        <f t="shared" si="7"/>
        <v>0</v>
      </c>
      <c r="L135" s="86"/>
      <c r="M135" s="86"/>
      <c r="N135" s="86"/>
      <c r="O135" s="86"/>
      <c r="P135" s="86"/>
      <c r="Q135" s="86"/>
      <c r="R135" s="86"/>
      <c r="S135" s="86"/>
    </row>
    <row r="136" spans="2:20" ht="18" customHeight="1" x14ac:dyDescent="0.25">
      <c r="B136" s="222"/>
    </row>
    <row r="137" spans="2:20" ht="18" customHeight="1" x14ac:dyDescent="0.25">
      <c r="B137" s="222"/>
      <c r="D137" s="1" t="s">
        <v>40</v>
      </c>
    </row>
    <row r="138" spans="2:20" ht="18" customHeight="1" x14ac:dyDescent="0.25">
      <c r="B138" s="222"/>
      <c r="D138" s="1"/>
    </row>
    <row r="139" spans="2:20" ht="18" customHeight="1" x14ac:dyDescent="0.25">
      <c r="B139" s="222"/>
      <c r="J139" s="234" t="s">
        <v>43</v>
      </c>
      <c r="K139" s="235"/>
      <c r="L139" s="257" t="s">
        <v>9</v>
      </c>
      <c r="M139" s="257"/>
      <c r="N139" s="255" t="s">
        <v>10</v>
      </c>
      <c r="O139" s="235"/>
      <c r="P139" s="255" t="s">
        <v>11</v>
      </c>
      <c r="Q139" s="235"/>
      <c r="R139" s="255" t="s">
        <v>32</v>
      </c>
      <c r="S139" s="256"/>
    </row>
    <row r="140" spans="2:20" ht="18" customHeight="1" x14ac:dyDescent="0.25">
      <c r="B140" s="222"/>
      <c r="J140" s="14" t="s">
        <v>34</v>
      </c>
      <c r="K140" s="14" t="s">
        <v>35</v>
      </c>
      <c r="L140" s="14" t="s">
        <v>34</v>
      </c>
      <c r="M140" s="14" t="s">
        <v>35</v>
      </c>
      <c r="N140" s="14" t="s">
        <v>34</v>
      </c>
      <c r="O140" s="14" t="s">
        <v>35</v>
      </c>
      <c r="P140" s="14" t="s">
        <v>34</v>
      </c>
      <c r="Q140" s="14" t="s">
        <v>35</v>
      </c>
      <c r="R140" s="14" t="s">
        <v>34</v>
      </c>
      <c r="S140" s="14" t="s">
        <v>35</v>
      </c>
    </row>
    <row r="141" spans="2:20" ht="18" customHeight="1" x14ac:dyDescent="0.25">
      <c r="B141" s="222"/>
      <c r="D141" s="91" t="s">
        <v>52</v>
      </c>
      <c r="E141" s="156" t="s">
        <v>41</v>
      </c>
      <c r="F141" s="35"/>
      <c r="G141" s="35"/>
      <c r="H141" s="35"/>
      <c r="I141" s="35"/>
      <c r="J141" s="86">
        <f>L141+N141+P141+R141</f>
        <v>0</v>
      </c>
      <c r="K141" s="86">
        <f>M141+O141+Q141+S141</f>
        <v>0</v>
      </c>
      <c r="L141" s="185"/>
      <c r="M141" s="86"/>
      <c r="N141" s="185"/>
      <c r="O141" s="86"/>
      <c r="P141" s="185"/>
      <c r="Q141" s="86"/>
      <c r="R141" s="185"/>
      <c r="S141" s="86"/>
    </row>
    <row r="142" spans="2:20" ht="18" customHeight="1" x14ac:dyDescent="0.25">
      <c r="B142" s="222"/>
      <c r="D142" s="131" t="s">
        <v>54</v>
      </c>
      <c r="E142" s="156" t="s">
        <v>41</v>
      </c>
      <c r="F142" s="35"/>
      <c r="G142" s="35"/>
      <c r="H142" s="35"/>
      <c r="I142" s="35"/>
      <c r="J142" s="86">
        <f>L142+N142+P142+R142</f>
        <v>0</v>
      </c>
      <c r="K142" s="86">
        <f>M142+O142+Q142+S142</f>
        <v>0</v>
      </c>
      <c r="L142" s="86"/>
      <c r="M142" s="86"/>
      <c r="N142" s="86"/>
      <c r="O142" s="86"/>
      <c r="P142" s="86"/>
      <c r="Q142" s="86"/>
      <c r="R142" s="86"/>
      <c r="S142" s="86"/>
    </row>
    <row r="143" spans="2:20" ht="18" customHeight="1" x14ac:dyDescent="0.25">
      <c r="B143" s="222"/>
      <c r="D143" s="58"/>
      <c r="E143" s="5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85"/>
    </row>
    <row r="144" spans="2:20" ht="18" customHeight="1" x14ac:dyDescent="0.25">
      <c r="B144" s="222"/>
      <c r="D144" s="58"/>
      <c r="E144" s="58"/>
      <c r="F144" s="38"/>
      <c r="G144" s="38"/>
      <c r="H144" s="38"/>
      <c r="I144" s="38"/>
      <c r="J144" s="92" t="s">
        <v>12</v>
      </c>
      <c r="K144" s="38"/>
      <c r="S144" s="38"/>
      <c r="T144" s="38"/>
    </row>
    <row r="145" spans="2:20" ht="18" customHeight="1" x14ac:dyDescent="0.25">
      <c r="B145" s="222"/>
      <c r="D145" s="242" t="s">
        <v>52</v>
      </c>
      <c r="E145" s="156" t="s">
        <v>116</v>
      </c>
      <c r="F145" s="35"/>
      <c r="G145" s="35"/>
      <c r="H145" s="35"/>
      <c r="I145" s="35"/>
      <c r="J145" s="86"/>
      <c r="K145" s="38"/>
      <c r="S145" s="38"/>
      <c r="T145" s="38"/>
    </row>
    <row r="146" spans="2:20" ht="18" customHeight="1" x14ac:dyDescent="0.25">
      <c r="B146" s="222"/>
      <c r="D146" s="243"/>
      <c r="E146" s="156" t="s">
        <v>117</v>
      </c>
      <c r="F146" s="35"/>
      <c r="G146" s="35"/>
      <c r="H146" s="35"/>
      <c r="I146" s="35"/>
      <c r="J146" s="86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2:20" ht="18" customHeight="1" x14ac:dyDescent="0.25">
      <c r="B147" s="222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2:20" ht="18" customHeight="1" x14ac:dyDescent="0.25">
      <c r="B148" s="222"/>
      <c r="D148" s="38"/>
      <c r="E148" s="38"/>
      <c r="F148" s="38"/>
      <c r="G148" s="38"/>
      <c r="H148" s="38"/>
      <c r="I148" s="38"/>
      <c r="J148" s="93" t="s">
        <v>12</v>
      </c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2:20" ht="18" customHeight="1" x14ac:dyDescent="0.25">
      <c r="B149" s="222"/>
      <c r="D149" s="242" t="s">
        <v>54</v>
      </c>
      <c r="E149" s="156" t="s">
        <v>116</v>
      </c>
      <c r="F149" s="35"/>
      <c r="G149" s="35"/>
      <c r="H149" s="35"/>
      <c r="I149" s="35"/>
      <c r="J149" s="86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2:20" ht="18" customHeight="1" x14ac:dyDescent="0.25">
      <c r="B150" s="222"/>
      <c r="D150" s="243"/>
      <c r="E150" s="156" t="s">
        <v>117</v>
      </c>
      <c r="F150" s="35"/>
      <c r="G150" s="35"/>
      <c r="H150" s="35"/>
      <c r="I150" s="35"/>
      <c r="J150" s="86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2:20" ht="18" customHeight="1" x14ac:dyDescent="0.25">
      <c r="B151" s="222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2:20" ht="18" customHeight="1" x14ac:dyDescent="0.25">
      <c r="B152" s="222"/>
      <c r="D152" s="203" t="s">
        <v>49</v>
      </c>
      <c r="E152" s="203"/>
      <c r="F152" s="203"/>
      <c r="G152" s="227"/>
      <c r="H152" s="94" t="s">
        <v>52</v>
      </c>
      <c r="I152" s="94" t="s">
        <v>53</v>
      </c>
      <c r="K152" s="38"/>
    </row>
    <row r="153" spans="2:20" ht="18" customHeight="1" x14ac:dyDescent="0.25">
      <c r="B153" s="222"/>
      <c r="D153" s="228"/>
      <c r="E153" s="228"/>
      <c r="F153" s="228"/>
      <c r="G153" s="229"/>
      <c r="H153" s="127" t="s">
        <v>93</v>
      </c>
      <c r="I153" s="13" t="s">
        <v>93</v>
      </c>
      <c r="K153" s="38"/>
    </row>
    <row r="154" spans="2:20" ht="18" customHeight="1" x14ac:dyDescent="0.25">
      <c r="B154" s="222"/>
      <c r="D154" s="156" t="s">
        <v>50</v>
      </c>
      <c r="E154" s="35"/>
      <c r="F154" s="35"/>
      <c r="G154" s="36"/>
      <c r="H154" s="86"/>
      <c r="I154" s="86"/>
      <c r="K154" s="38"/>
    </row>
    <row r="155" spans="2:20" ht="18" customHeight="1" x14ac:dyDescent="0.25">
      <c r="B155" s="222"/>
      <c r="D155" s="156" t="s">
        <v>112</v>
      </c>
      <c r="E155" s="35"/>
      <c r="F155" s="35"/>
      <c r="G155" s="36"/>
      <c r="H155" s="86"/>
      <c r="I155" s="86"/>
      <c r="K155" s="38"/>
    </row>
    <row r="156" spans="2:20" ht="18" customHeight="1" x14ac:dyDescent="0.25">
      <c r="B156" s="222"/>
      <c r="D156" s="156" t="s">
        <v>113</v>
      </c>
      <c r="E156" s="35"/>
      <c r="F156" s="35"/>
      <c r="G156" s="36"/>
      <c r="H156" s="86"/>
      <c r="I156" s="86"/>
      <c r="K156" s="38"/>
    </row>
    <row r="157" spans="2:20" ht="18" customHeight="1" x14ac:dyDescent="0.25">
      <c r="B157" s="222"/>
      <c r="D157" s="156" t="s">
        <v>114</v>
      </c>
      <c r="E157" s="35"/>
      <c r="F157" s="35"/>
      <c r="G157" s="36"/>
      <c r="H157" s="86"/>
      <c r="I157" s="86"/>
      <c r="K157" s="38"/>
    </row>
    <row r="158" spans="2:20" ht="18" customHeight="1" x14ac:dyDescent="0.25">
      <c r="B158" s="222"/>
      <c r="K158" s="38"/>
    </row>
    <row r="161" spans="2:19" ht="18" customHeight="1" x14ac:dyDescent="0.25">
      <c r="B161" s="223" t="s">
        <v>67</v>
      </c>
      <c r="C161" s="1" t="s">
        <v>56</v>
      </c>
    </row>
    <row r="162" spans="2:19" ht="18" customHeight="1" x14ac:dyDescent="0.25">
      <c r="B162" s="223"/>
      <c r="D162" s="1" t="s">
        <v>70</v>
      </c>
    </row>
    <row r="163" spans="2:19" ht="18" customHeight="1" x14ac:dyDescent="0.25">
      <c r="B163" s="223"/>
      <c r="D163" s="1"/>
    </row>
    <row r="164" spans="2:19" ht="18" customHeight="1" x14ac:dyDescent="0.25">
      <c r="B164" s="223"/>
      <c r="G164" s="134" t="s">
        <v>128</v>
      </c>
      <c r="H164" s="135" t="s">
        <v>57</v>
      </c>
      <c r="I164" s="132" t="s">
        <v>58</v>
      </c>
      <c r="J164" s="132" t="s">
        <v>129</v>
      </c>
      <c r="K164" s="132" t="s">
        <v>153</v>
      </c>
      <c r="L164" s="132" t="s">
        <v>59</v>
      </c>
      <c r="M164" s="132" t="s">
        <v>60</v>
      </c>
      <c r="N164" s="132" t="s">
        <v>61</v>
      </c>
      <c r="O164" s="132" t="s">
        <v>62</v>
      </c>
      <c r="P164" s="132" t="s">
        <v>63</v>
      </c>
      <c r="Q164" s="132" t="s">
        <v>64</v>
      </c>
      <c r="R164" s="132" t="s">
        <v>65</v>
      </c>
      <c r="S164" s="133" t="s">
        <v>66</v>
      </c>
    </row>
    <row r="165" spans="2:19" ht="18" customHeight="1" x14ac:dyDescent="0.25">
      <c r="B165" s="223"/>
      <c r="G165" s="186">
        <f>SUM(H165:S165)</f>
        <v>0</v>
      </c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</row>
    <row r="166" spans="2:19" ht="18" customHeight="1" x14ac:dyDescent="0.25">
      <c r="B166" s="223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</row>
    <row r="167" spans="2:19" ht="18" customHeight="1" x14ac:dyDescent="0.25">
      <c r="B167" s="223"/>
      <c r="D167" s="1" t="s">
        <v>20</v>
      </c>
    </row>
    <row r="168" spans="2:19" ht="18" customHeight="1" x14ac:dyDescent="0.25">
      <c r="B168" s="223"/>
      <c r="D168" s="1"/>
    </row>
    <row r="169" spans="2:19" ht="18" customHeight="1" x14ac:dyDescent="0.25">
      <c r="B169" s="223"/>
      <c r="D169" s="3"/>
      <c r="G169" s="134" t="s">
        <v>128</v>
      </c>
      <c r="H169" s="135" t="s">
        <v>57</v>
      </c>
      <c r="I169" s="39" t="s">
        <v>58</v>
      </c>
      <c r="J169" s="132" t="s">
        <v>129</v>
      </c>
      <c r="K169" s="132" t="s">
        <v>153</v>
      </c>
      <c r="L169" s="39" t="s">
        <v>59</v>
      </c>
      <c r="M169" s="39" t="s">
        <v>60</v>
      </c>
      <c r="N169" s="39" t="s">
        <v>61</v>
      </c>
      <c r="O169" s="39" t="s">
        <v>62</v>
      </c>
      <c r="P169" s="39" t="s">
        <v>63</v>
      </c>
      <c r="Q169" s="39" t="s">
        <v>64</v>
      </c>
      <c r="R169" s="39" t="s">
        <v>65</v>
      </c>
      <c r="S169" s="40" t="s">
        <v>66</v>
      </c>
    </row>
    <row r="170" spans="2:19" ht="18" customHeight="1" x14ac:dyDescent="0.25">
      <c r="B170" s="223"/>
      <c r="D170" s="157" t="s">
        <v>21</v>
      </c>
      <c r="E170" s="41"/>
      <c r="F170" s="42"/>
      <c r="G170" s="188">
        <f>SUM(H170:S170)</f>
        <v>0</v>
      </c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</row>
    <row r="171" spans="2:19" ht="18" customHeight="1" x14ac:dyDescent="0.25">
      <c r="B171" s="223"/>
      <c r="D171" s="157" t="s">
        <v>23</v>
      </c>
      <c r="E171" s="41"/>
      <c r="F171" s="42"/>
      <c r="G171" s="188">
        <f t="shared" ref="G171:G172" si="8">SUM(H171:S171)</f>
        <v>0</v>
      </c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</row>
    <row r="172" spans="2:19" ht="18" customHeight="1" x14ac:dyDescent="0.25">
      <c r="B172" s="223"/>
      <c r="D172" s="157" t="s">
        <v>22</v>
      </c>
      <c r="E172" s="41"/>
      <c r="F172" s="42"/>
      <c r="G172" s="188">
        <f t="shared" si="8"/>
        <v>0</v>
      </c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</row>
    <row r="173" spans="2:19" ht="18" customHeight="1" x14ac:dyDescent="0.25">
      <c r="B173" s="223"/>
      <c r="F173" s="15"/>
    </row>
    <row r="174" spans="2:19" ht="18" customHeight="1" x14ac:dyDescent="0.25">
      <c r="B174" s="223"/>
      <c r="D174" s="1" t="s">
        <v>2</v>
      </c>
    </row>
    <row r="175" spans="2:19" ht="18" customHeight="1" x14ac:dyDescent="0.25">
      <c r="B175" s="223"/>
      <c r="D175" s="1"/>
    </row>
    <row r="176" spans="2:19" ht="18" customHeight="1" x14ac:dyDescent="0.25">
      <c r="B176" s="223"/>
      <c r="D176" s="3"/>
      <c r="F176" s="134" t="s">
        <v>128</v>
      </c>
      <c r="G176" s="135" t="s">
        <v>57</v>
      </c>
      <c r="H176" s="39" t="s">
        <v>58</v>
      </c>
      <c r="I176" s="132" t="s">
        <v>129</v>
      </c>
      <c r="J176" s="39" t="s">
        <v>153</v>
      </c>
      <c r="K176" s="39" t="s">
        <v>59</v>
      </c>
      <c r="L176" s="39" t="s">
        <v>60</v>
      </c>
      <c r="M176" s="39" t="s">
        <v>61</v>
      </c>
      <c r="N176" s="39" t="s">
        <v>62</v>
      </c>
      <c r="O176" s="39" t="s">
        <v>63</v>
      </c>
      <c r="P176" s="39" t="s">
        <v>64</v>
      </c>
      <c r="Q176" s="39" t="s">
        <v>65</v>
      </c>
      <c r="R176" s="40" t="s">
        <v>66</v>
      </c>
    </row>
    <row r="177" spans="2:19" ht="18" customHeight="1" x14ac:dyDescent="0.25">
      <c r="B177" s="223"/>
      <c r="D177" s="157" t="s">
        <v>24</v>
      </c>
      <c r="E177" s="41"/>
      <c r="F177" s="186">
        <f>SUM(G177:R177)</f>
        <v>0</v>
      </c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</row>
    <row r="178" spans="2:19" ht="18" customHeight="1" x14ac:dyDescent="0.25">
      <c r="B178" s="223"/>
      <c r="D178" s="157" t="s">
        <v>25</v>
      </c>
      <c r="E178" s="41"/>
      <c r="F178" s="186">
        <f>SUM(G178:R178)</f>
        <v>0</v>
      </c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</row>
    <row r="179" spans="2:19" ht="18" customHeight="1" x14ac:dyDescent="0.25">
      <c r="B179" s="223"/>
    </row>
    <row r="180" spans="2:19" ht="18" customHeight="1" x14ac:dyDescent="0.25">
      <c r="B180" s="223"/>
      <c r="D180" s="1" t="s">
        <v>69</v>
      </c>
    </row>
    <row r="181" spans="2:19" ht="18" customHeight="1" x14ac:dyDescent="0.25">
      <c r="B181" s="223"/>
      <c r="D181" s="1"/>
    </row>
    <row r="182" spans="2:19" ht="18" customHeight="1" x14ac:dyDescent="0.25">
      <c r="B182" s="223"/>
      <c r="J182" s="261" t="s">
        <v>43</v>
      </c>
      <c r="K182" s="251"/>
      <c r="L182" s="251" t="s">
        <v>9</v>
      </c>
      <c r="M182" s="251"/>
      <c r="N182" s="251" t="s">
        <v>10</v>
      </c>
      <c r="O182" s="251"/>
      <c r="P182" s="251" t="s">
        <v>11</v>
      </c>
      <c r="Q182" s="251"/>
      <c r="R182" s="251" t="s">
        <v>32</v>
      </c>
      <c r="S182" s="260"/>
    </row>
    <row r="183" spans="2:19" ht="18" customHeight="1" x14ac:dyDescent="0.25">
      <c r="B183" s="223"/>
      <c r="D183" s="1" t="s">
        <v>3</v>
      </c>
      <c r="J183" s="43" t="s">
        <v>34</v>
      </c>
      <c r="K183" s="43" t="s">
        <v>35</v>
      </c>
      <c r="L183" s="43" t="s">
        <v>34</v>
      </c>
      <c r="M183" s="43" t="s">
        <v>35</v>
      </c>
      <c r="N183" s="43" t="s">
        <v>34</v>
      </c>
      <c r="O183" s="43" t="s">
        <v>35</v>
      </c>
      <c r="P183" s="43" t="s">
        <v>34</v>
      </c>
      <c r="Q183" s="43" t="s">
        <v>35</v>
      </c>
      <c r="R183" s="43" t="s">
        <v>34</v>
      </c>
      <c r="S183" s="43" t="s">
        <v>35</v>
      </c>
    </row>
    <row r="184" spans="2:19" ht="18" customHeight="1" x14ac:dyDescent="0.25">
      <c r="B184" s="223"/>
      <c r="D184" s="158" t="s">
        <v>71</v>
      </c>
      <c r="E184" s="95"/>
      <c r="F184" s="95"/>
      <c r="G184" s="95"/>
      <c r="H184" s="96"/>
      <c r="I184" s="96"/>
      <c r="J184" s="187">
        <f>L184+N184+P184+R184</f>
        <v>0</v>
      </c>
      <c r="K184" s="187">
        <f>M184+O184+Q184+S184</f>
        <v>0</v>
      </c>
      <c r="L184" s="186"/>
      <c r="M184" s="186"/>
      <c r="N184" s="186"/>
      <c r="O184" s="186"/>
      <c r="P184" s="186"/>
      <c r="Q184" s="186"/>
      <c r="R184" s="186"/>
      <c r="S184" s="186"/>
    </row>
    <row r="185" spans="2:19" ht="18" customHeight="1" x14ac:dyDescent="0.25">
      <c r="B185" s="223"/>
    </row>
    <row r="186" spans="2:19" ht="18" customHeight="1" x14ac:dyDescent="0.25">
      <c r="B186" s="223"/>
      <c r="D186" s="1" t="s">
        <v>40</v>
      </c>
    </row>
    <row r="187" spans="2:19" ht="18" customHeight="1" x14ac:dyDescent="0.25">
      <c r="B187" s="223"/>
      <c r="D187" s="1"/>
    </row>
    <row r="188" spans="2:19" ht="18" customHeight="1" x14ac:dyDescent="0.25">
      <c r="B188" s="223"/>
      <c r="D188" s="203" t="s">
        <v>41</v>
      </c>
      <c r="E188" s="203"/>
      <c r="F188" s="262"/>
      <c r="G188" s="261" t="s">
        <v>43</v>
      </c>
      <c r="H188" s="251"/>
      <c r="I188" s="251" t="s">
        <v>9</v>
      </c>
      <c r="J188" s="251"/>
      <c r="K188" s="251" t="s">
        <v>10</v>
      </c>
      <c r="L188" s="251"/>
      <c r="M188" s="251" t="s">
        <v>11</v>
      </c>
      <c r="N188" s="251"/>
      <c r="O188" s="251" t="s">
        <v>32</v>
      </c>
      <c r="P188" s="260"/>
    </row>
    <row r="189" spans="2:19" ht="18" customHeight="1" x14ac:dyDescent="0.25">
      <c r="B189" s="223"/>
      <c r="D189" s="263"/>
      <c r="E189" s="263"/>
      <c r="F189" s="264"/>
      <c r="G189" s="43" t="s">
        <v>34</v>
      </c>
      <c r="H189" s="43" t="s">
        <v>35</v>
      </c>
      <c r="I189" s="43" t="s">
        <v>34</v>
      </c>
      <c r="J189" s="43" t="s">
        <v>35</v>
      </c>
      <c r="K189" s="43" t="s">
        <v>34</v>
      </c>
      <c r="L189" s="43" t="s">
        <v>35</v>
      </c>
      <c r="M189" s="43" t="s">
        <v>34</v>
      </c>
      <c r="N189" s="43" t="s">
        <v>35</v>
      </c>
      <c r="O189" s="43" t="s">
        <v>34</v>
      </c>
      <c r="P189" s="43" t="s">
        <v>35</v>
      </c>
    </row>
    <row r="190" spans="2:19" ht="18" customHeight="1" x14ac:dyDescent="0.25">
      <c r="B190" s="223"/>
      <c r="D190" s="157" t="s">
        <v>57</v>
      </c>
      <c r="E190" s="41"/>
      <c r="F190" s="42"/>
      <c r="G190" s="187">
        <f>I190+K190+M190+O190</f>
        <v>0</v>
      </c>
      <c r="H190" s="187">
        <f>J190+L190+N190+P190</f>
        <v>0</v>
      </c>
      <c r="I190" s="186"/>
      <c r="J190" s="186"/>
      <c r="K190" s="186"/>
      <c r="L190" s="186"/>
      <c r="M190" s="186"/>
      <c r="N190" s="186"/>
      <c r="O190" s="186"/>
      <c r="P190" s="186"/>
    </row>
    <row r="191" spans="2:19" ht="18" customHeight="1" x14ac:dyDescent="0.25">
      <c r="B191" s="223"/>
      <c r="D191" s="157" t="s">
        <v>58</v>
      </c>
      <c r="E191" s="41"/>
      <c r="F191" s="42"/>
      <c r="G191" s="187">
        <f t="shared" ref="G191:G201" si="9">I191+K191+M191+O191</f>
        <v>0</v>
      </c>
      <c r="H191" s="187">
        <f t="shared" ref="H191:H201" si="10">J191+L191+N191+P191</f>
        <v>0</v>
      </c>
      <c r="I191" s="186"/>
      <c r="J191" s="186"/>
      <c r="K191" s="186"/>
      <c r="L191" s="186"/>
      <c r="M191" s="186"/>
      <c r="N191" s="186"/>
      <c r="O191" s="186"/>
      <c r="P191" s="186"/>
    </row>
    <row r="192" spans="2:19" ht="18" customHeight="1" x14ac:dyDescent="0.25">
      <c r="B192" s="223"/>
      <c r="D192" s="158" t="s">
        <v>129</v>
      </c>
      <c r="E192" s="95"/>
      <c r="F192" s="96"/>
      <c r="G192" s="187">
        <f t="shared" si="9"/>
        <v>0</v>
      </c>
      <c r="H192" s="187">
        <f t="shared" si="10"/>
        <v>0</v>
      </c>
      <c r="I192" s="187"/>
      <c r="J192" s="187"/>
      <c r="K192" s="187"/>
      <c r="L192" s="187"/>
      <c r="M192" s="187"/>
      <c r="N192" s="187"/>
      <c r="O192" s="187"/>
      <c r="P192" s="187"/>
    </row>
    <row r="193" spans="2:20" ht="18" customHeight="1" x14ac:dyDescent="0.25">
      <c r="B193" s="223"/>
      <c r="D193" s="158" t="s">
        <v>153</v>
      </c>
      <c r="E193" s="95"/>
      <c r="F193" s="96"/>
      <c r="G193" s="187">
        <f t="shared" si="9"/>
        <v>0</v>
      </c>
      <c r="H193" s="187">
        <f t="shared" si="10"/>
        <v>0</v>
      </c>
      <c r="I193" s="187"/>
      <c r="J193" s="187"/>
      <c r="K193" s="187"/>
      <c r="L193" s="187"/>
      <c r="M193" s="187"/>
      <c r="N193" s="187"/>
      <c r="O193" s="187"/>
      <c r="P193" s="187"/>
    </row>
    <row r="194" spans="2:20" ht="18" customHeight="1" x14ac:dyDescent="0.25">
      <c r="B194" s="223"/>
      <c r="D194" s="157" t="s">
        <v>59</v>
      </c>
      <c r="E194" s="41"/>
      <c r="F194" s="42"/>
      <c r="G194" s="187">
        <f t="shared" si="9"/>
        <v>0</v>
      </c>
      <c r="H194" s="187">
        <f t="shared" si="10"/>
        <v>0</v>
      </c>
      <c r="I194" s="186"/>
      <c r="J194" s="186"/>
      <c r="K194" s="186"/>
      <c r="L194" s="186"/>
      <c r="M194" s="186"/>
      <c r="N194" s="186"/>
      <c r="O194" s="186"/>
      <c r="P194" s="186"/>
    </row>
    <row r="195" spans="2:20" ht="18" customHeight="1" x14ac:dyDescent="0.25">
      <c r="B195" s="223"/>
      <c r="D195" s="157" t="s">
        <v>118</v>
      </c>
      <c r="E195" s="41"/>
      <c r="F195" s="42"/>
      <c r="G195" s="187">
        <f t="shared" si="9"/>
        <v>0</v>
      </c>
      <c r="H195" s="187">
        <f t="shared" si="10"/>
        <v>0</v>
      </c>
      <c r="I195" s="186"/>
      <c r="J195" s="186"/>
      <c r="K195" s="186"/>
      <c r="L195" s="186"/>
      <c r="M195" s="186"/>
      <c r="N195" s="186"/>
      <c r="O195" s="186"/>
      <c r="P195" s="186"/>
    </row>
    <row r="196" spans="2:20" ht="18" customHeight="1" x14ac:dyDescent="0.25">
      <c r="B196" s="223"/>
      <c r="D196" s="157" t="s">
        <v>61</v>
      </c>
      <c r="E196" s="41"/>
      <c r="F196" s="42"/>
      <c r="G196" s="187">
        <f t="shared" si="9"/>
        <v>0</v>
      </c>
      <c r="H196" s="187">
        <f t="shared" si="10"/>
        <v>0</v>
      </c>
      <c r="I196" s="186"/>
      <c r="J196" s="186"/>
      <c r="K196" s="186"/>
      <c r="L196" s="186"/>
      <c r="M196" s="186"/>
      <c r="N196" s="186"/>
      <c r="O196" s="186"/>
      <c r="P196" s="186"/>
    </row>
    <row r="197" spans="2:20" ht="18" customHeight="1" x14ac:dyDescent="0.25">
      <c r="B197" s="223"/>
      <c r="D197" s="157" t="s">
        <v>62</v>
      </c>
      <c r="E197" s="41"/>
      <c r="F197" s="42"/>
      <c r="G197" s="187">
        <f t="shared" si="9"/>
        <v>0</v>
      </c>
      <c r="H197" s="187">
        <f t="shared" si="10"/>
        <v>0</v>
      </c>
      <c r="I197" s="186"/>
      <c r="J197" s="186"/>
      <c r="K197" s="186"/>
      <c r="L197" s="186"/>
      <c r="M197" s="186"/>
      <c r="N197" s="186"/>
      <c r="O197" s="186"/>
      <c r="P197" s="186"/>
    </row>
    <row r="198" spans="2:20" ht="18" customHeight="1" x14ac:dyDescent="0.25">
      <c r="B198" s="223"/>
      <c r="D198" s="157" t="s">
        <v>63</v>
      </c>
      <c r="E198" s="41"/>
      <c r="F198" s="42"/>
      <c r="G198" s="187">
        <f t="shared" si="9"/>
        <v>0</v>
      </c>
      <c r="H198" s="187">
        <f t="shared" si="10"/>
        <v>0</v>
      </c>
      <c r="I198" s="186"/>
      <c r="J198" s="186"/>
      <c r="K198" s="186"/>
      <c r="L198" s="186"/>
      <c r="M198" s="186"/>
      <c r="N198" s="186"/>
      <c r="O198" s="186"/>
      <c r="P198" s="186"/>
    </row>
    <row r="199" spans="2:20" ht="18" customHeight="1" x14ac:dyDescent="0.25">
      <c r="B199" s="223"/>
      <c r="D199" s="157" t="s">
        <v>64</v>
      </c>
      <c r="E199" s="41"/>
      <c r="F199" s="42"/>
      <c r="G199" s="187">
        <f t="shared" si="9"/>
        <v>0</v>
      </c>
      <c r="H199" s="187">
        <f t="shared" si="10"/>
        <v>0</v>
      </c>
      <c r="I199" s="186"/>
      <c r="J199" s="186"/>
      <c r="K199" s="186"/>
      <c r="L199" s="186"/>
      <c r="M199" s="186"/>
      <c r="N199" s="186"/>
      <c r="O199" s="186"/>
      <c r="P199" s="186"/>
    </row>
    <row r="200" spans="2:20" ht="18" customHeight="1" x14ac:dyDescent="0.25">
      <c r="B200" s="223"/>
      <c r="D200" s="157" t="s">
        <v>65</v>
      </c>
      <c r="E200" s="41"/>
      <c r="F200" s="42"/>
      <c r="G200" s="187">
        <f t="shared" si="9"/>
        <v>0</v>
      </c>
      <c r="H200" s="187">
        <f t="shared" si="10"/>
        <v>0</v>
      </c>
      <c r="I200" s="186"/>
      <c r="J200" s="186"/>
      <c r="K200" s="186"/>
      <c r="L200" s="186"/>
      <c r="M200" s="186"/>
      <c r="N200" s="186"/>
      <c r="O200" s="186"/>
      <c r="P200" s="186"/>
    </row>
    <row r="201" spans="2:20" ht="18" customHeight="1" x14ac:dyDescent="0.25">
      <c r="B201" s="223"/>
      <c r="D201" s="157" t="s">
        <v>66</v>
      </c>
      <c r="E201" s="41"/>
      <c r="F201" s="42"/>
      <c r="G201" s="187">
        <f t="shared" si="9"/>
        <v>0</v>
      </c>
      <c r="H201" s="187">
        <f t="shared" si="10"/>
        <v>0</v>
      </c>
      <c r="I201" s="186"/>
      <c r="J201" s="186"/>
      <c r="K201" s="186"/>
      <c r="L201" s="186"/>
      <c r="M201" s="186"/>
      <c r="N201" s="186"/>
      <c r="O201" s="186"/>
      <c r="P201" s="186"/>
    </row>
    <row r="202" spans="2:20" ht="18" customHeight="1" x14ac:dyDescent="0.25">
      <c r="B202" s="223"/>
    </row>
    <row r="203" spans="2:20" ht="18" customHeight="1" x14ac:dyDescent="0.25">
      <c r="B203" s="223"/>
      <c r="D203" s="1" t="s">
        <v>119</v>
      </c>
      <c r="H203" s="134" t="s">
        <v>128</v>
      </c>
      <c r="I203" s="77" t="s">
        <v>57</v>
      </c>
      <c r="J203" s="39" t="s">
        <v>58</v>
      </c>
      <c r="K203" s="39" t="s">
        <v>129</v>
      </c>
      <c r="L203" s="39" t="s">
        <v>153</v>
      </c>
      <c r="M203" s="39" t="s">
        <v>59</v>
      </c>
      <c r="N203" s="39" t="s">
        <v>60</v>
      </c>
      <c r="O203" s="39" t="s">
        <v>61</v>
      </c>
      <c r="P203" s="39" t="s">
        <v>62</v>
      </c>
      <c r="Q203" s="39" t="s">
        <v>63</v>
      </c>
      <c r="R203" s="39" t="s">
        <v>64</v>
      </c>
      <c r="S203" s="39" t="s">
        <v>65</v>
      </c>
      <c r="T203" s="40" t="s">
        <v>66</v>
      </c>
    </row>
    <row r="204" spans="2:20" ht="18" customHeight="1" x14ac:dyDescent="0.25">
      <c r="B204" s="223"/>
      <c r="D204" s="157" t="s">
        <v>130</v>
      </c>
      <c r="E204" s="41"/>
      <c r="F204" s="41"/>
      <c r="G204" s="70"/>
      <c r="H204" s="186">
        <f>SUM(I204:T204)</f>
        <v>0</v>
      </c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</row>
    <row r="205" spans="2:20" ht="18" customHeight="1" x14ac:dyDescent="0.25">
      <c r="B205" s="223"/>
      <c r="D205" s="58"/>
      <c r="E205" s="38"/>
      <c r="F205" s="38"/>
      <c r="G205" s="5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</row>
    <row r="206" spans="2:20" ht="18" customHeight="1" x14ac:dyDescent="0.25">
      <c r="B206" s="223"/>
      <c r="D206" s="141" t="s">
        <v>131</v>
      </c>
      <c r="E206" s="90"/>
      <c r="F206" s="90"/>
      <c r="G206" s="142"/>
      <c r="H206" s="90"/>
      <c r="I206" s="90"/>
      <c r="J206" s="90"/>
      <c r="K206" s="38"/>
      <c r="L206" s="38"/>
      <c r="M206" s="38"/>
      <c r="N206" s="38"/>
      <c r="O206" s="38"/>
      <c r="P206" s="38"/>
      <c r="Q206" s="38"/>
      <c r="R206" s="38"/>
    </row>
    <row r="207" spans="2:20" ht="18" customHeight="1" x14ac:dyDescent="0.25">
      <c r="B207" s="223"/>
      <c r="D207" s="58"/>
      <c r="E207" s="38"/>
      <c r="F207" s="38"/>
      <c r="G207" s="58"/>
      <c r="J207" s="265" t="s">
        <v>128</v>
      </c>
      <c r="K207" s="266"/>
      <c r="L207" s="267" t="s">
        <v>58</v>
      </c>
      <c r="M207" s="266"/>
      <c r="N207" s="267" t="s">
        <v>129</v>
      </c>
      <c r="O207" s="268"/>
      <c r="P207" s="38"/>
      <c r="Q207" s="38"/>
      <c r="R207" s="38"/>
    </row>
    <row r="208" spans="2:20" ht="25.5" x14ac:dyDescent="0.25">
      <c r="B208" s="223"/>
      <c r="D208" s="58"/>
      <c r="E208" s="38"/>
      <c r="F208" s="38"/>
      <c r="G208" s="58"/>
      <c r="J208" s="97" t="s">
        <v>34</v>
      </c>
      <c r="K208" s="98" t="s">
        <v>133</v>
      </c>
      <c r="L208" s="97" t="s">
        <v>34</v>
      </c>
      <c r="M208" s="98" t="s">
        <v>133</v>
      </c>
      <c r="N208" s="97" t="s">
        <v>34</v>
      </c>
      <c r="O208" s="98" t="s">
        <v>133</v>
      </c>
      <c r="P208" s="38"/>
      <c r="Q208" s="38"/>
      <c r="R208" s="38"/>
    </row>
    <row r="209" spans="2:22" ht="18" customHeight="1" x14ac:dyDescent="0.25">
      <c r="B209" s="223"/>
      <c r="D209" s="158" t="s">
        <v>132</v>
      </c>
      <c r="E209" s="95"/>
      <c r="F209" s="95"/>
      <c r="G209" s="95"/>
      <c r="H209" s="95"/>
      <c r="I209" s="143"/>
      <c r="J209" s="189">
        <f>L209+N209</f>
        <v>0</v>
      </c>
      <c r="K209" s="189">
        <f>M209+O209</f>
        <v>0</v>
      </c>
      <c r="L209" s="190"/>
      <c r="M209" s="190"/>
      <c r="N209" s="190"/>
      <c r="O209" s="190"/>
      <c r="P209" s="38"/>
      <c r="Q209" s="38"/>
      <c r="R209" s="38"/>
    </row>
    <row r="210" spans="2:22" ht="18" customHeight="1" x14ac:dyDescent="0.25">
      <c r="B210" s="223"/>
      <c r="D210" s="158" t="s">
        <v>135</v>
      </c>
      <c r="E210" s="95"/>
      <c r="F210" s="95"/>
      <c r="G210" s="95"/>
      <c r="H210" s="95"/>
      <c r="I210" s="143"/>
      <c r="J210" s="189">
        <f>L210+N210</f>
        <v>0</v>
      </c>
      <c r="K210" s="189">
        <f>M210+O210</f>
        <v>0</v>
      </c>
      <c r="L210" s="190"/>
      <c r="M210" s="190"/>
      <c r="N210" s="190"/>
      <c r="O210" s="190"/>
      <c r="P210" s="38"/>
      <c r="Q210" s="38"/>
      <c r="R210" s="38"/>
    </row>
    <row r="211" spans="2:22" ht="18" customHeight="1" x14ac:dyDescent="0.25">
      <c r="B211" s="223"/>
      <c r="D211" s="158" t="s">
        <v>134</v>
      </c>
      <c r="E211" s="95"/>
      <c r="F211" s="95"/>
      <c r="G211" s="95"/>
      <c r="H211" s="95"/>
      <c r="I211" s="143"/>
      <c r="J211" s="189">
        <f>SUM(J209:J210)</f>
        <v>0</v>
      </c>
      <c r="K211" s="189">
        <f t="shared" ref="K211:O211" si="11">SUM(K209:K210)</f>
        <v>0</v>
      </c>
      <c r="L211" s="189">
        <f t="shared" si="11"/>
        <v>0</v>
      </c>
      <c r="M211" s="189">
        <f t="shared" si="11"/>
        <v>0</v>
      </c>
      <c r="N211" s="189">
        <f t="shared" si="11"/>
        <v>0</v>
      </c>
      <c r="O211" s="189">
        <f t="shared" si="11"/>
        <v>0</v>
      </c>
      <c r="P211" s="38"/>
      <c r="Q211" s="38"/>
      <c r="R211" s="38"/>
    </row>
    <row r="212" spans="2:22" ht="18" customHeight="1" x14ac:dyDescent="0.25">
      <c r="B212" s="223"/>
    </row>
    <row r="214" spans="2:22" ht="18" customHeight="1" x14ac:dyDescent="0.25">
      <c r="B214" s="231" t="s">
        <v>6</v>
      </c>
      <c r="C214" s="1" t="s">
        <v>78</v>
      </c>
    </row>
    <row r="215" spans="2:22" ht="18" customHeight="1" x14ac:dyDescent="0.25">
      <c r="B215" s="231"/>
      <c r="D215" s="1" t="s">
        <v>79</v>
      </c>
    </row>
    <row r="216" spans="2:22" ht="18" customHeight="1" x14ac:dyDescent="0.25">
      <c r="B216" s="231"/>
      <c r="D216" s="1"/>
    </row>
    <row r="217" spans="2:22" ht="18" customHeight="1" x14ac:dyDescent="0.25">
      <c r="B217" s="231"/>
      <c r="D217" s="1"/>
      <c r="G217" s="128" t="s">
        <v>128</v>
      </c>
      <c r="H217" s="129" t="s">
        <v>80</v>
      </c>
      <c r="I217" s="129" t="s">
        <v>81</v>
      </c>
      <c r="J217" s="129" t="s">
        <v>82</v>
      </c>
      <c r="K217" s="129" t="s">
        <v>83</v>
      </c>
      <c r="L217" s="129" t="s">
        <v>84</v>
      </c>
      <c r="M217" s="129" t="s">
        <v>85</v>
      </c>
    </row>
    <row r="218" spans="2:22" ht="18" customHeight="1" x14ac:dyDescent="0.25">
      <c r="B218" s="231"/>
      <c r="D218" s="1"/>
      <c r="G218" s="191">
        <f>SUM(H218:M218)</f>
        <v>0</v>
      </c>
      <c r="H218" s="191"/>
      <c r="I218" s="191"/>
      <c r="J218" s="191"/>
      <c r="K218" s="191"/>
      <c r="L218" s="191"/>
      <c r="M218" s="191"/>
    </row>
    <row r="219" spans="2:22" ht="18" customHeight="1" x14ac:dyDescent="0.25">
      <c r="B219" s="231"/>
      <c r="D219" s="1"/>
    </row>
    <row r="220" spans="2:22" ht="18" customHeight="1" x14ac:dyDescent="0.25">
      <c r="B220" s="231"/>
      <c r="D220" s="203" t="s">
        <v>20</v>
      </c>
      <c r="E220" s="203"/>
      <c r="F220" s="203"/>
      <c r="G220" s="258"/>
      <c r="H220" s="128" t="s">
        <v>80</v>
      </c>
      <c r="I220" s="129" t="s">
        <v>81</v>
      </c>
      <c r="J220" s="129" t="s">
        <v>82</v>
      </c>
      <c r="K220" s="129" t="s">
        <v>83</v>
      </c>
      <c r="L220" s="129" t="s">
        <v>84</v>
      </c>
      <c r="M220" s="129" t="s">
        <v>85</v>
      </c>
      <c r="R220" s="220"/>
      <c r="S220" s="220"/>
      <c r="T220" s="126"/>
      <c r="U220" s="220"/>
      <c r="V220" s="220"/>
    </row>
    <row r="221" spans="2:22" ht="18" customHeight="1" x14ac:dyDescent="0.25">
      <c r="B221" s="231"/>
      <c r="D221" s="203"/>
      <c r="E221" s="203"/>
      <c r="F221" s="203"/>
      <c r="G221" s="258"/>
      <c r="H221" s="192">
        <f>H218</f>
        <v>0</v>
      </c>
      <c r="I221" s="192">
        <f t="shared" ref="I221:M221" si="12">I218</f>
        <v>0</v>
      </c>
      <c r="J221" s="192">
        <f t="shared" si="12"/>
        <v>0</v>
      </c>
      <c r="K221" s="192">
        <f t="shared" si="12"/>
        <v>0</v>
      </c>
      <c r="L221" s="192">
        <f t="shared" si="12"/>
        <v>0</v>
      </c>
      <c r="M221" s="192">
        <f t="shared" si="12"/>
        <v>0</v>
      </c>
    </row>
    <row r="222" spans="2:22" ht="18" customHeight="1" x14ac:dyDescent="0.25">
      <c r="B222" s="231"/>
      <c r="E222" s="159" t="s">
        <v>21</v>
      </c>
      <c r="F222" s="46"/>
      <c r="G222" s="71"/>
      <c r="H222" s="192"/>
      <c r="I222" s="191"/>
      <c r="J222" s="192"/>
      <c r="K222" s="192"/>
      <c r="L222" s="192"/>
      <c r="M222" s="192"/>
    </row>
    <row r="223" spans="2:22" ht="18" customHeight="1" x14ac:dyDescent="0.25">
      <c r="B223" s="231"/>
      <c r="E223" s="159" t="s">
        <v>23</v>
      </c>
      <c r="F223" s="46"/>
      <c r="G223" s="71"/>
      <c r="H223" s="192"/>
      <c r="I223" s="191"/>
      <c r="J223" s="192"/>
      <c r="K223" s="192"/>
      <c r="L223" s="192"/>
      <c r="M223" s="192"/>
    </row>
    <row r="224" spans="2:22" ht="18" customHeight="1" x14ac:dyDescent="0.25">
      <c r="B224" s="231"/>
      <c r="E224" s="159" t="s">
        <v>22</v>
      </c>
      <c r="F224" s="46"/>
      <c r="G224" s="71"/>
      <c r="H224" s="192"/>
      <c r="I224" s="191"/>
      <c r="J224" s="192"/>
      <c r="K224" s="192"/>
      <c r="L224" s="192"/>
      <c r="M224" s="192"/>
    </row>
    <row r="225" spans="2:21" ht="18" customHeight="1" x14ac:dyDescent="0.25">
      <c r="B225" s="231"/>
      <c r="F225" s="58"/>
      <c r="G225" s="58"/>
      <c r="H225" s="38"/>
      <c r="I225" s="38"/>
      <c r="J225" s="38"/>
      <c r="K225" s="38"/>
      <c r="L225" s="38"/>
      <c r="M225" s="38"/>
    </row>
    <row r="226" spans="2:21" ht="18" customHeight="1" x14ac:dyDescent="0.25">
      <c r="B226" s="231"/>
      <c r="D226" s="1" t="s">
        <v>2</v>
      </c>
      <c r="F226" s="58"/>
      <c r="G226" s="58"/>
      <c r="H226" s="38"/>
      <c r="I226" s="38"/>
      <c r="J226" s="38"/>
      <c r="K226" s="38"/>
      <c r="L226" s="38"/>
      <c r="M226" s="38"/>
    </row>
    <row r="227" spans="2:21" ht="18" customHeight="1" x14ac:dyDescent="0.25">
      <c r="B227" s="231"/>
      <c r="D227" s="1"/>
      <c r="F227" s="58"/>
      <c r="G227" s="58"/>
      <c r="H227" s="38"/>
      <c r="I227" s="38"/>
      <c r="J227" s="38"/>
      <c r="K227" s="38"/>
      <c r="L227" s="38"/>
      <c r="M227" s="38"/>
    </row>
    <row r="228" spans="2:21" ht="18" customHeight="1" x14ac:dyDescent="0.25">
      <c r="B228" s="231"/>
      <c r="H228" s="130" t="s">
        <v>80</v>
      </c>
      <c r="I228" s="129" t="s">
        <v>81</v>
      </c>
      <c r="J228" s="129" t="s">
        <v>82</v>
      </c>
      <c r="K228" s="129" t="s">
        <v>83</v>
      </c>
      <c r="L228" s="129" t="s">
        <v>84</v>
      </c>
      <c r="M228" s="129" t="s">
        <v>85</v>
      </c>
    </row>
    <row r="229" spans="2:21" ht="18" customHeight="1" x14ac:dyDescent="0.25">
      <c r="B229" s="231"/>
      <c r="G229" s="72" t="s">
        <v>24</v>
      </c>
      <c r="H229" s="192"/>
      <c r="I229" s="192"/>
      <c r="J229" s="192"/>
      <c r="K229" s="192"/>
      <c r="L229" s="192"/>
      <c r="M229" s="192"/>
    </row>
    <row r="230" spans="2:21" ht="18" customHeight="1" x14ac:dyDescent="0.25">
      <c r="B230" s="231"/>
      <c r="G230" s="72" t="s">
        <v>25</v>
      </c>
      <c r="H230" s="192"/>
      <c r="I230" s="192"/>
      <c r="J230" s="192"/>
      <c r="K230" s="192"/>
      <c r="L230" s="192"/>
      <c r="M230" s="192"/>
    </row>
    <row r="231" spans="2:21" ht="18" customHeight="1" x14ac:dyDescent="0.25">
      <c r="B231" s="231"/>
    </row>
    <row r="232" spans="2:21" ht="18" customHeight="1" x14ac:dyDescent="0.25">
      <c r="B232" s="231"/>
      <c r="D232" s="1" t="s">
        <v>86</v>
      </c>
    </row>
    <row r="233" spans="2:21" ht="18" customHeight="1" x14ac:dyDescent="0.25">
      <c r="B233" s="231"/>
      <c r="D233" s="1"/>
    </row>
    <row r="234" spans="2:21" ht="18" customHeight="1" x14ac:dyDescent="0.25">
      <c r="B234" s="231"/>
      <c r="E234" s="1"/>
      <c r="F234" s="1"/>
      <c r="G234" s="1"/>
      <c r="H234" s="1"/>
      <c r="I234" s="78"/>
      <c r="J234" s="241" t="s">
        <v>43</v>
      </c>
      <c r="K234" s="240"/>
      <c r="L234" s="240" t="s">
        <v>9</v>
      </c>
      <c r="M234" s="240"/>
      <c r="N234" s="240" t="s">
        <v>10</v>
      </c>
      <c r="O234" s="240"/>
      <c r="P234" s="240" t="s">
        <v>11</v>
      </c>
      <c r="Q234" s="240"/>
      <c r="R234" s="240" t="s">
        <v>32</v>
      </c>
      <c r="S234" s="259"/>
    </row>
    <row r="235" spans="2:21" ht="18" customHeight="1" x14ac:dyDescent="0.25">
      <c r="B235" s="231"/>
      <c r="D235" s="1" t="s">
        <v>3</v>
      </c>
      <c r="E235" s="81"/>
      <c r="F235" s="81"/>
      <c r="G235" s="81"/>
      <c r="H235" s="81"/>
      <c r="I235" s="82"/>
      <c r="J235" s="45" t="s">
        <v>34</v>
      </c>
      <c r="K235" s="45" t="s">
        <v>35</v>
      </c>
      <c r="L235" s="45" t="s">
        <v>34</v>
      </c>
      <c r="M235" s="45" t="s">
        <v>35</v>
      </c>
      <c r="N235" s="45" t="s">
        <v>34</v>
      </c>
      <c r="O235" s="45" t="s">
        <v>35</v>
      </c>
      <c r="P235" s="45" t="s">
        <v>34</v>
      </c>
      <c r="Q235" s="45" t="s">
        <v>35</v>
      </c>
      <c r="R235" s="45" t="s">
        <v>34</v>
      </c>
      <c r="S235" s="45" t="s">
        <v>35</v>
      </c>
    </row>
    <row r="236" spans="2:21" ht="18" customHeight="1" x14ac:dyDescent="0.25">
      <c r="B236" s="231"/>
      <c r="D236" s="159" t="s">
        <v>87</v>
      </c>
      <c r="E236" s="46"/>
      <c r="F236" s="46"/>
      <c r="G236" s="46"/>
      <c r="H236" s="46"/>
      <c r="I236" s="44"/>
      <c r="J236" s="192">
        <f>L236+N236+P236+R236</f>
        <v>0</v>
      </c>
      <c r="K236" s="192">
        <f>M236+O236+Q236+S236</f>
        <v>0</v>
      </c>
      <c r="L236" s="191"/>
      <c r="M236" s="191"/>
      <c r="N236" s="191"/>
      <c r="O236" s="191"/>
      <c r="P236" s="191"/>
      <c r="Q236" s="191"/>
      <c r="R236" s="191"/>
      <c r="S236" s="191"/>
    </row>
    <row r="237" spans="2:21" ht="18" customHeight="1" x14ac:dyDescent="0.25">
      <c r="B237" s="231"/>
      <c r="D237" s="159" t="s">
        <v>88</v>
      </c>
      <c r="E237" s="46"/>
      <c r="F237" s="46"/>
      <c r="G237" s="46"/>
      <c r="H237" s="46"/>
      <c r="I237" s="44"/>
      <c r="J237" s="192">
        <f t="shared" ref="J237:J241" si="13">L237+N237+P237+R237</f>
        <v>0</v>
      </c>
      <c r="K237" s="192">
        <f t="shared" ref="K237:K241" si="14">M237+O237+Q237+S237</f>
        <v>0</v>
      </c>
      <c r="L237" s="191"/>
      <c r="M237" s="191"/>
      <c r="N237" s="191"/>
      <c r="O237" s="191"/>
      <c r="P237" s="191"/>
      <c r="Q237" s="191"/>
      <c r="R237" s="191"/>
      <c r="S237" s="191"/>
    </row>
    <row r="238" spans="2:21" ht="18" customHeight="1" x14ac:dyDescent="0.25">
      <c r="B238" s="231"/>
      <c r="D238" s="159" t="s">
        <v>89</v>
      </c>
      <c r="E238" s="47"/>
      <c r="F238" s="46"/>
      <c r="G238" s="46"/>
      <c r="H238" s="46"/>
      <c r="I238" s="44"/>
      <c r="J238" s="192">
        <f t="shared" si="13"/>
        <v>0</v>
      </c>
      <c r="K238" s="192">
        <f t="shared" si="14"/>
        <v>0</v>
      </c>
      <c r="L238" s="191"/>
      <c r="M238" s="191"/>
      <c r="N238" s="191"/>
      <c r="O238" s="191"/>
      <c r="P238" s="191"/>
      <c r="Q238" s="191"/>
      <c r="R238" s="191"/>
      <c r="S238" s="191"/>
    </row>
    <row r="239" spans="2:21" ht="18" customHeight="1" x14ac:dyDescent="0.25">
      <c r="B239" s="231"/>
      <c r="D239" s="159" t="s">
        <v>90</v>
      </c>
      <c r="E239" s="46"/>
      <c r="F239" s="46"/>
      <c r="G239" s="46"/>
      <c r="H239" s="46"/>
      <c r="I239" s="44"/>
      <c r="J239" s="192">
        <f t="shared" si="13"/>
        <v>0</v>
      </c>
      <c r="K239" s="192">
        <f t="shared" si="14"/>
        <v>0</v>
      </c>
      <c r="L239" s="191"/>
      <c r="M239" s="191"/>
      <c r="N239" s="191"/>
      <c r="O239" s="191"/>
      <c r="P239" s="191"/>
      <c r="Q239" s="191"/>
      <c r="R239" s="191"/>
      <c r="S239" s="191"/>
      <c r="T239" s="220"/>
      <c r="U239" s="220"/>
    </row>
    <row r="240" spans="2:21" ht="18" customHeight="1" x14ac:dyDescent="0.25">
      <c r="B240" s="231"/>
      <c r="D240" s="159" t="s">
        <v>92</v>
      </c>
      <c r="E240" s="46"/>
      <c r="F240" s="46"/>
      <c r="G240" s="46"/>
      <c r="H240" s="46"/>
      <c r="I240" s="44"/>
      <c r="J240" s="192">
        <f t="shared" si="13"/>
        <v>0</v>
      </c>
      <c r="K240" s="192">
        <f t="shared" si="14"/>
        <v>0</v>
      </c>
      <c r="L240" s="191"/>
      <c r="M240" s="191"/>
      <c r="N240" s="191"/>
      <c r="O240" s="191"/>
      <c r="P240" s="191"/>
      <c r="Q240" s="191"/>
      <c r="R240" s="191"/>
      <c r="S240" s="191"/>
    </row>
    <row r="241" spans="2:19" ht="18" customHeight="1" x14ac:dyDescent="0.25">
      <c r="B241" s="231"/>
      <c r="D241" s="159" t="s">
        <v>91</v>
      </c>
      <c r="E241" s="46"/>
      <c r="F241" s="46"/>
      <c r="G241" s="46"/>
      <c r="H241" s="46"/>
      <c r="I241" s="44"/>
      <c r="J241" s="192">
        <f t="shared" si="13"/>
        <v>0</v>
      </c>
      <c r="K241" s="192">
        <f t="shared" si="14"/>
        <v>0</v>
      </c>
      <c r="L241" s="191"/>
      <c r="M241" s="191"/>
      <c r="N241" s="191"/>
      <c r="O241" s="191"/>
      <c r="P241" s="191"/>
      <c r="Q241" s="191"/>
      <c r="R241" s="191"/>
      <c r="S241" s="191"/>
    </row>
    <row r="242" spans="2:19" ht="18" customHeight="1" x14ac:dyDescent="0.25">
      <c r="B242" s="231"/>
    </row>
    <row r="243" spans="2:19" ht="18" customHeight="1" x14ac:dyDescent="0.25">
      <c r="B243" s="231"/>
      <c r="D243" s="1" t="s">
        <v>40</v>
      </c>
    </row>
    <row r="244" spans="2:19" ht="18" customHeight="1" x14ac:dyDescent="0.25">
      <c r="B244" s="231"/>
      <c r="D244" s="1"/>
    </row>
    <row r="245" spans="2:19" ht="18" customHeight="1" x14ac:dyDescent="0.25">
      <c r="B245" s="231"/>
      <c r="D245" s="203" t="s">
        <v>41</v>
      </c>
      <c r="E245" s="203"/>
      <c r="F245" s="258"/>
      <c r="G245" s="238" t="s">
        <v>43</v>
      </c>
      <c r="H245" s="239"/>
      <c r="I245" s="240" t="s">
        <v>9</v>
      </c>
      <c r="J245" s="240"/>
      <c r="K245" s="240" t="s">
        <v>10</v>
      </c>
      <c r="L245" s="240"/>
      <c r="M245" s="240" t="s">
        <v>11</v>
      </c>
      <c r="N245" s="240"/>
      <c r="O245" s="240" t="s">
        <v>32</v>
      </c>
      <c r="P245" s="259"/>
    </row>
    <row r="246" spans="2:19" ht="18" customHeight="1" x14ac:dyDescent="0.25">
      <c r="B246" s="231"/>
      <c r="D246" s="247"/>
      <c r="E246" s="247"/>
      <c r="F246" s="248"/>
      <c r="G246" s="45" t="s">
        <v>34</v>
      </c>
      <c r="H246" s="45" t="s">
        <v>35</v>
      </c>
      <c r="I246" s="45" t="s">
        <v>34</v>
      </c>
      <c r="J246" s="45" t="s">
        <v>35</v>
      </c>
      <c r="K246" s="45" t="s">
        <v>34</v>
      </c>
      <c r="L246" s="45" t="s">
        <v>35</v>
      </c>
      <c r="M246" s="45" t="s">
        <v>34</v>
      </c>
      <c r="N246" s="45" t="s">
        <v>35</v>
      </c>
      <c r="O246" s="45" t="s">
        <v>34</v>
      </c>
      <c r="P246" s="45" t="s">
        <v>35</v>
      </c>
    </row>
    <row r="247" spans="2:19" ht="18" customHeight="1" x14ac:dyDescent="0.25">
      <c r="B247" s="231"/>
      <c r="D247" s="159" t="s">
        <v>120</v>
      </c>
      <c r="E247" s="73"/>
      <c r="F247" s="71"/>
      <c r="G247" s="192">
        <f>I247+K247+M247+O247</f>
        <v>0</v>
      </c>
      <c r="H247" s="192">
        <f>J247+L247+N247+P247</f>
        <v>0</v>
      </c>
      <c r="I247" s="192"/>
      <c r="J247" s="192"/>
      <c r="K247" s="192"/>
      <c r="L247" s="192"/>
      <c r="M247" s="192"/>
      <c r="N247" s="192"/>
      <c r="O247" s="192"/>
      <c r="P247" s="192"/>
    </row>
    <row r="248" spans="2:19" ht="18" customHeight="1" x14ac:dyDescent="0.25">
      <c r="B248" s="231"/>
      <c r="D248" s="159" t="s">
        <v>121</v>
      </c>
      <c r="E248" s="73"/>
      <c r="F248" s="71"/>
      <c r="G248" s="192">
        <f t="shared" ref="G248:G252" si="15">I248+K248+M248+O248</f>
        <v>0</v>
      </c>
      <c r="H248" s="192">
        <f t="shared" ref="H248:H252" si="16">J248+L248+N248+P248</f>
        <v>0</v>
      </c>
      <c r="I248" s="192"/>
      <c r="J248" s="192"/>
      <c r="K248" s="192"/>
      <c r="L248" s="192"/>
      <c r="M248" s="192"/>
      <c r="N248" s="192"/>
      <c r="O248" s="192"/>
      <c r="P248" s="192"/>
    </row>
    <row r="249" spans="2:19" ht="18" customHeight="1" x14ac:dyDescent="0.25">
      <c r="B249" s="231"/>
      <c r="D249" s="159" t="s">
        <v>122</v>
      </c>
      <c r="E249" s="73"/>
      <c r="F249" s="71"/>
      <c r="G249" s="192">
        <f t="shared" si="15"/>
        <v>0</v>
      </c>
      <c r="H249" s="192">
        <f t="shared" si="16"/>
        <v>0</v>
      </c>
      <c r="I249" s="192"/>
      <c r="J249" s="192"/>
      <c r="K249" s="192"/>
      <c r="L249" s="192"/>
      <c r="M249" s="192"/>
      <c r="N249" s="192"/>
      <c r="O249" s="192"/>
      <c r="P249" s="192"/>
    </row>
    <row r="250" spans="2:19" ht="18" customHeight="1" x14ac:dyDescent="0.25">
      <c r="B250" s="231"/>
      <c r="D250" s="159" t="s">
        <v>123</v>
      </c>
      <c r="E250" s="73"/>
      <c r="F250" s="71"/>
      <c r="G250" s="192">
        <f t="shared" si="15"/>
        <v>0</v>
      </c>
      <c r="H250" s="192">
        <f t="shared" si="16"/>
        <v>0</v>
      </c>
      <c r="I250" s="192"/>
      <c r="J250" s="192"/>
      <c r="K250" s="192"/>
      <c r="L250" s="192"/>
      <c r="M250" s="192"/>
      <c r="N250" s="192"/>
      <c r="O250" s="192"/>
      <c r="P250" s="192"/>
    </row>
    <row r="251" spans="2:19" ht="18" customHeight="1" x14ac:dyDescent="0.25">
      <c r="B251" s="231"/>
      <c r="D251" s="159" t="s">
        <v>84</v>
      </c>
      <c r="E251" s="73"/>
      <c r="F251" s="71"/>
      <c r="G251" s="192">
        <f t="shared" si="15"/>
        <v>0</v>
      </c>
      <c r="H251" s="192">
        <f t="shared" si="16"/>
        <v>0</v>
      </c>
      <c r="I251" s="192"/>
      <c r="J251" s="192"/>
      <c r="K251" s="192"/>
      <c r="L251" s="192"/>
      <c r="M251" s="192"/>
      <c r="N251" s="192"/>
      <c r="O251" s="192"/>
      <c r="P251" s="192"/>
    </row>
    <row r="252" spans="2:19" ht="18" customHeight="1" x14ac:dyDescent="0.25">
      <c r="B252" s="231"/>
      <c r="D252" s="159" t="s">
        <v>85</v>
      </c>
      <c r="E252" s="73"/>
      <c r="F252" s="71"/>
      <c r="G252" s="192">
        <f t="shared" si="15"/>
        <v>0</v>
      </c>
      <c r="H252" s="192">
        <f t="shared" si="16"/>
        <v>0</v>
      </c>
      <c r="I252" s="192"/>
      <c r="J252" s="192"/>
      <c r="K252" s="192"/>
      <c r="L252" s="192"/>
      <c r="M252" s="192"/>
      <c r="N252" s="192"/>
      <c r="O252" s="192"/>
      <c r="P252" s="192"/>
    </row>
    <row r="253" spans="2:19" ht="18" customHeight="1" x14ac:dyDescent="0.25">
      <c r="B253" s="231"/>
      <c r="F253" s="15"/>
    </row>
    <row r="254" spans="2:19" ht="18" customHeight="1" x14ac:dyDescent="0.25">
      <c r="B254" s="231"/>
      <c r="D254" s="1" t="s">
        <v>119</v>
      </c>
      <c r="G254" s="15"/>
      <c r="H254" s="130" t="s">
        <v>80</v>
      </c>
      <c r="I254" s="129" t="s">
        <v>81</v>
      </c>
      <c r="J254" s="129" t="s">
        <v>82</v>
      </c>
      <c r="K254" s="129" t="s">
        <v>83</v>
      </c>
      <c r="L254" s="129" t="s">
        <v>84</v>
      </c>
      <c r="M254" s="129" t="s">
        <v>85</v>
      </c>
    </row>
    <row r="255" spans="2:19" ht="18" customHeight="1" x14ac:dyDescent="0.25">
      <c r="B255" s="231"/>
      <c r="D255" s="159" t="s">
        <v>130</v>
      </c>
      <c r="E255" s="46"/>
      <c r="F255" s="46"/>
      <c r="G255" s="44"/>
      <c r="H255" s="192"/>
      <c r="I255" s="192"/>
      <c r="J255" s="192"/>
      <c r="K255" s="192"/>
      <c r="L255" s="192"/>
      <c r="M255" s="192"/>
    </row>
    <row r="256" spans="2:19" ht="18" customHeight="1" x14ac:dyDescent="0.25">
      <c r="B256" s="231"/>
      <c r="G256" s="58"/>
      <c r="H256" s="38"/>
      <c r="I256" s="38"/>
      <c r="J256" s="38"/>
      <c r="K256" s="38"/>
      <c r="L256" s="38"/>
      <c r="M256" s="38"/>
    </row>
    <row r="257" spans="2:15" ht="18" customHeight="1" x14ac:dyDescent="0.25">
      <c r="B257" s="231"/>
      <c r="D257" s="204" t="s">
        <v>49</v>
      </c>
      <c r="E257" s="204"/>
      <c r="F257" s="204"/>
      <c r="G257" s="204"/>
      <c r="H257" s="100"/>
      <c r="J257" s="100"/>
      <c r="L257" s="100"/>
    </row>
    <row r="258" spans="2:15" ht="18" customHeight="1" x14ac:dyDescent="0.25">
      <c r="B258" s="231"/>
      <c r="D258" s="247"/>
      <c r="E258" s="247"/>
      <c r="F258" s="247"/>
      <c r="G258" s="248"/>
      <c r="H258" s="99" t="s">
        <v>80</v>
      </c>
      <c r="I258" s="48" t="s">
        <v>81</v>
      </c>
      <c r="J258" s="48" t="s">
        <v>82</v>
      </c>
      <c r="K258" s="48" t="s">
        <v>83</v>
      </c>
      <c r="L258" s="48" t="s">
        <v>84</v>
      </c>
      <c r="M258" s="48" t="s">
        <v>85</v>
      </c>
    </row>
    <row r="259" spans="2:15" ht="18" customHeight="1" x14ac:dyDescent="0.25">
      <c r="B259" s="231"/>
      <c r="D259" s="160" t="s">
        <v>50</v>
      </c>
      <c r="E259" s="46"/>
      <c r="F259" s="46"/>
      <c r="G259" s="44"/>
      <c r="H259" s="191"/>
      <c r="I259" s="191"/>
      <c r="J259" s="191"/>
      <c r="K259" s="191"/>
      <c r="L259" s="191"/>
      <c r="M259" s="191"/>
    </row>
    <row r="260" spans="2:15" ht="18" customHeight="1" x14ac:dyDescent="0.25">
      <c r="B260" s="231"/>
      <c r="D260" s="160" t="s">
        <v>112</v>
      </c>
      <c r="E260" s="46"/>
      <c r="F260" s="46"/>
      <c r="G260" s="44"/>
      <c r="H260" s="191"/>
      <c r="I260" s="191"/>
      <c r="J260" s="191"/>
      <c r="K260" s="191"/>
      <c r="L260" s="191"/>
      <c r="M260" s="191"/>
    </row>
    <row r="261" spans="2:15" ht="18" customHeight="1" x14ac:dyDescent="0.25">
      <c r="B261" s="231"/>
      <c r="D261" s="160" t="s">
        <v>113</v>
      </c>
      <c r="E261" s="46"/>
      <c r="F261" s="46"/>
      <c r="G261" s="44"/>
      <c r="H261" s="191"/>
      <c r="I261" s="191"/>
      <c r="J261" s="191"/>
      <c r="K261" s="191"/>
      <c r="L261" s="191"/>
      <c r="M261" s="191"/>
    </row>
    <row r="262" spans="2:15" ht="18" customHeight="1" x14ac:dyDescent="0.25">
      <c r="B262" s="231"/>
      <c r="D262" s="160" t="s">
        <v>136</v>
      </c>
      <c r="E262" s="46"/>
      <c r="F262" s="46"/>
      <c r="G262" s="44"/>
      <c r="H262" s="191"/>
      <c r="I262" s="191"/>
      <c r="J262" s="191"/>
      <c r="K262" s="191"/>
      <c r="L262" s="191"/>
      <c r="M262" s="191"/>
    </row>
    <row r="263" spans="2:15" ht="18" customHeight="1" x14ac:dyDescent="0.25">
      <c r="B263" s="231"/>
      <c r="D263" s="160" t="s">
        <v>114</v>
      </c>
      <c r="E263" s="46"/>
      <c r="F263" s="46"/>
      <c r="G263" s="44"/>
      <c r="H263" s="191"/>
      <c r="I263" s="191"/>
      <c r="J263" s="191"/>
      <c r="K263" s="191"/>
      <c r="L263" s="191"/>
      <c r="M263" s="191"/>
    </row>
    <row r="264" spans="2:15" ht="18" customHeight="1" x14ac:dyDescent="0.25">
      <c r="B264" s="231"/>
    </row>
    <row r="267" spans="2:15" ht="18" customHeight="1" x14ac:dyDescent="0.25">
      <c r="B267" s="221" t="s">
        <v>7</v>
      </c>
      <c r="C267" s="1" t="s">
        <v>106</v>
      </c>
    </row>
    <row r="268" spans="2:15" ht="18" customHeight="1" x14ac:dyDescent="0.25">
      <c r="B268" s="221"/>
      <c r="D268" s="1" t="s">
        <v>107</v>
      </c>
    </row>
    <row r="269" spans="2:15" ht="18" customHeight="1" x14ac:dyDescent="0.25">
      <c r="B269" s="221"/>
      <c r="D269" s="1"/>
    </row>
    <row r="270" spans="2:15" ht="18" customHeight="1" x14ac:dyDescent="0.25">
      <c r="B270" s="221"/>
      <c r="G270" s="16" t="s">
        <v>12</v>
      </c>
      <c r="H270" s="87"/>
    </row>
    <row r="271" spans="2:15" ht="18" customHeight="1" x14ac:dyDescent="0.25">
      <c r="B271" s="221"/>
    </row>
    <row r="272" spans="2:15" ht="30" customHeight="1" x14ac:dyDescent="0.25">
      <c r="B272" s="221"/>
      <c r="D272" s="203" t="s">
        <v>20</v>
      </c>
      <c r="E272" s="203"/>
      <c r="F272" s="204"/>
      <c r="G272" s="17" t="s">
        <v>21</v>
      </c>
      <c r="H272" s="83" t="s">
        <v>23</v>
      </c>
      <c r="I272" s="18" t="s">
        <v>22</v>
      </c>
      <c r="K272" s="203" t="s">
        <v>2</v>
      </c>
      <c r="L272" s="203"/>
      <c r="M272" s="203"/>
      <c r="N272" s="19" t="s">
        <v>24</v>
      </c>
      <c r="O272" s="20" t="s">
        <v>25</v>
      </c>
    </row>
    <row r="273" spans="2:19" ht="18" customHeight="1" x14ac:dyDescent="0.25">
      <c r="B273" s="221"/>
      <c r="D273" s="203"/>
      <c r="E273" s="203"/>
      <c r="F273" s="204"/>
      <c r="G273" s="87"/>
      <c r="H273" s="87"/>
      <c r="I273" s="87"/>
      <c r="K273" s="203"/>
      <c r="L273" s="203"/>
      <c r="M273" s="203"/>
      <c r="N273" s="87"/>
      <c r="O273" s="87"/>
    </row>
    <row r="274" spans="2:19" ht="18" customHeight="1" x14ac:dyDescent="0.25">
      <c r="B274" s="221"/>
    </row>
    <row r="275" spans="2:19" ht="18" customHeight="1" x14ac:dyDescent="0.25">
      <c r="B275" s="221"/>
      <c r="D275" s="141" t="s">
        <v>152</v>
      </c>
    </row>
    <row r="276" spans="2:19" ht="18" customHeight="1" x14ac:dyDescent="0.25">
      <c r="B276" s="221"/>
      <c r="D276" s="141"/>
    </row>
    <row r="277" spans="2:19" ht="18" customHeight="1" x14ac:dyDescent="0.25">
      <c r="B277" s="221"/>
      <c r="J277" s="224" t="s">
        <v>43</v>
      </c>
      <c r="K277" s="225"/>
      <c r="L277" s="226" t="s">
        <v>9</v>
      </c>
      <c r="M277" s="226"/>
      <c r="N277" s="252" t="s">
        <v>10</v>
      </c>
      <c r="O277" s="254"/>
      <c r="P277" s="252" t="s">
        <v>11</v>
      </c>
      <c r="Q277" s="254"/>
      <c r="R277" s="252" t="s">
        <v>32</v>
      </c>
      <c r="S277" s="253"/>
    </row>
    <row r="278" spans="2:19" ht="18" customHeight="1" x14ac:dyDescent="0.25">
      <c r="B278" s="221"/>
      <c r="D278" s="1" t="s">
        <v>3</v>
      </c>
      <c r="J278" s="49" t="s">
        <v>34</v>
      </c>
      <c r="K278" s="49" t="s">
        <v>35</v>
      </c>
      <c r="L278" s="50" t="s">
        <v>34</v>
      </c>
      <c r="M278" s="51" t="s">
        <v>35</v>
      </c>
      <c r="N278" s="49" t="s">
        <v>34</v>
      </c>
      <c r="O278" s="50" t="s">
        <v>35</v>
      </c>
      <c r="P278" s="49" t="s">
        <v>34</v>
      </c>
      <c r="Q278" s="50" t="s">
        <v>35</v>
      </c>
      <c r="R278" s="51" t="s">
        <v>34</v>
      </c>
      <c r="S278" s="51" t="s">
        <v>35</v>
      </c>
    </row>
    <row r="279" spans="2:19" ht="18" customHeight="1" x14ac:dyDescent="0.25">
      <c r="B279" s="221"/>
      <c r="D279" s="161" t="s">
        <v>33</v>
      </c>
      <c r="E279" s="74"/>
      <c r="F279" s="74"/>
      <c r="G279" s="74"/>
      <c r="H279" s="74"/>
      <c r="I279" s="75"/>
      <c r="J279" s="87">
        <f>L279+N279+P279+R279</f>
        <v>0</v>
      </c>
      <c r="K279" s="87">
        <f>M279+O279+Q279+S279</f>
        <v>0</v>
      </c>
      <c r="L279" s="87"/>
      <c r="M279" s="87"/>
      <c r="N279" s="87"/>
      <c r="O279" s="87"/>
      <c r="P279" s="87"/>
      <c r="Q279" s="87"/>
      <c r="R279" s="87"/>
      <c r="S279" s="87"/>
    </row>
    <row r="280" spans="2:19" ht="18" customHeight="1" x14ac:dyDescent="0.25">
      <c r="B280" s="221"/>
      <c r="D280" s="161" t="s">
        <v>90</v>
      </c>
      <c r="E280" s="74"/>
      <c r="F280" s="74"/>
      <c r="G280" s="74"/>
      <c r="H280" s="74"/>
      <c r="I280" s="75"/>
      <c r="J280" s="87">
        <f t="shared" ref="J280:J282" si="17">L280+N280+P280+R280</f>
        <v>0</v>
      </c>
      <c r="K280" s="87">
        <f t="shared" ref="K280:K282" si="18">M280+O280+Q280+S280</f>
        <v>0</v>
      </c>
      <c r="L280" s="87"/>
      <c r="M280" s="87"/>
      <c r="N280" s="87"/>
      <c r="O280" s="87"/>
      <c r="P280" s="87"/>
      <c r="Q280" s="87"/>
      <c r="R280" s="87"/>
      <c r="S280" s="87"/>
    </row>
    <row r="281" spans="2:19" ht="18" customHeight="1" x14ac:dyDescent="0.25">
      <c r="B281" s="221"/>
      <c r="D281" s="161" t="s">
        <v>108</v>
      </c>
      <c r="E281" s="74"/>
      <c r="F281" s="74"/>
      <c r="G281" s="74"/>
      <c r="H281" s="74"/>
      <c r="I281" s="75"/>
      <c r="J281" s="87">
        <f t="shared" si="17"/>
        <v>0</v>
      </c>
      <c r="K281" s="87">
        <f t="shared" si="18"/>
        <v>0</v>
      </c>
      <c r="L281" s="87"/>
      <c r="M281" s="87"/>
      <c r="N281" s="87"/>
      <c r="O281" s="87"/>
      <c r="P281" s="87"/>
      <c r="Q281" s="87"/>
      <c r="R281" s="87"/>
      <c r="S281" s="87"/>
    </row>
    <row r="282" spans="2:19" ht="18" customHeight="1" x14ac:dyDescent="0.25">
      <c r="B282" s="221"/>
      <c r="D282" s="161" t="s">
        <v>109</v>
      </c>
      <c r="E282" s="74"/>
      <c r="F282" s="74"/>
      <c r="G282" s="74"/>
      <c r="H282" s="74"/>
      <c r="I282" s="75"/>
      <c r="J282" s="87">
        <f t="shared" si="17"/>
        <v>0</v>
      </c>
      <c r="K282" s="87">
        <f t="shared" si="18"/>
        <v>0</v>
      </c>
      <c r="L282" s="87"/>
      <c r="M282" s="87"/>
      <c r="N282" s="87"/>
      <c r="O282" s="87"/>
      <c r="P282" s="87"/>
      <c r="Q282" s="87"/>
      <c r="R282" s="87"/>
      <c r="S282" s="87"/>
    </row>
    <row r="283" spans="2:19" ht="18" customHeight="1" x14ac:dyDescent="0.25">
      <c r="B283" s="221"/>
    </row>
    <row r="284" spans="2:19" ht="18" customHeight="1" x14ac:dyDescent="0.25">
      <c r="B284" s="221"/>
      <c r="D284" s="1" t="s">
        <v>40</v>
      </c>
    </row>
    <row r="285" spans="2:19" ht="18" customHeight="1" x14ac:dyDescent="0.25">
      <c r="B285" s="221"/>
      <c r="D285" s="1"/>
    </row>
    <row r="286" spans="2:19" ht="18" customHeight="1" x14ac:dyDescent="0.25">
      <c r="B286" s="221"/>
      <c r="H286" s="224" t="s">
        <v>43</v>
      </c>
      <c r="I286" s="225"/>
      <c r="J286" s="226" t="s">
        <v>9</v>
      </c>
      <c r="K286" s="226"/>
      <c r="L286" s="252" t="s">
        <v>10</v>
      </c>
      <c r="M286" s="254"/>
      <c r="N286" s="252" t="s">
        <v>11</v>
      </c>
      <c r="O286" s="254"/>
      <c r="P286" s="252" t="s">
        <v>32</v>
      </c>
      <c r="Q286" s="253"/>
    </row>
    <row r="287" spans="2:19" ht="18" customHeight="1" x14ac:dyDescent="0.25">
      <c r="B287" s="221"/>
      <c r="H287" s="49" t="s">
        <v>34</v>
      </c>
      <c r="I287" s="49" t="s">
        <v>35</v>
      </c>
      <c r="J287" s="50" t="s">
        <v>34</v>
      </c>
      <c r="K287" s="51" t="s">
        <v>35</v>
      </c>
      <c r="L287" s="49" t="s">
        <v>34</v>
      </c>
      <c r="M287" s="50" t="s">
        <v>35</v>
      </c>
      <c r="N287" s="49" t="s">
        <v>34</v>
      </c>
      <c r="O287" s="50" t="s">
        <v>35</v>
      </c>
      <c r="P287" s="51" t="s">
        <v>34</v>
      </c>
      <c r="Q287" s="51" t="s">
        <v>35</v>
      </c>
    </row>
    <row r="288" spans="2:19" ht="18" customHeight="1" x14ac:dyDescent="0.25">
      <c r="B288" s="221"/>
      <c r="D288" s="161" t="s">
        <v>41</v>
      </c>
      <c r="E288" s="52"/>
      <c r="F288" s="52"/>
      <c r="G288" s="53"/>
      <c r="H288" s="193">
        <f>J288+L288+N288+P288</f>
        <v>0</v>
      </c>
      <c r="I288" s="193">
        <f>K288+M288+O288+Q288</f>
        <v>0</v>
      </c>
      <c r="J288" s="87"/>
      <c r="K288" s="87"/>
      <c r="L288" s="87"/>
      <c r="M288" s="87"/>
      <c r="N288" s="87"/>
      <c r="O288" s="87"/>
      <c r="P288" s="87"/>
      <c r="Q288" s="87"/>
    </row>
    <row r="289" spans="2:18" ht="18" customHeight="1" x14ac:dyDescent="0.25">
      <c r="B289" s="221"/>
    </row>
    <row r="290" spans="2:18" ht="18" customHeight="1" x14ac:dyDescent="0.25">
      <c r="B290" s="221"/>
      <c r="D290" s="38"/>
      <c r="E290" s="38"/>
      <c r="F290" s="38"/>
      <c r="G290" s="38"/>
      <c r="H290" s="16" t="s">
        <v>12</v>
      </c>
      <c r="J290" s="38"/>
      <c r="K290" s="38"/>
      <c r="L290" s="38"/>
      <c r="M290" s="38"/>
      <c r="N290" s="38"/>
      <c r="O290" s="38"/>
      <c r="P290" s="38"/>
      <c r="Q290" s="38"/>
      <c r="R290" s="38"/>
    </row>
    <row r="291" spans="2:18" ht="18" customHeight="1" x14ac:dyDescent="0.25">
      <c r="B291" s="221"/>
      <c r="D291" s="161" t="s">
        <v>119</v>
      </c>
      <c r="E291" s="52"/>
      <c r="F291" s="52"/>
      <c r="G291" s="52"/>
      <c r="H291" s="87"/>
      <c r="J291" s="38"/>
      <c r="K291" s="38"/>
      <c r="L291" s="38"/>
      <c r="M291" s="38"/>
      <c r="N291" s="38"/>
      <c r="O291" s="38"/>
      <c r="P291" s="38"/>
      <c r="Q291" s="38"/>
      <c r="R291" s="38"/>
    </row>
    <row r="292" spans="2:18" ht="18" customHeight="1" x14ac:dyDescent="0.25">
      <c r="B292" s="221"/>
    </row>
    <row r="295" spans="2:18" ht="18" customHeight="1" x14ac:dyDescent="0.25">
      <c r="B295" s="197" t="s">
        <v>137</v>
      </c>
      <c r="C295" s="1" t="s">
        <v>138</v>
      </c>
    </row>
    <row r="296" spans="2:18" ht="18" customHeight="1" x14ac:dyDescent="0.25">
      <c r="B296" s="197"/>
      <c r="D296" s="1" t="s">
        <v>139</v>
      </c>
    </row>
    <row r="297" spans="2:18" ht="18" customHeight="1" x14ac:dyDescent="0.25">
      <c r="B297" s="197"/>
      <c r="D297" s="1"/>
    </row>
    <row r="298" spans="2:18" ht="18" customHeight="1" x14ac:dyDescent="0.25">
      <c r="B298" s="197"/>
      <c r="H298" s="107" t="s">
        <v>24</v>
      </c>
      <c r="I298" s="108" t="s">
        <v>9</v>
      </c>
      <c r="J298" s="108" t="s">
        <v>10</v>
      </c>
      <c r="K298" s="106" t="s">
        <v>11</v>
      </c>
      <c r="M298" s="107" t="s">
        <v>25</v>
      </c>
      <c r="N298" s="108" t="s">
        <v>9</v>
      </c>
      <c r="O298" s="108" t="s">
        <v>10</v>
      </c>
      <c r="P298" s="106" t="s">
        <v>11</v>
      </c>
    </row>
    <row r="299" spans="2:18" ht="18" customHeight="1" x14ac:dyDescent="0.25">
      <c r="B299" s="197"/>
      <c r="D299" s="162" t="s">
        <v>13</v>
      </c>
      <c r="E299" s="103"/>
      <c r="F299" s="103"/>
      <c r="G299" s="104"/>
      <c r="H299" s="194">
        <f>SUM(I299:K299)</f>
        <v>0</v>
      </c>
      <c r="I299" s="194"/>
      <c r="J299" s="194"/>
      <c r="K299" s="194"/>
      <c r="M299" s="194">
        <f>SUM(N299:P299)</f>
        <v>0</v>
      </c>
      <c r="N299" s="194"/>
      <c r="O299" s="194"/>
      <c r="P299" s="194"/>
    </row>
    <row r="300" spans="2:18" ht="18" customHeight="1" x14ac:dyDescent="0.25">
      <c r="B300" s="197"/>
      <c r="D300" s="162" t="s">
        <v>14</v>
      </c>
      <c r="E300" s="103"/>
      <c r="F300" s="103"/>
      <c r="G300" s="104"/>
      <c r="H300" s="194">
        <f t="shared" ref="H300:H302" si="19">SUM(I300:K300)</f>
        <v>0</v>
      </c>
      <c r="I300" s="194"/>
      <c r="J300" s="194"/>
      <c r="K300" s="194"/>
      <c r="M300" s="194">
        <f t="shared" ref="M300:M302" si="20">SUM(N300:P300)</f>
        <v>0</v>
      </c>
      <c r="N300" s="194"/>
      <c r="O300" s="194"/>
      <c r="P300" s="194"/>
    </row>
    <row r="301" spans="2:18" ht="18" customHeight="1" x14ac:dyDescent="0.25">
      <c r="B301" s="197"/>
      <c r="D301" s="162" t="s">
        <v>15</v>
      </c>
      <c r="E301" s="103"/>
      <c r="F301" s="103"/>
      <c r="G301" s="104"/>
      <c r="H301" s="194">
        <f t="shared" si="19"/>
        <v>0</v>
      </c>
      <c r="I301" s="194"/>
      <c r="J301" s="194"/>
      <c r="K301" s="194"/>
      <c r="M301" s="194">
        <f t="shared" si="20"/>
        <v>0</v>
      </c>
      <c r="N301" s="194"/>
      <c r="O301" s="194"/>
      <c r="P301" s="194"/>
    </row>
    <row r="302" spans="2:18" ht="18" customHeight="1" x14ac:dyDescent="0.25">
      <c r="B302" s="197"/>
      <c r="D302" s="162" t="s">
        <v>16</v>
      </c>
      <c r="E302" s="103"/>
      <c r="F302" s="103"/>
      <c r="G302" s="104"/>
      <c r="H302" s="194">
        <f t="shared" si="19"/>
        <v>0</v>
      </c>
      <c r="I302" s="194"/>
      <c r="J302" s="194"/>
      <c r="K302" s="194"/>
      <c r="M302" s="194">
        <f t="shared" si="20"/>
        <v>0</v>
      </c>
      <c r="N302" s="194"/>
      <c r="O302" s="194"/>
      <c r="P302" s="194"/>
    </row>
    <row r="303" spans="2:18" ht="18" customHeight="1" x14ac:dyDescent="0.25">
      <c r="B303" s="197"/>
    </row>
    <row r="304" spans="2:18" ht="30.75" customHeight="1" x14ac:dyDescent="0.25">
      <c r="B304" s="197"/>
      <c r="D304" s="203" t="s">
        <v>20</v>
      </c>
      <c r="E304" s="203"/>
      <c r="F304" s="204"/>
      <c r="G304" s="112" t="s">
        <v>21</v>
      </c>
      <c r="H304" s="114" t="s">
        <v>23</v>
      </c>
      <c r="I304" s="113" t="s">
        <v>22</v>
      </c>
      <c r="K304" s="203" t="s">
        <v>2</v>
      </c>
      <c r="L304" s="203"/>
      <c r="M304" s="204"/>
      <c r="N304" s="123" t="s">
        <v>24</v>
      </c>
      <c r="O304" s="106" t="s">
        <v>25</v>
      </c>
    </row>
    <row r="305" spans="2:19" ht="18" customHeight="1" x14ac:dyDescent="0.25">
      <c r="B305" s="197"/>
      <c r="D305" s="203"/>
      <c r="E305" s="203"/>
      <c r="F305" s="204"/>
      <c r="G305" s="194"/>
      <c r="H305" s="194"/>
      <c r="I305" s="194"/>
      <c r="K305" s="203"/>
      <c r="L305" s="203"/>
      <c r="M305" s="204"/>
      <c r="N305" s="194"/>
      <c r="O305" s="194"/>
    </row>
    <row r="306" spans="2:19" ht="18" customHeight="1" x14ac:dyDescent="0.25">
      <c r="B306" s="197"/>
    </row>
    <row r="307" spans="2:19" ht="18" customHeight="1" x14ac:dyDescent="0.25">
      <c r="B307" s="197"/>
      <c r="D307" s="80" t="s">
        <v>26</v>
      </c>
      <c r="E307" s="23"/>
      <c r="F307" s="23"/>
      <c r="G307" s="23"/>
      <c r="H307" s="105" t="s">
        <v>24</v>
      </c>
      <c r="I307" s="120" t="s">
        <v>9</v>
      </c>
      <c r="J307" s="120" t="s">
        <v>10</v>
      </c>
      <c r="K307" s="120" t="s">
        <v>11</v>
      </c>
      <c r="M307" s="105" t="s">
        <v>25</v>
      </c>
      <c r="N307" s="120" t="s">
        <v>9</v>
      </c>
      <c r="O307" s="120" t="s">
        <v>10</v>
      </c>
      <c r="P307" s="120" t="s">
        <v>11</v>
      </c>
    </row>
    <row r="308" spans="2:19" ht="18" customHeight="1" x14ac:dyDescent="0.25">
      <c r="B308" s="197"/>
      <c r="F308" s="162" t="s">
        <v>27</v>
      </c>
      <c r="G308" s="104"/>
      <c r="H308" s="194">
        <f>SUM(I308:K308)</f>
        <v>0</v>
      </c>
      <c r="I308" s="194"/>
      <c r="J308" s="194"/>
      <c r="K308" s="194"/>
      <c r="M308" s="194">
        <f>SUM(N308:P308)</f>
        <v>0</v>
      </c>
      <c r="N308" s="194"/>
      <c r="O308" s="194"/>
      <c r="P308" s="194"/>
    </row>
    <row r="309" spans="2:19" ht="18" customHeight="1" x14ac:dyDescent="0.25">
      <c r="B309" s="197"/>
      <c r="F309" s="162" t="s">
        <v>28</v>
      </c>
      <c r="G309" s="104"/>
      <c r="H309" s="194">
        <f t="shared" ref="H309:H311" si="21">SUM(I309:K309)</f>
        <v>0</v>
      </c>
      <c r="I309" s="194"/>
      <c r="J309" s="194"/>
      <c r="K309" s="194"/>
      <c r="M309" s="194">
        <f t="shared" ref="M309:M311" si="22">SUM(N309:P309)</f>
        <v>0</v>
      </c>
      <c r="N309" s="194"/>
      <c r="O309" s="194"/>
      <c r="P309" s="194"/>
    </row>
    <row r="310" spans="2:19" ht="18" customHeight="1" x14ac:dyDescent="0.25">
      <c r="B310" s="197"/>
      <c r="F310" s="162" t="s">
        <v>30</v>
      </c>
      <c r="G310" s="104"/>
      <c r="H310" s="194">
        <f t="shared" si="21"/>
        <v>0</v>
      </c>
      <c r="I310" s="194"/>
      <c r="J310" s="194"/>
      <c r="K310" s="194"/>
      <c r="M310" s="194">
        <f t="shared" si="22"/>
        <v>0</v>
      </c>
      <c r="N310" s="194"/>
      <c r="O310" s="194"/>
      <c r="P310" s="194"/>
    </row>
    <row r="311" spans="2:19" ht="18" customHeight="1" x14ac:dyDescent="0.25">
      <c r="B311" s="197"/>
      <c r="F311" s="162" t="s">
        <v>29</v>
      </c>
      <c r="G311" s="104"/>
      <c r="H311" s="194">
        <f t="shared" si="21"/>
        <v>0</v>
      </c>
      <c r="I311" s="194"/>
      <c r="J311" s="194"/>
      <c r="K311" s="194"/>
      <c r="M311" s="194">
        <f t="shared" si="22"/>
        <v>0</v>
      </c>
      <c r="N311" s="194"/>
      <c r="O311" s="194"/>
      <c r="P311" s="194"/>
    </row>
    <row r="312" spans="2:19" ht="18" customHeight="1" x14ac:dyDescent="0.25">
      <c r="B312" s="197"/>
    </row>
    <row r="313" spans="2:19" ht="18" customHeight="1" x14ac:dyDescent="0.25">
      <c r="B313" s="197"/>
      <c r="D313" s="1" t="s">
        <v>140</v>
      </c>
    </row>
    <row r="314" spans="2:19" ht="18" customHeight="1" x14ac:dyDescent="0.25">
      <c r="B314" s="197"/>
      <c r="D314" s="1"/>
    </row>
    <row r="315" spans="2:19" ht="18" customHeight="1" x14ac:dyDescent="0.25">
      <c r="B315" s="197"/>
      <c r="J315" s="202" t="s">
        <v>43</v>
      </c>
      <c r="K315" s="201"/>
      <c r="L315" s="198" t="s">
        <v>9</v>
      </c>
      <c r="M315" s="198"/>
      <c r="N315" s="199" t="s">
        <v>10</v>
      </c>
      <c r="O315" s="201"/>
      <c r="P315" s="199" t="s">
        <v>11</v>
      </c>
      <c r="Q315" s="201"/>
      <c r="R315" s="199" t="s">
        <v>32</v>
      </c>
      <c r="S315" s="200"/>
    </row>
    <row r="316" spans="2:19" ht="18" customHeight="1" x14ac:dyDescent="0.25">
      <c r="B316" s="197"/>
      <c r="D316" s="1" t="s">
        <v>3</v>
      </c>
      <c r="J316" s="120" t="s">
        <v>34</v>
      </c>
      <c r="K316" s="120" t="s">
        <v>35</v>
      </c>
      <c r="L316" s="120" t="s">
        <v>34</v>
      </c>
      <c r="M316" s="120" t="s">
        <v>35</v>
      </c>
      <c r="N316" s="120" t="s">
        <v>34</v>
      </c>
      <c r="O316" s="120" t="s">
        <v>35</v>
      </c>
      <c r="P316" s="120" t="s">
        <v>34</v>
      </c>
      <c r="Q316" s="120" t="s">
        <v>35</v>
      </c>
      <c r="R316" s="120" t="s">
        <v>34</v>
      </c>
      <c r="S316" s="120" t="s">
        <v>35</v>
      </c>
    </row>
    <row r="317" spans="2:19" ht="18" customHeight="1" x14ac:dyDescent="0.25">
      <c r="B317" s="197"/>
      <c r="D317" s="162" t="s">
        <v>33</v>
      </c>
      <c r="E317" s="103"/>
      <c r="F317" s="103"/>
      <c r="G317" s="103"/>
      <c r="H317" s="103"/>
      <c r="I317" s="104"/>
      <c r="J317" s="195">
        <f>L317+N317+P317+R317</f>
        <v>0</v>
      </c>
      <c r="K317" s="195">
        <f>M317+O317+Q317+S317</f>
        <v>0</v>
      </c>
      <c r="L317" s="194"/>
      <c r="M317" s="194"/>
      <c r="N317" s="194"/>
      <c r="O317" s="194"/>
      <c r="P317" s="194"/>
      <c r="Q317" s="194"/>
      <c r="R317" s="194"/>
      <c r="S317" s="194"/>
    </row>
    <row r="318" spans="2:19" ht="18" customHeight="1" x14ac:dyDescent="0.25">
      <c r="B318" s="197"/>
      <c r="D318" s="162" t="s">
        <v>36</v>
      </c>
      <c r="E318" s="103"/>
      <c r="F318" s="103"/>
      <c r="G318" s="103"/>
      <c r="H318" s="103"/>
      <c r="I318" s="104"/>
      <c r="J318" s="195">
        <f t="shared" ref="J318:J324" si="23">L318+N318+P318+R318</f>
        <v>0</v>
      </c>
      <c r="K318" s="195">
        <f t="shared" ref="K318:K324" si="24">M318+O318+Q318+S318</f>
        <v>0</v>
      </c>
      <c r="L318" s="194"/>
      <c r="M318" s="194"/>
      <c r="N318" s="194"/>
      <c r="O318" s="194"/>
      <c r="P318" s="194"/>
      <c r="Q318" s="194"/>
      <c r="R318" s="194"/>
      <c r="S318" s="194"/>
    </row>
    <row r="319" spans="2:19" ht="18" customHeight="1" x14ac:dyDescent="0.25">
      <c r="B319" s="197"/>
      <c r="D319" s="162" t="s">
        <v>37</v>
      </c>
      <c r="E319" s="103"/>
      <c r="F319" s="103"/>
      <c r="G319" s="103"/>
      <c r="H319" s="103"/>
      <c r="I319" s="104"/>
      <c r="J319" s="195">
        <f t="shared" si="23"/>
        <v>0</v>
      </c>
      <c r="K319" s="195">
        <f t="shared" si="24"/>
        <v>0</v>
      </c>
      <c r="L319" s="194"/>
      <c r="M319" s="194"/>
      <c r="N319" s="194"/>
      <c r="O319" s="194"/>
      <c r="P319" s="194"/>
      <c r="Q319" s="194"/>
      <c r="R319" s="194"/>
      <c r="S319" s="194"/>
    </row>
    <row r="320" spans="2:19" ht="18" customHeight="1" x14ac:dyDescent="0.25">
      <c r="B320" s="197"/>
      <c r="D320" s="162" t="s">
        <v>88</v>
      </c>
      <c r="E320" s="103"/>
      <c r="F320" s="103"/>
      <c r="G320" s="103"/>
      <c r="H320" s="103"/>
      <c r="I320" s="104"/>
      <c r="J320" s="195">
        <f t="shared" si="23"/>
        <v>0</v>
      </c>
      <c r="K320" s="195">
        <f t="shared" si="24"/>
        <v>0</v>
      </c>
      <c r="L320" s="194"/>
      <c r="M320" s="194"/>
      <c r="N320" s="194"/>
      <c r="O320" s="194"/>
      <c r="P320" s="194"/>
      <c r="Q320" s="194"/>
      <c r="R320" s="194"/>
      <c r="S320" s="194"/>
    </row>
    <row r="321" spans="2:21" ht="18" customHeight="1" x14ac:dyDescent="0.25">
      <c r="B321" s="197"/>
      <c r="D321" s="162" t="s">
        <v>89</v>
      </c>
      <c r="E321" s="103"/>
      <c r="F321" s="103"/>
      <c r="G321" s="103"/>
      <c r="H321" s="103"/>
      <c r="I321" s="104"/>
      <c r="J321" s="195">
        <f t="shared" si="23"/>
        <v>0</v>
      </c>
      <c r="K321" s="195">
        <f t="shared" si="24"/>
        <v>0</v>
      </c>
      <c r="L321" s="194"/>
      <c r="M321" s="194"/>
      <c r="N321" s="194"/>
      <c r="O321" s="194"/>
      <c r="P321" s="194"/>
      <c r="Q321" s="194"/>
      <c r="R321" s="194"/>
      <c r="S321" s="194"/>
    </row>
    <row r="322" spans="2:21" ht="18" customHeight="1" x14ac:dyDescent="0.25">
      <c r="B322" s="197"/>
      <c r="D322" s="162" t="s">
        <v>90</v>
      </c>
      <c r="E322" s="103"/>
      <c r="F322" s="103"/>
      <c r="G322" s="103"/>
      <c r="H322" s="103"/>
      <c r="I322" s="104"/>
      <c r="J322" s="195">
        <f t="shared" si="23"/>
        <v>0</v>
      </c>
      <c r="K322" s="195">
        <f t="shared" si="24"/>
        <v>0</v>
      </c>
      <c r="L322" s="194"/>
      <c r="M322" s="194"/>
      <c r="N322" s="194"/>
      <c r="O322" s="194"/>
      <c r="P322" s="194"/>
      <c r="Q322" s="194"/>
      <c r="R322" s="194"/>
      <c r="S322" s="194"/>
    </row>
    <row r="323" spans="2:21" ht="18" customHeight="1" x14ac:dyDescent="0.25">
      <c r="B323" s="197"/>
      <c r="D323" s="162" t="s">
        <v>92</v>
      </c>
      <c r="E323" s="103"/>
      <c r="F323" s="103"/>
      <c r="G323" s="103"/>
      <c r="H323" s="103"/>
      <c r="I323" s="104"/>
      <c r="J323" s="195">
        <f t="shared" si="23"/>
        <v>0</v>
      </c>
      <c r="K323" s="195">
        <f t="shared" si="24"/>
        <v>0</v>
      </c>
      <c r="L323" s="194"/>
      <c r="M323" s="194"/>
      <c r="N323" s="194"/>
      <c r="O323" s="194"/>
      <c r="P323" s="194"/>
      <c r="Q323" s="194"/>
      <c r="R323" s="194"/>
      <c r="S323" s="194"/>
    </row>
    <row r="324" spans="2:21" ht="18" customHeight="1" x14ac:dyDescent="0.25">
      <c r="B324" s="197"/>
      <c r="D324" s="162" t="s">
        <v>108</v>
      </c>
      <c r="E324" s="103"/>
      <c r="F324" s="103"/>
      <c r="G324" s="103"/>
      <c r="H324" s="103"/>
      <c r="I324" s="104"/>
      <c r="J324" s="195">
        <f t="shared" si="23"/>
        <v>0</v>
      </c>
      <c r="K324" s="195">
        <f t="shared" si="24"/>
        <v>0</v>
      </c>
      <c r="L324" s="194"/>
      <c r="M324" s="194"/>
      <c r="N324" s="194"/>
      <c r="O324" s="194"/>
      <c r="P324" s="194"/>
      <c r="Q324" s="194"/>
      <c r="R324" s="194"/>
      <c r="S324" s="194"/>
    </row>
    <row r="325" spans="2:21" ht="18" customHeight="1" x14ac:dyDescent="0.25">
      <c r="B325" s="197"/>
    </row>
    <row r="326" spans="2:21" ht="18" customHeight="1" x14ac:dyDescent="0.25">
      <c r="B326" s="197"/>
      <c r="D326" s="1" t="s">
        <v>40</v>
      </c>
    </row>
    <row r="327" spans="2:21" ht="18" customHeight="1" x14ac:dyDescent="0.25">
      <c r="B327" s="197"/>
      <c r="D327" s="1"/>
    </row>
    <row r="328" spans="2:21" ht="18" customHeight="1" x14ac:dyDescent="0.25">
      <c r="B328" s="197"/>
      <c r="D328" s="1" t="s">
        <v>141</v>
      </c>
      <c r="H328" s="118" t="s">
        <v>34</v>
      </c>
      <c r="I328" s="108" t="s">
        <v>77</v>
      </c>
      <c r="J328" s="119" t="s">
        <v>142</v>
      </c>
    </row>
    <row r="329" spans="2:21" ht="18" customHeight="1" x14ac:dyDescent="0.25">
      <c r="B329" s="197"/>
      <c r="H329" s="195"/>
      <c r="I329" s="195"/>
      <c r="J329" s="195"/>
    </row>
    <row r="330" spans="2:21" ht="18" customHeight="1" x14ac:dyDescent="0.25">
      <c r="B330" s="197"/>
    </row>
    <row r="331" spans="2:21" ht="18" customHeight="1" x14ac:dyDescent="0.25">
      <c r="B331" s="197"/>
      <c r="J331" s="198" t="s">
        <v>143</v>
      </c>
      <c r="K331" s="198"/>
      <c r="L331" s="198"/>
      <c r="M331" s="199" t="s">
        <v>10</v>
      </c>
      <c r="N331" s="198"/>
      <c r="O331" s="201"/>
      <c r="P331" s="198" t="s">
        <v>11</v>
      </c>
      <c r="Q331" s="198"/>
      <c r="R331" s="198"/>
      <c r="S331" s="199" t="s">
        <v>32</v>
      </c>
      <c r="T331" s="198"/>
      <c r="U331" s="200"/>
    </row>
    <row r="332" spans="2:21" ht="18" customHeight="1" x14ac:dyDescent="0.25">
      <c r="B332" s="197"/>
      <c r="D332" s="1" t="s">
        <v>3</v>
      </c>
      <c r="J332" s="120" t="s">
        <v>34</v>
      </c>
      <c r="K332" s="120" t="s">
        <v>77</v>
      </c>
      <c r="L332" s="120" t="s">
        <v>142</v>
      </c>
      <c r="M332" s="120" t="s">
        <v>34</v>
      </c>
      <c r="N332" s="120" t="s">
        <v>77</v>
      </c>
      <c r="O332" s="120" t="s">
        <v>142</v>
      </c>
      <c r="P332" s="120" t="s">
        <v>34</v>
      </c>
      <c r="Q332" s="120" t="s">
        <v>77</v>
      </c>
      <c r="R332" s="120" t="s">
        <v>142</v>
      </c>
      <c r="S332" s="120" t="s">
        <v>34</v>
      </c>
      <c r="T332" s="120" t="s">
        <v>77</v>
      </c>
      <c r="U332" s="120" t="s">
        <v>142</v>
      </c>
    </row>
    <row r="333" spans="2:21" ht="18" customHeight="1" x14ac:dyDescent="0.25">
      <c r="B333" s="197"/>
      <c r="D333" s="162" t="s">
        <v>33</v>
      </c>
      <c r="E333" s="103"/>
      <c r="F333" s="103"/>
      <c r="G333" s="103"/>
      <c r="H333" s="103"/>
      <c r="I333" s="104"/>
      <c r="J333" s="194">
        <f>M333+P333+S333</f>
        <v>0</v>
      </c>
      <c r="K333" s="194">
        <f t="shared" ref="K333:L333" si="25">N333+Q333+T333</f>
        <v>0</v>
      </c>
      <c r="L333" s="194">
        <f t="shared" si="25"/>
        <v>0</v>
      </c>
      <c r="M333" s="194"/>
      <c r="N333" s="194"/>
      <c r="O333" s="194"/>
      <c r="P333" s="194"/>
      <c r="Q333" s="194"/>
      <c r="R333" s="194"/>
      <c r="S333" s="194"/>
      <c r="T333" s="194"/>
      <c r="U333" s="194"/>
    </row>
    <row r="334" spans="2:21" ht="18" customHeight="1" x14ac:dyDescent="0.25">
      <c r="B334" s="197"/>
      <c r="D334" s="162" t="s">
        <v>36</v>
      </c>
      <c r="E334" s="103"/>
      <c r="F334" s="103"/>
      <c r="G334" s="103"/>
      <c r="H334" s="103"/>
      <c r="I334" s="104"/>
      <c r="J334" s="194">
        <f t="shared" ref="J334:J340" si="26">M334+P334+S334</f>
        <v>0</v>
      </c>
      <c r="K334" s="194">
        <f t="shared" ref="K334:K340" si="27">N334+Q334+T334</f>
        <v>0</v>
      </c>
      <c r="L334" s="194">
        <f t="shared" ref="L334:L340" si="28">O334+R334+U334</f>
        <v>0</v>
      </c>
      <c r="M334" s="194"/>
      <c r="N334" s="194"/>
      <c r="O334" s="194"/>
      <c r="P334" s="194"/>
      <c r="Q334" s="194"/>
      <c r="R334" s="194"/>
      <c r="S334" s="194"/>
      <c r="T334" s="194"/>
      <c r="U334" s="194"/>
    </row>
    <row r="335" spans="2:21" ht="18" customHeight="1" x14ac:dyDescent="0.25">
      <c r="B335" s="197"/>
      <c r="D335" s="162" t="s">
        <v>37</v>
      </c>
      <c r="E335" s="103"/>
      <c r="F335" s="103"/>
      <c r="G335" s="103"/>
      <c r="H335" s="103"/>
      <c r="I335" s="104"/>
      <c r="J335" s="194">
        <f t="shared" si="26"/>
        <v>0</v>
      </c>
      <c r="K335" s="194">
        <f t="shared" si="27"/>
        <v>0</v>
      </c>
      <c r="L335" s="194">
        <f t="shared" si="28"/>
        <v>0</v>
      </c>
      <c r="M335" s="194"/>
      <c r="N335" s="194"/>
      <c r="O335" s="194"/>
      <c r="P335" s="194"/>
      <c r="Q335" s="194"/>
      <c r="R335" s="194"/>
      <c r="S335" s="194"/>
      <c r="T335" s="194"/>
      <c r="U335" s="194"/>
    </row>
    <row r="336" spans="2:21" ht="18" customHeight="1" x14ac:dyDescent="0.25">
      <c r="B336" s="197"/>
      <c r="D336" s="162" t="s">
        <v>88</v>
      </c>
      <c r="E336" s="103"/>
      <c r="F336" s="103"/>
      <c r="G336" s="103"/>
      <c r="H336" s="103"/>
      <c r="I336" s="104"/>
      <c r="J336" s="194">
        <f t="shared" si="26"/>
        <v>0</v>
      </c>
      <c r="K336" s="194">
        <f t="shared" si="27"/>
        <v>0</v>
      </c>
      <c r="L336" s="194">
        <f t="shared" si="28"/>
        <v>0</v>
      </c>
      <c r="M336" s="194"/>
      <c r="N336" s="194"/>
      <c r="O336" s="194"/>
      <c r="P336" s="194"/>
      <c r="Q336" s="194"/>
      <c r="R336" s="194"/>
      <c r="S336" s="194"/>
      <c r="T336" s="194"/>
      <c r="U336" s="194"/>
    </row>
    <row r="337" spans="2:21" ht="18" customHeight="1" x14ac:dyDescent="0.25">
      <c r="B337" s="197"/>
      <c r="D337" s="162" t="s">
        <v>89</v>
      </c>
      <c r="E337" s="103"/>
      <c r="F337" s="103"/>
      <c r="G337" s="103"/>
      <c r="H337" s="103"/>
      <c r="I337" s="104"/>
      <c r="J337" s="194">
        <f t="shared" si="26"/>
        <v>0</v>
      </c>
      <c r="K337" s="194">
        <f t="shared" si="27"/>
        <v>0</v>
      </c>
      <c r="L337" s="194">
        <f t="shared" si="28"/>
        <v>0</v>
      </c>
      <c r="M337" s="194"/>
      <c r="N337" s="194"/>
      <c r="O337" s="194"/>
      <c r="P337" s="194"/>
      <c r="Q337" s="194"/>
      <c r="R337" s="194"/>
      <c r="S337" s="194"/>
      <c r="T337" s="194"/>
      <c r="U337" s="194"/>
    </row>
    <row r="338" spans="2:21" ht="18" customHeight="1" x14ac:dyDescent="0.25">
      <c r="B338" s="197"/>
      <c r="D338" s="162" t="s">
        <v>90</v>
      </c>
      <c r="E338" s="103"/>
      <c r="F338" s="103"/>
      <c r="G338" s="103"/>
      <c r="H338" s="103"/>
      <c r="I338" s="104"/>
      <c r="J338" s="194">
        <f t="shared" si="26"/>
        <v>0</v>
      </c>
      <c r="K338" s="194">
        <f t="shared" si="27"/>
        <v>0</v>
      </c>
      <c r="L338" s="194">
        <f t="shared" si="28"/>
        <v>0</v>
      </c>
      <c r="M338" s="194"/>
      <c r="N338" s="194"/>
      <c r="O338" s="194"/>
      <c r="P338" s="194"/>
      <c r="Q338" s="194"/>
      <c r="R338" s="194"/>
      <c r="S338" s="194"/>
      <c r="T338" s="194"/>
      <c r="U338" s="194"/>
    </row>
    <row r="339" spans="2:21" ht="18" customHeight="1" x14ac:dyDescent="0.25">
      <c r="B339" s="197"/>
      <c r="D339" s="162" t="s">
        <v>92</v>
      </c>
      <c r="E339" s="103"/>
      <c r="F339" s="103"/>
      <c r="G339" s="103"/>
      <c r="H339" s="103"/>
      <c r="I339" s="104"/>
      <c r="J339" s="194">
        <f t="shared" si="26"/>
        <v>0</v>
      </c>
      <c r="K339" s="194">
        <f t="shared" si="27"/>
        <v>0</v>
      </c>
      <c r="L339" s="194">
        <f t="shared" si="28"/>
        <v>0</v>
      </c>
      <c r="M339" s="194"/>
      <c r="N339" s="194"/>
      <c r="O339" s="194"/>
      <c r="P339" s="194"/>
      <c r="Q339" s="194"/>
      <c r="R339" s="194"/>
      <c r="S339" s="194"/>
      <c r="T339" s="194"/>
      <c r="U339" s="194"/>
    </row>
    <row r="340" spans="2:21" ht="18" customHeight="1" x14ac:dyDescent="0.25">
      <c r="B340" s="197"/>
      <c r="D340" s="162" t="s">
        <v>108</v>
      </c>
      <c r="E340" s="103"/>
      <c r="F340" s="103"/>
      <c r="G340" s="103"/>
      <c r="H340" s="103"/>
      <c r="I340" s="104"/>
      <c r="J340" s="194">
        <f t="shared" si="26"/>
        <v>0</v>
      </c>
      <c r="K340" s="194">
        <f t="shared" si="27"/>
        <v>0</v>
      </c>
      <c r="L340" s="194">
        <f t="shared" si="28"/>
        <v>0</v>
      </c>
      <c r="M340" s="194"/>
      <c r="N340" s="194"/>
      <c r="O340" s="194"/>
      <c r="P340" s="194"/>
      <c r="Q340" s="194"/>
      <c r="R340" s="194"/>
      <c r="S340" s="194"/>
      <c r="T340" s="194"/>
      <c r="U340" s="194"/>
    </row>
    <row r="341" spans="2:21" ht="18" customHeight="1" x14ac:dyDescent="0.25">
      <c r="B341" s="197"/>
    </row>
    <row r="342" spans="2:21" ht="18" customHeight="1" x14ac:dyDescent="0.25">
      <c r="B342" s="197"/>
      <c r="I342" s="202" t="s">
        <v>43</v>
      </c>
      <c r="J342" s="201"/>
      <c r="K342" s="199" t="s">
        <v>10</v>
      </c>
      <c r="L342" s="201"/>
      <c r="M342" s="199" t="s">
        <v>11</v>
      </c>
      <c r="N342" s="201"/>
      <c r="O342" s="199" t="s">
        <v>32</v>
      </c>
      <c r="P342" s="200"/>
    </row>
    <row r="343" spans="2:21" ht="18" customHeight="1" x14ac:dyDescent="0.25">
      <c r="B343" s="197"/>
      <c r="I343" s="120" t="s">
        <v>34</v>
      </c>
      <c r="J343" s="120" t="s">
        <v>35</v>
      </c>
      <c r="K343" s="120" t="s">
        <v>34</v>
      </c>
      <c r="L343" s="120" t="s">
        <v>35</v>
      </c>
      <c r="M343" s="120" t="s">
        <v>34</v>
      </c>
      <c r="N343" s="120" t="s">
        <v>35</v>
      </c>
      <c r="O343" s="120" t="s">
        <v>34</v>
      </c>
      <c r="P343" s="120" t="s">
        <v>35</v>
      </c>
    </row>
    <row r="344" spans="2:21" ht="18" customHeight="1" x14ac:dyDescent="0.25">
      <c r="B344" s="197"/>
      <c r="D344" s="163" t="s">
        <v>42</v>
      </c>
      <c r="E344" s="116"/>
      <c r="F344" s="116"/>
      <c r="G344" s="116"/>
      <c r="H344" s="117"/>
      <c r="I344" s="195">
        <f>K344+M344+O344</f>
        <v>0</v>
      </c>
      <c r="J344" s="195">
        <f>L344+N344+P344</f>
        <v>0</v>
      </c>
      <c r="K344" s="195"/>
      <c r="L344" s="195"/>
      <c r="M344" s="195"/>
      <c r="N344" s="195"/>
      <c r="O344" s="195"/>
      <c r="P344" s="195"/>
    </row>
    <row r="345" spans="2:21" ht="18" customHeight="1" x14ac:dyDescent="0.25">
      <c r="B345" s="197"/>
    </row>
    <row r="346" spans="2:21" ht="38.25" x14ac:dyDescent="0.25">
      <c r="B346" s="197"/>
      <c r="D346" s="1" t="s">
        <v>44</v>
      </c>
      <c r="J346" s="112" t="s">
        <v>145</v>
      </c>
      <c r="K346" s="121" t="s">
        <v>146</v>
      </c>
      <c r="L346" s="122" t="s">
        <v>144</v>
      </c>
    </row>
    <row r="347" spans="2:21" ht="18" customHeight="1" x14ac:dyDescent="0.25">
      <c r="B347" s="197"/>
      <c r="D347" s="163" t="s">
        <v>119</v>
      </c>
      <c r="E347" s="116"/>
      <c r="F347" s="116"/>
      <c r="G347" s="116"/>
      <c r="H347" s="116"/>
      <c r="I347" s="117"/>
      <c r="J347" s="196"/>
      <c r="K347" s="196"/>
      <c r="L347" s="196"/>
    </row>
    <row r="348" spans="2:21" ht="18" customHeight="1" x14ac:dyDescent="0.25">
      <c r="B348" s="197"/>
    </row>
  </sheetData>
  <mergeCells count="109">
    <mergeCell ref="T239:U239"/>
    <mergeCell ref="D245:F246"/>
    <mergeCell ref="O245:P245"/>
    <mergeCell ref="R234:S234"/>
    <mergeCell ref="R182:S182"/>
    <mergeCell ref="O188:P188"/>
    <mergeCell ref="R220:S220"/>
    <mergeCell ref="P234:Q234"/>
    <mergeCell ref="P182:Q182"/>
    <mergeCell ref="U220:V220"/>
    <mergeCell ref="J182:K182"/>
    <mergeCell ref="L182:M182"/>
    <mergeCell ref="D220:G221"/>
    <mergeCell ref="N234:O234"/>
    <mergeCell ref="N182:O182"/>
    <mergeCell ref="G188:H188"/>
    <mergeCell ref="D188:F189"/>
    <mergeCell ref="J207:K207"/>
    <mergeCell ref="L207:M207"/>
    <mergeCell ref="N207:O207"/>
    <mergeCell ref="I188:J188"/>
    <mergeCell ref="R277:S277"/>
    <mergeCell ref="H286:I286"/>
    <mergeCell ref="J286:K286"/>
    <mergeCell ref="L286:M286"/>
    <mergeCell ref="N286:O286"/>
    <mergeCell ref="P286:Q286"/>
    <mergeCell ref="N277:O277"/>
    <mergeCell ref="P277:Q277"/>
    <mergeCell ref="R130:S130"/>
    <mergeCell ref="L139:M139"/>
    <mergeCell ref="N139:O139"/>
    <mergeCell ref="P139:Q139"/>
    <mergeCell ref="R139:S139"/>
    <mergeCell ref="L130:M130"/>
    <mergeCell ref="N130:O130"/>
    <mergeCell ref="P130:Q130"/>
    <mergeCell ref="K272:M273"/>
    <mergeCell ref="J130:K130"/>
    <mergeCell ref="M188:N188"/>
    <mergeCell ref="G27:H27"/>
    <mergeCell ref="I27:J27"/>
    <mergeCell ref="B214:B264"/>
    <mergeCell ref="D49:F50"/>
    <mergeCell ref="D132:D134"/>
    <mergeCell ref="J139:K139"/>
    <mergeCell ref="B44:B79"/>
    <mergeCell ref="B82:B112"/>
    <mergeCell ref="K49:M50"/>
    <mergeCell ref="D87:F88"/>
    <mergeCell ref="G245:H245"/>
    <mergeCell ref="I245:J245"/>
    <mergeCell ref="K245:L245"/>
    <mergeCell ref="M245:N245"/>
    <mergeCell ref="J234:K234"/>
    <mergeCell ref="L234:M234"/>
    <mergeCell ref="D145:D146"/>
    <mergeCell ref="D149:D150"/>
    <mergeCell ref="K87:M88"/>
    <mergeCell ref="L120:N120"/>
    <mergeCell ref="I120:K120"/>
    <mergeCell ref="D257:G258"/>
    <mergeCell ref="H106:H107"/>
    <mergeCell ref="K188:L188"/>
    <mergeCell ref="D106:G107"/>
    <mergeCell ref="O118:P118"/>
    <mergeCell ref="B267:B292"/>
    <mergeCell ref="B115:B158"/>
    <mergeCell ref="B161:B212"/>
    <mergeCell ref="J277:K277"/>
    <mergeCell ref="L277:M277"/>
    <mergeCell ref="D152:G153"/>
    <mergeCell ref="D272:F273"/>
    <mergeCell ref="N60:O60"/>
    <mergeCell ref="P60:Q60"/>
    <mergeCell ref="R60:S60"/>
    <mergeCell ref="J60:K60"/>
    <mergeCell ref="I72:J72"/>
    <mergeCell ref="K72:L72"/>
    <mergeCell ref="M72:N72"/>
    <mergeCell ref="O72:P72"/>
    <mergeCell ref="Q72:R72"/>
    <mergeCell ref="L60:M60"/>
    <mergeCell ref="Q99:R99"/>
    <mergeCell ref="I92:J92"/>
    <mergeCell ref="K92:L92"/>
    <mergeCell ref="M92:N92"/>
    <mergeCell ref="O92:P92"/>
    <mergeCell ref="Q92:R92"/>
    <mergeCell ref="I99:J99"/>
    <mergeCell ref="K99:L99"/>
    <mergeCell ref="M99:N99"/>
    <mergeCell ref="O99:P99"/>
    <mergeCell ref="B295:B348"/>
    <mergeCell ref="J331:L331"/>
    <mergeCell ref="S331:U331"/>
    <mergeCell ref="M331:O331"/>
    <mergeCell ref="P331:R331"/>
    <mergeCell ref="I342:J342"/>
    <mergeCell ref="K342:L342"/>
    <mergeCell ref="M342:N342"/>
    <mergeCell ref="O342:P342"/>
    <mergeCell ref="J315:K315"/>
    <mergeCell ref="L315:M315"/>
    <mergeCell ref="N315:O315"/>
    <mergeCell ref="P315:Q315"/>
    <mergeCell ref="R315:S315"/>
    <mergeCell ref="D304:F305"/>
    <mergeCell ref="K304:M305"/>
  </mergeCells>
  <pageMargins left="0" right="0" top="0.39370078740157483" bottom="0.59055118110236227" header="0" footer="0.19685039370078741"/>
  <pageSetup scale="80" orientation="landscape" r:id="rId1"/>
  <headerFooter>
    <oddFooter>&amp;LOGEI - MINSA&amp;RPág.&amp;P</oddFooter>
  </headerFooter>
  <rowBreaks count="5" manualBreakCount="5">
    <brk id="42" max="16383" man="1"/>
    <brk id="80" max="16383" man="1"/>
    <brk id="113" max="16383" man="1"/>
    <brk id="159" max="16383" man="1"/>
    <brk id="212" max="16383" man="1"/>
  </rowBreak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B8F1C-FFD7-4575-AA03-0BE33EA006E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Educación_Salud</vt:lpstr>
      <vt:lpstr>Educación_Salud!Área_de_impresión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</dc:creator>
  <cp:lastModifiedBy>ESTADISTICA</cp:lastModifiedBy>
  <cp:lastPrinted>2015-04-13T05:25:05Z</cp:lastPrinted>
  <dcterms:created xsi:type="dcterms:W3CDTF">2013-09-15T18:30:26Z</dcterms:created>
  <dcterms:modified xsi:type="dcterms:W3CDTF">2020-05-15T16:31:51Z</dcterms:modified>
</cp:coreProperties>
</file>