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650" yWindow="285" windowWidth="15600" windowHeight="8895"/>
  </bookViews>
  <sheets>
    <sheet name="ITS - VIH SIDA" sheetId="1" r:id="rId1"/>
    <sheet name="formato" sheetId="2" r:id="rId2"/>
  </sheets>
  <definedNames>
    <definedName name="_xlnm.Print_Area" localSheetId="1">formato!$A$1:$M$185</definedName>
    <definedName name="TRAZ">#REF!</definedName>
  </definedNames>
  <calcPr calcId="145621"/>
</workbook>
</file>

<file path=xl/calcChain.xml><?xml version="1.0" encoding="utf-8"?>
<calcChain xmlns="http://schemas.openxmlformats.org/spreadsheetml/2006/main">
  <c r="B7" i="2" l="1"/>
  <c r="B6" i="2"/>
  <c r="B5" i="2"/>
  <c r="J14" i="2"/>
  <c r="I14" i="2"/>
  <c r="H14" i="2"/>
  <c r="G14" i="2"/>
  <c r="F14" i="2"/>
  <c r="E14" i="2"/>
  <c r="D14" i="2"/>
  <c r="C14" i="2"/>
  <c r="H139" i="2"/>
  <c r="G139" i="2"/>
  <c r="F139" i="2"/>
  <c r="E139" i="2"/>
  <c r="D139" i="2"/>
  <c r="C139" i="2"/>
  <c r="L44" i="2"/>
  <c r="K44" i="2"/>
  <c r="J44" i="2"/>
  <c r="I44" i="2"/>
  <c r="H44" i="2"/>
  <c r="G44" i="2"/>
  <c r="F44" i="2"/>
  <c r="E44" i="2"/>
  <c r="D44" i="2"/>
  <c r="C44" i="2"/>
  <c r="L43" i="2"/>
  <c r="K43" i="2"/>
  <c r="J43" i="2"/>
  <c r="I43" i="2"/>
  <c r="H43" i="2"/>
  <c r="G43" i="2"/>
  <c r="F43" i="2"/>
  <c r="E43" i="2"/>
  <c r="D43" i="2"/>
  <c r="C43" i="2"/>
  <c r="G112" i="2"/>
  <c r="G109" i="2"/>
  <c r="G108" i="2"/>
  <c r="G107" i="2"/>
  <c r="G106" i="2"/>
  <c r="G105" i="2"/>
  <c r="G104" i="2"/>
  <c r="G103" i="2"/>
  <c r="G102" i="2"/>
  <c r="F111" i="2"/>
  <c r="E111" i="2"/>
  <c r="D111" i="2"/>
  <c r="C111" i="2"/>
  <c r="F110" i="2"/>
  <c r="E110" i="2"/>
  <c r="D110" i="2"/>
  <c r="C110" i="2"/>
  <c r="H176" i="2"/>
  <c r="G176" i="2"/>
  <c r="F176" i="2"/>
  <c r="E176" i="2"/>
  <c r="D176" i="2"/>
  <c r="C176" i="2"/>
  <c r="H136" i="2"/>
  <c r="G136" i="2"/>
  <c r="F136" i="2"/>
  <c r="E136" i="2"/>
  <c r="D136" i="2"/>
  <c r="C136" i="2"/>
  <c r="H133" i="2"/>
  <c r="G133" i="2"/>
  <c r="F133" i="2"/>
  <c r="E133" i="2"/>
  <c r="D133" i="2"/>
  <c r="C133" i="2"/>
  <c r="H173" i="2"/>
  <c r="G173" i="2"/>
  <c r="F173" i="2"/>
  <c r="E173" i="2"/>
  <c r="D173" i="2"/>
  <c r="C173" i="2"/>
  <c r="H184" i="2"/>
  <c r="H138" i="2"/>
  <c r="G138" i="2"/>
  <c r="F138" i="2"/>
  <c r="E138" i="2"/>
  <c r="D138" i="2"/>
  <c r="C138" i="2"/>
  <c r="H179" i="2"/>
  <c r="G179" i="2"/>
  <c r="F179" i="2"/>
  <c r="E179" i="2"/>
  <c r="D179" i="2"/>
  <c r="C179" i="2"/>
  <c r="H178" i="2"/>
  <c r="G178" i="2"/>
  <c r="F178" i="2"/>
  <c r="E178" i="2"/>
  <c r="D178" i="2"/>
  <c r="C178" i="2"/>
  <c r="H182" i="2"/>
  <c r="G182" i="2"/>
  <c r="F182" i="2"/>
  <c r="E182" i="2"/>
  <c r="D182" i="2"/>
  <c r="C182" i="2"/>
  <c r="H172" i="2"/>
  <c r="G172" i="2"/>
  <c r="F172" i="2"/>
  <c r="E172" i="2"/>
  <c r="D172" i="2"/>
  <c r="C172" i="2"/>
  <c r="H171" i="2"/>
  <c r="G171" i="2"/>
  <c r="F171" i="2"/>
  <c r="E171" i="2"/>
  <c r="D171" i="2"/>
  <c r="C171" i="2"/>
  <c r="H170" i="2"/>
  <c r="G170" i="2"/>
  <c r="F170" i="2"/>
  <c r="E170" i="2"/>
  <c r="D170" i="2"/>
  <c r="C170" i="2"/>
  <c r="H169" i="2"/>
  <c r="G169" i="2"/>
  <c r="F169" i="2"/>
  <c r="E169" i="2"/>
  <c r="D169" i="2"/>
  <c r="C169" i="2"/>
  <c r="H181" i="2"/>
  <c r="G181" i="2"/>
  <c r="F181" i="2"/>
  <c r="E181" i="2"/>
  <c r="D181" i="2"/>
  <c r="H180" i="2"/>
  <c r="G180" i="2"/>
  <c r="F180" i="2"/>
  <c r="E180" i="2"/>
  <c r="D180" i="2"/>
  <c r="C181" i="2"/>
  <c r="C180" i="2"/>
  <c r="H144" i="2"/>
  <c r="H141" i="2"/>
  <c r="G141" i="2"/>
  <c r="F141" i="2"/>
  <c r="E141" i="2"/>
  <c r="D141" i="2"/>
  <c r="C141" i="2"/>
  <c r="H140" i="2"/>
  <c r="G140" i="2"/>
  <c r="F140" i="2"/>
  <c r="E140" i="2"/>
  <c r="D140" i="2"/>
  <c r="C140" i="2"/>
  <c r="H142" i="2"/>
  <c r="G142" i="2"/>
  <c r="F142" i="2"/>
  <c r="E142" i="2"/>
  <c r="D142" i="2"/>
  <c r="C142" i="2"/>
  <c r="H132" i="2"/>
  <c r="G132" i="2"/>
  <c r="F132" i="2"/>
  <c r="E132" i="2"/>
  <c r="D132" i="2"/>
  <c r="C132" i="2"/>
  <c r="H131" i="2"/>
  <c r="G131" i="2"/>
  <c r="F131" i="2"/>
  <c r="E131" i="2"/>
  <c r="D131" i="2"/>
  <c r="C131" i="2"/>
  <c r="H130" i="2"/>
  <c r="G130" i="2"/>
  <c r="F130" i="2"/>
  <c r="E130" i="2"/>
  <c r="D130" i="2"/>
  <c r="C130" i="2"/>
  <c r="H129" i="2"/>
  <c r="G129" i="2"/>
  <c r="F129" i="2"/>
  <c r="E129" i="2"/>
  <c r="D129" i="2"/>
  <c r="C129" i="2"/>
  <c r="C117" i="2"/>
  <c r="C118" i="2"/>
  <c r="C116" i="2"/>
  <c r="F93" i="2"/>
  <c r="E93" i="2"/>
  <c r="D93" i="2"/>
  <c r="C93" i="2"/>
  <c r="F92" i="2"/>
  <c r="E92" i="2"/>
  <c r="D92" i="2"/>
  <c r="C92" i="2"/>
  <c r="G92" i="2" s="1"/>
  <c r="G98" i="2"/>
  <c r="G97" i="2"/>
  <c r="G96" i="2"/>
  <c r="G95" i="2"/>
  <c r="G94" i="2"/>
  <c r="G91" i="2"/>
  <c r="G90" i="2"/>
  <c r="F89" i="2"/>
  <c r="E89" i="2"/>
  <c r="D89" i="2"/>
  <c r="F88" i="2"/>
  <c r="E88" i="2"/>
  <c r="D88" i="2"/>
  <c r="C89" i="2"/>
  <c r="C88" i="2"/>
  <c r="G88" i="2"/>
  <c r="C57" i="2"/>
  <c r="C56" i="2"/>
  <c r="G54" i="2"/>
  <c r="G53" i="2"/>
  <c r="G52" i="2"/>
  <c r="G51" i="2"/>
  <c r="G50" i="2"/>
  <c r="G49" i="2"/>
  <c r="F52" i="2"/>
  <c r="F51" i="2"/>
  <c r="F50" i="2"/>
  <c r="F49" i="2"/>
  <c r="E52" i="2"/>
  <c r="E51" i="2"/>
  <c r="E50" i="2"/>
  <c r="E49" i="2"/>
  <c r="D49" i="2"/>
  <c r="D52" i="2"/>
  <c r="D51" i="2"/>
  <c r="D50" i="2"/>
  <c r="C52" i="2"/>
  <c r="C51" i="2"/>
  <c r="C50" i="2"/>
  <c r="C49" i="2"/>
  <c r="J38" i="2"/>
  <c r="I38" i="2"/>
  <c r="H38" i="2"/>
  <c r="G38" i="2"/>
  <c r="F38" i="2"/>
  <c r="E38" i="2"/>
  <c r="D38" i="2"/>
  <c r="J37" i="2"/>
  <c r="I37" i="2"/>
  <c r="H37" i="2"/>
  <c r="G37" i="2"/>
  <c r="F37" i="2"/>
  <c r="E37" i="2"/>
  <c r="D37" i="2"/>
  <c r="K32" i="2"/>
  <c r="J32" i="2"/>
  <c r="I32" i="2"/>
  <c r="H32" i="2"/>
  <c r="G32" i="2"/>
  <c r="F32" i="2"/>
  <c r="E32" i="2"/>
  <c r="K31" i="2"/>
  <c r="J31" i="2"/>
  <c r="I31" i="2"/>
  <c r="H31" i="2"/>
  <c r="G31" i="2"/>
  <c r="F31" i="2"/>
  <c r="E31" i="2"/>
  <c r="K30" i="2"/>
  <c r="J30" i="2"/>
  <c r="I30" i="2"/>
  <c r="H30" i="2"/>
  <c r="G30" i="2"/>
  <c r="F30" i="2"/>
  <c r="E30" i="2"/>
  <c r="K29" i="2"/>
  <c r="J29" i="2"/>
  <c r="I29" i="2"/>
  <c r="H29" i="2"/>
  <c r="G29" i="2"/>
  <c r="F29" i="2"/>
  <c r="E29" i="2"/>
  <c r="K28" i="2"/>
  <c r="J28" i="2"/>
  <c r="I28" i="2"/>
  <c r="H28" i="2"/>
  <c r="G28" i="2"/>
  <c r="F28" i="2"/>
  <c r="E28" i="2"/>
  <c r="K27" i="2"/>
  <c r="J27" i="2"/>
  <c r="I27" i="2"/>
  <c r="H27" i="2"/>
  <c r="G27" i="2"/>
  <c r="F27" i="2"/>
  <c r="E27" i="2"/>
  <c r="D32" i="2"/>
  <c r="D31" i="2"/>
  <c r="D30" i="2"/>
  <c r="D29" i="2"/>
  <c r="D28" i="2"/>
  <c r="D27" i="2"/>
  <c r="M15" i="2"/>
  <c r="K24" i="2"/>
  <c r="J24" i="2"/>
  <c r="I24" i="2"/>
  <c r="H24" i="2"/>
  <c r="G24" i="2"/>
  <c r="F24" i="2"/>
  <c r="E24" i="2"/>
  <c r="K23" i="2"/>
  <c r="J23" i="2"/>
  <c r="I23" i="2"/>
  <c r="H23" i="2"/>
  <c r="G23" i="2"/>
  <c r="F23" i="2"/>
  <c r="E23" i="2"/>
  <c r="K22" i="2"/>
  <c r="J22" i="2"/>
  <c r="I22" i="2"/>
  <c r="H22" i="2"/>
  <c r="G22" i="2"/>
  <c r="F22" i="2"/>
  <c r="E22" i="2"/>
  <c r="K21" i="2"/>
  <c r="J21" i="2"/>
  <c r="I21" i="2"/>
  <c r="H21" i="2"/>
  <c r="G21" i="2"/>
  <c r="F21" i="2"/>
  <c r="E21" i="2"/>
  <c r="K20" i="2"/>
  <c r="J20" i="2"/>
  <c r="I20" i="2"/>
  <c r="H20" i="2"/>
  <c r="G20" i="2"/>
  <c r="F20" i="2"/>
  <c r="E20" i="2"/>
  <c r="K19" i="2"/>
  <c r="J19" i="2"/>
  <c r="I19" i="2"/>
  <c r="H19" i="2"/>
  <c r="G19" i="2"/>
  <c r="F19" i="2"/>
  <c r="E19" i="2"/>
  <c r="K18" i="2"/>
  <c r="J18" i="2"/>
  <c r="I18" i="2"/>
  <c r="H18" i="2"/>
  <c r="G18" i="2"/>
  <c r="F18" i="2"/>
  <c r="E18" i="2"/>
  <c r="K17" i="2"/>
  <c r="J17" i="2"/>
  <c r="I17" i="2"/>
  <c r="H17" i="2"/>
  <c r="G17" i="2"/>
  <c r="F17" i="2"/>
  <c r="E17" i="2"/>
  <c r="K16" i="2"/>
  <c r="J16" i="2"/>
  <c r="I16" i="2"/>
  <c r="H16" i="2"/>
  <c r="G16" i="2"/>
  <c r="F16" i="2"/>
  <c r="E16" i="2"/>
  <c r="D24" i="2"/>
  <c r="D23" i="2"/>
  <c r="D22" i="2"/>
  <c r="D21" i="2"/>
  <c r="D20" i="2"/>
  <c r="D19" i="2"/>
  <c r="D18" i="2"/>
  <c r="D17" i="2"/>
  <c r="D16" i="2"/>
  <c r="L15" i="2"/>
  <c r="G89" i="2" l="1"/>
  <c r="G110" i="2"/>
  <c r="G93" i="2"/>
  <c r="G111" i="2"/>
</calcChain>
</file>

<file path=xl/comments1.xml><?xml version="1.0" encoding="utf-8"?>
<comments xmlns="http://schemas.openxmlformats.org/spreadsheetml/2006/main">
  <authors>
    <author>mmorales</author>
  </authors>
  <commentList>
    <comment ref="B97" authorId="0">
      <text>
        <r>
          <rPr>
            <b/>
            <sz val="14"/>
            <color indexed="81"/>
            <rFont val="Tahoma"/>
            <family val="2"/>
          </rPr>
          <t>mmorales:</t>
        </r>
        <r>
          <rPr>
            <sz val="14"/>
            <color indexed="81"/>
            <rFont val="Tahoma"/>
            <family val="2"/>
          </rPr>
          <t xml:space="preserve">
6.10 y 6.11 son una parte del total en trabajo de parto, ES INDICADOR DEL FONDO</t>
        </r>
      </text>
    </comment>
    <comment ref="B103" authorId="0">
      <text>
        <r>
          <rPr>
            <b/>
            <sz val="8"/>
            <color indexed="81"/>
            <rFont val="Tahoma"/>
            <family val="2"/>
          </rPr>
          <t>mmorales:</t>
        </r>
        <r>
          <rPr>
            <sz val="8"/>
            <color indexed="81"/>
            <rFont val="Tahoma"/>
            <family val="2"/>
          </rPr>
          <t xml:space="preserve">
es mono y biterapia</t>
        </r>
      </text>
    </comment>
  </commentList>
</comments>
</file>

<file path=xl/sharedStrings.xml><?xml version="1.0" encoding="utf-8"?>
<sst xmlns="http://schemas.openxmlformats.org/spreadsheetml/2006/main" count="426" uniqueCount="281">
  <si>
    <t>10a-14a</t>
  </si>
  <si>
    <t>15a-19a</t>
  </si>
  <si>
    <t>20a-24a</t>
  </si>
  <si>
    <t>25a-49a</t>
  </si>
  <si>
    <t>50a-59a</t>
  </si>
  <si>
    <t xml:space="preserve">  60a+</t>
  </si>
  <si>
    <t xml:space="preserve"> Total</t>
  </si>
  <si>
    <t>Tratado</t>
  </si>
  <si>
    <t xml:space="preserve"> 1d-18m</t>
  </si>
  <si>
    <t xml:space="preserve"> 19m-9a</t>
  </si>
  <si>
    <t xml:space="preserve"> N° de Consejerias realizadas a Gestantes que viven con VIH y SIDA</t>
  </si>
  <si>
    <t xml:space="preserve"> N° de Atenciones a Trabajadores Sexuales Controlados</t>
  </si>
  <si>
    <t xml:space="preserve"> N° de Atenciones a Hombre que tiene Sexo con Hombre Controlados</t>
  </si>
  <si>
    <t xml:space="preserve"> Total de Flujos Vaginales con Manejo Etiologico</t>
  </si>
  <si>
    <t>&lt; 1 mes</t>
  </si>
  <si>
    <t xml:space="preserve"> 1-18m</t>
  </si>
  <si>
    <t xml:space="preserve"> 18m-2a</t>
  </si>
  <si>
    <t xml:space="preserve">  &gt;2a</t>
  </si>
  <si>
    <t xml:space="preserve"> Nº de mujeres que consultan por Flujo Vaginal</t>
  </si>
  <si>
    <t xml:space="preserve"> Nº de mujeres con sindrome de dolor Abdominal Bajo</t>
  </si>
  <si>
    <t xml:space="preserve"> Nº de contactos  de hombres con ITS captados</t>
  </si>
  <si>
    <t xml:space="preserve"> Nº de contactos de mujeres con ITS captados</t>
  </si>
  <si>
    <t xml:space="preserve"> Nº de Condiloma Acuminado (Verrugas Genitales)</t>
  </si>
  <si>
    <t xml:space="preserve"> Nº de Chancroide o Chancro blando</t>
  </si>
  <si>
    <t xml:space="preserve"> Nº de Herpes Genital</t>
  </si>
  <si>
    <t xml:space="preserve"> Nº de Papiloma Virus Humano (PVH)</t>
  </si>
  <si>
    <t xml:space="preserve"> Nº de PVV/S Mujeres continuadores con cotrimoxazol</t>
  </si>
  <si>
    <t xml:space="preserve"> Nº de PVV/S Hombres continuadores con cotrimoxazol</t>
  </si>
  <si>
    <t xml:space="preserve"> Nº de PVV/S Mujeres que iniciaron profilaxis con INH</t>
  </si>
  <si>
    <t xml:space="preserve"> Nº de PVV/S Hombres que iniciaron profilaxis con INH</t>
  </si>
  <si>
    <t xml:space="preserve"> Nº de PVV/S Mujeres que completaron profilaxis con INH</t>
  </si>
  <si>
    <t xml:space="preserve"> Nº de PVV/S Hombres que completaron profilaxis con INH</t>
  </si>
  <si>
    <t xml:space="preserve"> Nº de Tratamiento profilactico VIH por exposicion: Violencia Sexual</t>
  </si>
  <si>
    <t xml:space="preserve"> Nº de Tratamiento profilactico VIH por exposicion: Accidente Laboral</t>
  </si>
  <si>
    <t xml:space="preserve"> Nº de Gestantes Tamizadas para VIH durante el CPN con Prueba Rapida</t>
  </si>
  <si>
    <t xml:space="preserve"> Nº de Gestantes Tamizadas para VIH durante el CPN con Prueba ELISA</t>
  </si>
  <si>
    <t xml:space="preserve"> Nº de Consejerias Pre-Test a Gestantes</t>
  </si>
  <si>
    <t xml:space="preserve"> Nº de Consejeria Post-Test Positivo para VIH a Gestantes</t>
  </si>
  <si>
    <t xml:space="preserve"> Nº de Consejeria Post-Test Negativo para VIH a Gestantes</t>
  </si>
  <si>
    <t xml:space="preserve"> Nº de Consejerias Pre-Test para VIH Mujeres (excluyendo gestantes)</t>
  </si>
  <si>
    <t xml:space="preserve"> Nº de Consejerias Pre-Test para VIH Hombres</t>
  </si>
  <si>
    <t xml:space="preserve"> Nº de Consejerias Post-Test Positivo para VIH Hombres</t>
  </si>
  <si>
    <t xml:space="preserve"> Nº de Consejerias Post-Test Negativo para VIH Hombres</t>
  </si>
  <si>
    <t xml:space="preserve"> Nº de Consejeria Pre-Test a Trabajador Sexual</t>
  </si>
  <si>
    <t xml:space="preserve"> Nº de Consejeria Pre-Test a Trabajadora Sexual</t>
  </si>
  <si>
    <t xml:space="preserve"> Nº de Consejeria Post-Test Positivo a Trabajador Sexual</t>
  </si>
  <si>
    <t xml:space="preserve"> Nº de Consejeria Post-Test Negativo a Trabajador Sexual</t>
  </si>
  <si>
    <t xml:space="preserve"> Nº de Consejeria Post-Test Positivo a Trabajador(a) Sexual</t>
  </si>
  <si>
    <t xml:space="preserve"> Nº de Consejeria Post-Test Negativo a Trabajador(a) Sexual</t>
  </si>
  <si>
    <t xml:space="preserve"> Nº de Consejeria Pre-Test a Hombre que tiene Sexo con Hombre</t>
  </si>
  <si>
    <t xml:space="preserve"> Nº de Atenciones a Trabajadores Sexuales</t>
  </si>
  <si>
    <t xml:space="preserve"> Nº de Trabajador Sexual con Tamizaje de VIH</t>
  </si>
  <si>
    <t xml:space="preserve"> Nº de Trabajadora Sexual con Tamizaje de VIH</t>
  </si>
  <si>
    <t xml:space="preserve"> Nº de Trabajadores Sexuales con Infeccion por VIH sin SIDA</t>
  </si>
  <si>
    <t xml:space="preserve"> Nº de Trabajadores Sexuales con SIDA</t>
  </si>
  <si>
    <t xml:space="preserve"> Nº de Hombre que tiene Sexo con Hombre con Tamizaje de VIH</t>
  </si>
  <si>
    <t xml:space="preserve"> Nº de Cervicitis</t>
  </si>
  <si>
    <t xml:space="preserve"> Nº de Tricomoniasis</t>
  </si>
  <si>
    <t xml:space="preserve"> Nº de Candiadiasis Vaginal</t>
  </si>
  <si>
    <t xml:space="preserve"> Nº de Vaginosis Bacteriana</t>
  </si>
  <si>
    <t xml:space="preserve"> Nº de Gonorreas por Cultivo</t>
  </si>
  <si>
    <t xml:space="preserve"> Nº de Clamidiasis</t>
  </si>
  <si>
    <t xml:space="preserve"> Nº de Casos de Sifilis Congenita</t>
  </si>
  <si>
    <t xml:space="preserve"> Nº de Ninos/as menor de 02 anos Tamizados con ELISA para VIH</t>
  </si>
  <si>
    <t>ITS</t>
  </si>
  <si>
    <t>ESTABLECIMIENTO:</t>
  </si>
  <si>
    <t>DESDE:</t>
  </si>
  <si>
    <t>HASTA:</t>
  </si>
  <si>
    <t>PREVENCION Y CONTROL DE INFECCIONES DE TRANSMISION SEXUAL - VIH/SIDA</t>
  </si>
  <si>
    <t>OTRAS INFECCIONES DE TRANSMISION SEXUAL</t>
  </si>
  <si>
    <t>VIH : Profilaxis / Atencion Integral a Personas que Viven con VIH / SIDA</t>
  </si>
  <si>
    <t>60a+</t>
  </si>
  <si>
    <t>H</t>
  </si>
  <si>
    <t>M</t>
  </si>
  <si>
    <t>Tamizaje y Consejeria</t>
  </si>
  <si>
    <t>Trabajador(a) Sexual (TS)</t>
  </si>
  <si>
    <t xml:space="preserve"> Nº de Trabajadores Sexuales Atendidos (por primera vez en el año)</t>
  </si>
  <si>
    <t xml:space="preserve"> Nº de Trabajadores Sexuales Controladas (6 controles en el año)</t>
  </si>
  <si>
    <t>Hombre que tiene Sexo con Hombre (HSH)</t>
  </si>
  <si>
    <t xml:space="preserve"> Nº de Hombre que tiene Sexo con Hombre Atendidos (por primera vez en el año)</t>
  </si>
  <si>
    <t xml:space="preserve"> Nº de Hombre que tiene Sexo con Hombre Controladas (2 controles en el año)</t>
  </si>
  <si>
    <t>Infecciones de Trasmision Sexual con Manejo Etiologico</t>
  </si>
  <si>
    <t>Trasmision Vertical - Sifilis en Recien Nacidos</t>
  </si>
  <si>
    <t>Trasmision Vertical - VIH en Recien Nacidos</t>
  </si>
  <si>
    <t xml:space="preserve"> Nº de hombres con Ulcera Genital</t>
  </si>
  <si>
    <t xml:space="preserve"> Nº de mujeres con Ulcera Genital</t>
  </si>
  <si>
    <t xml:space="preserve"> Nº de hombres con serologia reactiva para sifilis con ausencia de Ulcera Genital</t>
  </si>
  <si>
    <t xml:space="preserve"> Nº de mujeres no gestantes con serologia reactiva para sifilis con ausencia de Ulcera Genital</t>
  </si>
  <si>
    <t xml:space="preserve"> Nº de hombres con Bubón Inguinal</t>
  </si>
  <si>
    <t xml:space="preserve"> Nº de mujeres con Bubón Inguinal</t>
  </si>
  <si>
    <t xml:space="preserve"> Total de mujeres con diagnóstico solo de vaginitis</t>
  </si>
  <si>
    <t xml:space="preserve"> Total de mujeres con diagnóstico de vaginitis más cervicitis</t>
  </si>
  <si>
    <t xml:space="preserve"> Nº de PVV/S Mujeres que inició profilaxis con cotrimoxazol</t>
  </si>
  <si>
    <t xml:space="preserve"> Nº de PVV/S Hombres que inició profilaxis con cotrimoxazol</t>
  </si>
  <si>
    <t xml:space="preserve"> Nº de Personas que viven con VIH que acceden a Atencion Integral (Hombres)</t>
  </si>
  <si>
    <t xml:space="preserve"> Nº de Personas que viven con VIH que acceden a Atencion Integral (Mujeres)</t>
  </si>
  <si>
    <t xml:space="preserve"> Nº de Personas que viven con SIDA que acceden a Atencion Integral (Hombres)</t>
  </si>
  <si>
    <t xml:space="preserve"> Nº de Personas que viven con SIDA que acceden a Atencion Integral (Mujeres)</t>
  </si>
  <si>
    <t xml:space="preserve"> Nº de Tratamiento profilactico VIH por exposicion: Derivados Sanguíneos</t>
  </si>
  <si>
    <t xml:space="preserve"> Nº de Tratamiento profilactico VIH por exposicion: Parejas Discordantes</t>
  </si>
  <si>
    <t xml:space="preserve"> Nº de Gestantes Tamizadas para VIH durante el CPN con Prueba Rapida / ELISA Reactiva</t>
  </si>
  <si>
    <t xml:space="preserve"> Nº de Consejerias Post-Test Positivo para VIH Mujeres (excluyendo gestantes)</t>
  </si>
  <si>
    <t xml:space="preserve"> N° de Consejerias realizadas a personas que viven con VIH y SIDA (excluye gestantes)</t>
  </si>
  <si>
    <t xml:space="preserve"> Nº de Consejeria Post-Test Positivo a Hombre que tiene Sexo con Hombre</t>
  </si>
  <si>
    <t xml:space="preserve"> Nº de Consejeria Post-Test Negativo a Hombre que tiene Sexo con Hombre</t>
  </si>
  <si>
    <t>Reporte A : Infecciones de Trasmision Sexual (ITS) con Manejo Sindromico</t>
  </si>
  <si>
    <t>Reporte B : Otras Infecciones de Transmision Sexual</t>
  </si>
  <si>
    <t>Reporte C : VIH : Profilaxis / Atencion Integral a Personas que Viven con VIH / SIDA</t>
  </si>
  <si>
    <t>Reporte D : VIH : Profilaxis / Atencion Integral a Personas que Viven con VIH / SIDA</t>
  </si>
  <si>
    <t>Reporte E : Tamizaje y Consejeria</t>
  </si>
  <si>
    <t>Reporte F : Trabajador(a) Sexual (TS)</t>
  </si>
  <si>
    <t>Reporte G : Hombre que tiene Sexo con Hombre (HSH)</t>
  </si>
  <si>
    <t>Reporte H : Infecciones de Trasmision Sexual con Manejo Etiologico</t>
  </si>
  <si>
    <t>Reporte J : Trasmision Vertical - Sifilis en Recien Nacidos</t>
  </si>
  <si>
    <t>Reporte K : Trasmision Vertical - VIH en Recien Nacidos</t>
  </si>
  <si>
    <t xml:space="preserve"> Nº de Trabajador(a) Sexual que recibe Consejeria para Cambio de Comportamiento</t>
  </si>
  <si>
    <t xml:space="preserve"> Nº Trabajador(a) Sexual con al menos 01 ITS (incluye solamente Chlamydia, Trichomonas, Gonorrea y Sífilis)</t>
  </si>
  <si>
    <t xml:space="preserve"> Nº de Hombre que tiene Sexo con Hombre Atenciones a Trabajadores Sexuales</t>
  </si>
  <si>
    <t xml:space="preserve"> Nº Hombre que tiene Sexo con Hombre con al menos 01 ITS (incluye solamente Chlamydia, Trichomonas, Gonorrea y Sífilis)</t>
  </si>
  <si>
    <t xml:space="preserve"> Nº de RN expuestos perinatalmente a VIH-SIDA que recibieron profilaxis con NVP</t>
  </si>
  <si>
    <t xml:space="preserve"> Nº de RN expuestos perinatalmente a VIH-SIDA que inician profilaxis con AZT</t>
  </si>
  <si>
    <t xml:space="preserve"> Nº de RN expuestos perinatalmente a VIH-SIDA que inician profilaxis con AZT + NVP</t>
  </si>
  <si>
    <t xml:space="preserve"> Nº total de hombres con Descarga Uretral</t>
  </si>
  <si>
    <t>Condon Entrega</t>
  </si>
  <si>
    <t>MONITORIZACION DE ATENCIONES - ESTRATEGIA SANITARIA NACIONAL DE PREVENCION Y CONTROL DE ITS , VIH Y Sida</t>
  </si>
  <si>
    <t>0-9</t>
  </si>
  <si>
    <t>10-19a</t>
  </si>
  <si>
    <t>20-59a</t>
  </si>
  <si>
    <t>60a más</t>
  </si>
  <si>
    <t>Total</t>
  </si>
  <si>
    <t>Población total atendida en el mes</t>
  </si>
  <si>
    <t>1.-  POBLACION GENERAL: ITS</t>
  </si>
  <si>
    <t>Diagnosticados</t>
  </si>
  <si>
    <t>Tratados</t>
  </si>
  <si>
    <t>Contactos</t>
  </si>
  <si>
    <t>Contactos Tratados</t>
  </si>
  <si>
    <t>10-14a</t>
  </si>
  <si>
    <t>15-19a</t>
  </si>
  <si>
    <t>20-24a</t>
  </si>
  <si>
    <t>25-49a</t>
  </si>
  <si>
    <t>50-59a</t>
  </si>
  <si>
    <t>Nº de consejerías en ITS (PG)</t>
  </si>
  <si>
    <t>Nº de personas con diagnóstico de ITS con manejo sindrómico</t>
  </si>
  <si>
    <t>Nº de casos en hombres con descarga uretral</t>
  </si>
  <si>
    <t>Nº de casos en mujeres con flujo vaginal compatible con ITS</t>
  </si>
  <si>
    <t>Nº de casos de úlcera genital en mujeres</t>
  </si>
  <si>
    <t>Nº de casos de úlcera genital en hombres</t>
  </si>
  <si>
    <t>Nº de casos con serología reactiva para sífilis con ausencia de úlcera genital en mujeres</t>
  </si>
  <si>
    <t>Nº de casos con serología reactiva para sífilis con ausencia de úlcera genital en hombres</t>
  </si>
  <si>
    <t>Nº de casos de bubón inguinal en mujeres</t>
  </si>
  <si>
    <t>Nº de casos de bubón inguinal en hombres</t>
  </si>
  <si>
    <t>Nº de casos con sindrome de dolor abdominal bajo</t>
  </si>
  <si>
    <t>ESTA SECCION SOLO PARA LOS ESTABLECIMIENTOS DE SALUD QUE CUENTEN CON LABORATORIO</t>
  </si>
  <si>
    <t>Nº de personas con diagnóstico de ITS con manejo etiológico</t>
  </si>
  <si>
    <t>Nº de casos de cervicitis</t>
  </si>
  <si>
    <t>Nº de casos de tricomoniasis</t>
  </si>
  <si>
    <t>Nº de casos de candiadiasis vaginal</t>
  </si>
  <si>
    <t>Nº de casos de vaginosis bacteriana</t>
  </si>
  <si>
    <t>Nº de casos de gonorreas por cultivo</t>
  </si>
  <si>
    <t>Nº de casos de clamidiasis por ELISA, cultivo o PCR/LCR</t>
  </si>
  <si>
    <t>Nº de casos de flujos vaginales con exámenes de laboratorio negativos</t>
  </si>
  <si>
    <t>2.-  POBLACION GENERAL: Tamizaje y Consejería VIH</t>
  </si>
  <si>
    <t>TOTAL</t>
  </si>
  <si>
    <t>Mujeres (excluye gestantes)</t>
  </si>
  <si>
    <t>Varones</t>
  </si>
  <si>
    <t>Nº de personas tamizadas para VIH (PG)</t>
  </si>
  <si>
    <t>Nº de personas tamizadas para VIH reactivas (PG)</t>
  </si>
  <si>
    <t>Nº de personas confirmadas nuevas en el período (PG)</t>
  </si>
  <si>
    <t>Nº de personas que sufrieron accidentes ocupacionales (exposición VIH)</t>
  </si>
  <si>
    <t>Nº de personas que sufrieron accidentes ocupacionales (exposición VIH) y recibieron profilaxis</t>
  </si>
  <si>
    <t>Nº de personas expuestas a VIH por violencia sexual</t>
  </si>
  <si>
    <t xml:space="preserve">Nº de consejerías pre-test para VIH </t>
  </si>
  <si>
    <t xml:space="preserve">Nº de consejerías post- test para VIH </t>
  </si>
  <si>
    <t>Nº de condones entregados en consejerías (PG)</t>
  </si>
  <si>
    <t>3.-   PVVS:  Atención Integral</t>
  </si>
  <si>
    <t>Nº de  PVVS mujeres atendidas por primera vez</t>
  </si>
  <si>
    <t>Nº de  PVVS varones atendidas por primera vez</t>
  </si>
  <si>
    <t>Nº de PVVS que inició profilaxis con cotrimoxazol</t>
  </si>
  <si>
    <t>Nº de PVVS continuadores con cotrimoxazol</t>
  </si>
  <si>
    <t>Nº de PVVS que iniciaron profilaxis con INH</t>
  </si>
  <si>
    <t>Nº de PVVS que completaron profilaxis con INH</t>
  </si>
  <si>
    <t xml:space="preserve">Targa </t>
  </si>
  <si>
    <t>No Targa</t>
  </si>
  <si>
    <t>Nº de PVVS mujeres que reciben a atención integral</t>
  </si>
  <si>
    <t>Nº de PVVS varones que reciben a atención integral</t>
  </si>
  <si>
    <t>Nº de PVVS reciben consejería en prevención positiva</t>
  </si>
  <si>
    <t>Nº de infecciones oportunistas diagnosticadas</t>
  </si>
  <si>
    <t>Nº de infecciones oportunistas tratados</t>
  </si>
  <si>
    <t>N° de PVVS con TBC</t>
  </si>
  <si>
    <t>Nº de PVVS  con RAM</t>
  </si>
  <si>
    <t>Nº de RAM diagnosticados</t>
  </si>
  <si>
    <t>Nº de PVVS fallecidos en el mes</t>
  </si>
  <si>
    <t>Nº de condones entregados a PVVS</t>
  </si>
  <si>
    <t>Nº de consejerías a PVVS  realizadas por CEPs</t>
  </si>
  <si>
    <t>Nº de consejerías de soporte realizadas a PVVS efectuadas por personal de salud</t>
  </si>
  <si>
    <t>4.-   GESTANTES Y PUERPERAS</t>
  </si>
  <si>
    <t>DIAGNOSTICADOS</t>
  </si>
  <si>
    <t>Total de gestantes con 1º APN (atención prenatal)</t>
  </si>
  <si>
    <t>Nº de puérperas atendidas en el establecimiento (parto institucional y domiciliario)</t>
  </si>
  <si>
    <t>Nº de abortos registrados en el establecimiento de salud</t>
  </si>
  <si>
    <t>5.-   GESTANTES Y PUERPERAS: Transmisión Vertical - Sífilis</t>
  </si>
  <si>
    <t>Nº de gestantes tamizadas para sífilis</t>
  </si>
  <si>
    <t>Nº de gestantes tamizadas para sífilis con resultado reactivo</t>
  </si>
  <si>
    <t>Nº de puérperas tamizadas para sífilis</t>
  </si>
  <si>
    <t>Nº de puérperas tamizadas para sífilis con resultado reactivo</t>
  </si>
  <si>
    <t>Nº de abortos tamizadas para sífilis</t>
  </si>
  <si>
    <t>Nº de abortos tamizadas para sífilis con resultado reactivo</t>
  </si>
  <si>
    <t>Nº de casos de sífilis congénita</t>
  </si>
  <si>
    <t>6.-   GESTANTES Y PUERPERAS: Transmisión Vertical - VIH</t>
  </si>
  <si>
    <t>Nº de gestantes tamizadas para VIH con prueba rápida durante el embarazo</t>
  </si>
  <si>
    <t>Nº de gestantes tamizadas para VIH con prueba rápida reactiva durante el embarazo</t>
  </si>
  <si>
    <t>Nº de gestantes tamizadas para VIH con PR durante el trabajo de parto</t>
  </si>
  <si>
    <t>Nº de gestantes tamizadas para VIH con PR reactiva durante el trabajo de parto</t>
  </si>
  <si>
    <t>Nº de gestantes tamizadas para VIH durante el embarazo con ELISA</t>
  </si>
  <si>
    <t>Nº de gestantes tamizadas para VIH con ELISA reactivo durante el embarazo</t>
  </si>
  <si>
    <t>Nº de gestantes confirmadas para VIH (IFI o WB)</t>
  </si>
  <si>
    <t>Nº de puérperas tamizadas para VIH</t>
  </si>
  <si>
    <t>Nº de puérperas tamizadas con resultado de VIH reactivo</t>
  </si>
  <si>
    <t>Nº de gestantes sin atención pre natal tamizadas durante el trabajo de parto</t>
  </si>
  <si>
    <t>Nº de gestantes sin atención pre natal tamizadas para VIH durante el trabajo de parto con resultado reactivo</t>
  </si>
  <si>
    <t>7.-   GESTANTES Y PUERPERAS: Profilaxis y Consejerías</t>
  </si>
  <si>
    <t>Nº de gestantes con VIH que inician TARGA como profilaxis durante el embarazo</t>
  </si>
  <si>
    <t>Nº de gestantes con VIH que reciben profilaxis ARV durante el embarazo</t>
  </si>
  <si>
    <t>Nº de gestantes que reciben TARGA previo a la gestación actual</t>
  </si>
  <si>
    <t>Nº de gestantes en trabajo de parto reactivas a VIH que recibieron ARV</t>
  </si>
  <si>
    <t>Nº de gestantes en trabajo de parto  sin atención pre natal que reciben  ARV</t>
  </si>
  <si>
    <t>Nº de mujeres viviendo con VIH que se embarazan en el período</t>
  </si>
  <si>
    <t>Nº de mujeres VIH  nuevas en el uso de método anticonceptivo</t>
  </si>
  <si>
    <t>Nº de mujeres VIH continuadoras en el uso de método anticonceptivo</t>
  </si>
  <si>
    <t>Nº de consejerías pre-test a gestantes</t>
  </si>
  <si>
    <t>Nº de consejerías post-test a gestantes</t>
  </si>
  <si>
    <t>Nº de consejerías de soporte realizadas a gestantes que viven con VIH -Sida</t>
  </si>
  <si>
    <t>8.- RECIEN NACIDO: Transmisión Vertical - VIH</t>
  </si>
  <si>
    <t xml:space="preserve">Total de RN expuestos a VIH  (hijos madre VIH) </t>
  </si>
  <si>
    <t>Nº de RN expuestos a VIH (hijos madre VIH) que inician profilaxis ARV</t>
  </si>
  <si>
    <t>Nº de RN expuestos a VIH que inician lactancia artificial (suscedaneos de leche materna)</t>
  </si>
  <si>
    <t xml:space="preserve">Nº de niños/as tamizados con PCR antes de los 18 meses </t>
  </si>
  <si>
    <t>Nº de niños/as positivos con PCR antes de los 18 meses</t>
  </si>
  <si>
    <t xml:space="preserve">Nº de niños/as mayores de 18 meses tamizados con Elisa para VIH </t>
  </si>
  <si>
    <t>Nº de niños/as mayores de 18 meses tamizados con Elisa para VIH con resultado reactivo</t>
  </si>
  <si>
    <t>Nº de niños/as mayores de 18 meses con diagnostico VIH confirmado</t>
  </si>
  <si>
    <t>ESTA SECCION SOLO PARA CERITS Y UAMP</t>
  </si>
  <si>
    <t>9.-   TRABAJADORAS SEXUALES</t>
  </si>
  <si>
    <t>Nº de TS atendidos (por primera vez en el año)</t>
  </si>
  <si>
    <t>Nº de atenciones a TS</t>
  </si>
  <si>
    <t>Nº de TS controlados  (mínimo 4 controles en el año calendario)</t>
  </si>
  <si>
    <t>Nº de TS controlados que desarrollan un episodio de ITS</t>
  </si>
  <si>
    <t>Nº de TS tamizados para VIH mediante ELISA</t>
  </si>
  <si>
    <t>Nº de TS tamizados para VIH mediante prueba rápida</t>
  </si>
  <si>
    <t>Nº de TS con tamizaje para VIH con resultado reactivo</t>
  </si>
  <si>
    <t>Nº de TS con VIH confirmado en el período</t>
  </si>
  <si>
    <t>Nº de TS con VIH reactivo  que reciben atención médica periódica</t>
  </si>
  <si>
    <t>Nº de TS con diagnostico de al menos una ITS (incluye solamente chlamydia, trichomonas, gonorrea y sífilis)</t>
  </si>
  <si>
    <t>Nº de TS con diagnostico de al menos una ITS (incluye solamente chlamydia, trichomonas, gonorrea y sífilis) TRATADOS</t>
  </si>
  <si>
    <t>Nº de Consejerías  Pre - Test a TS</t>
  </si>
  <si>
    <t>Nº de Consejerías  Post - Test a TS</t>
  </si>
  <si>
    <t>Nº de TS que reciben consejería para cambio de comportamiento hacia conductas de menor riesgo</t>
  </si>
  <si>
    <t>Nº de TS referidos a CERITS y UAMPs por PEPs</t>
  </si>
  <si>
    <t>Nº de condones entregados a TS</t>
  </si>
  <si>
    <t>Nº de condones entregados a PEPs  (intervenciones, campañas, etc)</t>
  </si>
  <si>
    <t>10.-   TRABAJADORES SEXUALES</t>
  </si>
  <si>
    <t>11.-   HOMBRES QUE TIENEN SEXO CON OTROS HOMBRES</t>
  </si>
  <si>
    <t>Nº de HSH atendidos (por primera vez en el año)</t>
  </si>
  <si>
    <t>Nº de atenciones a HSH</t>
  </si>
  <si>
    <t>Nº de HSH controlados  (mínimo 4 controles en el año calendario)</t>
  </si>
  <si>
    <t>Nº de HSH controlados que desarrollan un episodio de ITS</t>
  </si>
  <si>
    <t>Nº de HSH tamizados para VIH mediante ELISA</t>
  </si>
  <si>
    <t>Nº de HSH tamizados para VIH mediante prueba rápida</t>
  </si>
  <si>
    <t>Nº de HSH con tamizaje VIH reactivo</t>
  </si>
  <si>
    <t>Nº de HSH con VIH confirmado en el período</t>
  </si>
  <si>
    <t>Nº de HSH con VIH reactivo  que reciben atención médica periódica</t>
  </si>
  <si>
    <t>Nº de HSH con diagnostico de al menos una ITS (incluye solamente chlamydia, trichomonas, gonorrea y sífilis)</t>
  </si>
  <si>
    <t>Nº de HSH con diagnostico de al menos una ITS (incluye solamente chlamydia, trichomonas, gonorrea y sífilis) TRATADOS</t>
  </si>
  <si>
    <t>Nº de Consejerías  Pre - Test a HSH</t>
  </si>
  <si>
    <t>Nº de Consejerías  Post - Test a HSH</t>
  </si>
  <si>
    <t>Nº de HSH que reciben consejería para cambio de comportamiento hacia conductas de menor riesgo</t>
  </si>
  <si>
    <t>Nº de HSH referidos a CERITS y UAMP por PEPs</t>
  </si>
  <si>
    <t>Nº de condones entregados a HSH</t>
  </si>
  <si>
    <t xml:space="preserve"> Nº de Consejerias Post-Test Negativo para VIH Mujeres (excluyendo gestantes)</t>
  </si>
  <si>
    <t>DIRESA ICA - ESTADISTICA E INFORMATICA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</si>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</sst>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;[Red]0"/>
  </numFmts>
  <fonts count="33" x14ac:knownFonts="1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8"/>
      <name val="Tahoma"/>
      <family val="2"/>
    </font>
    <font>
      <sz val="10"/>
      <name val="Arial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12"/>
      <name val="Tahoma"/>
      <family val="2"/>
    </font>
    <font>
      <sz val="8"/>
      <color indexed="12"/>
      <name val="Tahoma"/>
      <family val="2"/>
    </font>
    <font>
      <b/>
      <sz val="8"/>
      <color indexed="12"/>
      <name val="Tahoma"/>
      <family val="2"/>
    </font>
    <font>
      <sz val="8"/>
      <color indexed="9"/>
      <name val="Tahoma"/>
      <family val="2"/>
    </font>
    <font>
      <sz val="8"/>
      <color indexed="10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12"/>
      <color theme="1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63" applyNumberFormat="0" applyAlignment="0" applyProtection="0"/>
    <xf numFmtId="0" fontId="17" fillId="31" borderId="64" applyNumberFormat="0" applyAlignment="0" applyProtection="0"/>
    <xf numFmtId="0" fontId="18" fillId="0" borderId="65" applyNumberFormat="0" applyFill="0" applyAlignment="0" applyProtection="0"/>
    <xf numFmtId="0" fontId="19" fillId="0" borderId="0" applyNumberFormat="0" applyFill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6" borderId="0" applyNumberFormat="0" applyBorder="0" applyAlignment="0" applyProtection="0"/>
    <xf numFmtId="0" fontId="14" fillId="37" borderId="0" applyNumberFormat="0" applyBorder="0" applyAlignment="0" applyProtection="0"/>
    <xf numFmtId="0" fontId="20" fillId="38" borderId="63" applyNumberFormat="0" applyAlignment="0" applyProtection="0"/>
    <xf numFmtId="0" fontId="21" fillId="39" borderId="0" applyNumberFormat="0" applyBorder="0" applyAlignment="0" applyProtection="0"/>
    <xf numFmtId="0" fontId="22" fillId="40" borderId="0" applyNumberFormat="0" applyBorder="0" applyAlignment="0" applyProtection="0"/>
    <xf numFmtId="0" fontId="3" fillId="0" borderId="0"/>
    <xf numFmtId="0" fontId="13" fillId="41" borderId="66" applyNumberFormat="0" applyFont="0" applyAlignment="0" applyProtection="0"/>
    <xf numFmtId="0" fontId="23" fillId="30" borderId="67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68" applyNumberFormat="0" applyFill="0" applyAlignment="0" applyProtection="0"/>
    <xf numFmtId="0" fontId="28" fillId="0" borderId="69" applyNumberFormat="0" applyFill="0" applyAlignment="0" applyProtection="0"/>
    <xf numFmtId="0" fontId="19" fillId="0" borderId="70" applyNumberFormat="0" applyFill="0" applyAlignment="0" applyProtection="0"/>
    <xf numFmtId="0" fontId="29" fillId="0" borderId="71" applyNumberFormat="0" applyFill="0" applyAlignment="0" applyProtection="0"/>
  </cellStyleXfs>
  <cellXfs count="36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1" fillId="0" borderId="1" xfId="0" applyFont="1" applyBorder="1" applyAlignment="1">
      <alignment horizontal="center" vertical="center"/>
    </xf>
    <xf numFmtId="0" fontId="30" fillId="0" borderId="2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30" fillId="0" borderId="4" xfId="0" applyFont="1" applyBorder="1" applyAlignment="1">
      <alignment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42" borderId="3" xfId="0" applyFont="1" applyFill="1" applyBorder="1" applyAlignment="1">
      <alignment horizontal="center" vertical="center"/>
    </xf>
    <xf numFmtId="0" fontId="30" fillId="42" borderId="4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Fill="1" applyAlignment="1">
      <alignment vertical="center"/>
    </xf>
    <xf numFmtId="0" fontId="30" fillId="0" borderId="4" xfId="0" applyFont="1" applyFill="1" applyBorder="1" applyAlignment="1">
      <alignment vertical="center"/>
    </xf>
    <xf numFmtId="0" fontId="30" fillId="0" borderId="4" xfId="0" applyFont="1" applyFill="1" applyBorder="1" applyAlignment="1">
      <alignment horizontal="center" vertical="center"/>
    </xf>
    <xf numFmtId="0" fontId="2" fillId="0" borderId="0" xfId="33" applyFont="1" applyAlignment="1">
      <alignment horizontal="left" vertical="center"/>
    </xf>
    <xf numFmtId="0" fontId="9" fillId="0" borderId="0" xfId="33" applyFont="1" applyBorder="1" applyAlignment="1">
      <alignment vertical="center"/>
    </xf>
    <xf numFmtId="0" fontId="10" fillId="2" borderId="0" xfId="33" applyFont="1" applyFill="1" applyBorder="1" applyAlignment="1">
      <alignment horizontal="left" vertical="center"/>
    </xf>
    <xf numFmtId="0" fontId="10" fillId="0" borderId="0" xfId="33" applyFont="1" applyBorder="1" applyAlignment="1">
      <alignment vertical="center"/>
    </xf>
    <xf numFmtId="0" fontId="10" fillId="0" borderId="0" xfId="33" applyFont="1" applyBorder="1" applyAlignment="1">
      <alignment horizontal="left" vertical="center"/>
    </xf>
    <xf numFmtId="0" fontId="10" fillId="3" borderId="5" xfId="33" applyFont="1" applyFill="1" applyBorder="1" applyAlignment="1">
      <alignment horizontal="center" vertical="center"/>
    </xf>
    <xf numFmtId="17" fontId="10" fillId="3" borderId="6" xfId="33" applyNumberFormat="1" applyFont="1" applyFill="1" applyBorder="1" applyAlignment="1">
      <alignment horizontal="center" vertical="center"/>
    </xf>
    <xf numFmtId="0" fontId="10" fillId="3" borderId="6" xfId="33" applyFont="1" applyFill="1" applyBorder="1" applyAlignment="1">
      <alignment horizontal="center" vertical="center"/>
    </xf>
    <xf numFmtId="0" fontId="10" fillId="3" borderId="7" xfId="33" applyFont="1" applyFill="1" applyBorder="1" applyAlignment="1">
      <alignment horizontal="center" vertical="center"/>
    </xf>
    <xf numFmtId="0" fontId="10" fillId="3" borderId="8" xfId="33" applyFont="1" applyFill="1" applyBorder="1" applyAlignment="1">
      <alignment horizontal="center" vertical="center"/>
    </xf>
    <xf numFmtId="164" fontId="10" fillId="2" borderId="0" xfId="33" applyNumberFormat="1" applyFont="1" applyFill="1" applyBorder="1" applyAlignment="1">
      <alignment horizontal="left" vertical="center"/>
    </xf>
    <xf numFmtId="0" fontId="9" fillId="0" borderId="8" xfId="33" applyFont="1" applyFill="1" applyBorder="1" applyAlignment="1">
      <alignment vertical="center"/>
    </xf>
    <xf numFmtId="0" fontId="9" fillId="0" borderId="9" xfId="33" applyFont="1" applyFill="1" applyBorder="1" applyAlignment="1">
      <alignment vertical="center"/>
    </xf>
    <xf numFmtId="165" fontId="9" fillId="0" borderId="6" xfId="33" applyNumberFormat="1" applyFont="1" applyFill="1" applyBorder="1" applyAlignment="1">
      <alignment vertical="center"/>
    </xf>
    <xf numFmtId="165" fontId="10" fillId="0" borderId="6" xfId="33" applyNumberFormat="1" applyFont="1" applyFill="1" applyBorder="1" applyAlignment="1">
      <alignment horizontal="center" vertical="center"/>
    </xf>
    <xf numFmtId="165" fontId="9" fillId="0" borderId="7" xfId="33" applyNumberFormat="1" applyFont="1" applyFill="1" applyBorder="1" applyAlignment="1">
      <alignment horizontal="center" vertical="center"/>
    </xf>
    <xf numFmtId="165" fontId="10" fillId="0" borderId="8" xfId="33" applyNumberFormat="1" applyFont="1" applyBorder="1" applyAlignment="1">
      <alignment horizontal="center" vertical="center"/>
    </xf>
    <xf numFmtId="165" fontId="10" fillId="0" borderId="0" xfId="33" applyNumberFormat="1" applyFont="1" applyFill="1" applyBorder="1" applyAlignment="1">
      <alignment horizontal="center" vertical="center"/>
    </xf>
    <xf numFmtId="165" fontId="9" fillId="0" borderId="0" xfId="33" applyNumberFormat="1" applyFont="1" applyFill="1" applyBorder="1" applyAlignment="1">
      <alignment horizontal="center" vertical="center"/>
    </xf>
    <xf numFmtId="165" fontId="9" fillId="0" borderId="0" xfId="33" applyNumberFormat="1" applyFont="1" applyFill="1" applyBorder="1" applyAlignment="1">
      <alignment vertical="center"/>
    </xf>
    <xf numFmtId="0" fontId="9" fillId="0" borderId="0" xfId="33" applyFont="1" applyBorder="1" applyAlignment="1">
      <alignment horizontal="left" vertical="center"/>
    </xf>
    <xf numFmtId="0" fontId="10" fillId="4" borderId="10" xfId="33" applyFont="1" applyFill="1" applyBorder="1" applyAlignment="1">
      <alignment horizontal="center" vertical="center"/>
    </xf>
    <xf numFmtId="17" fontId="10" fillId="4" borderId="11" xfId="33" applyNumberFormat="1" applyFont="1" applyFill="1" applyBorder="1" applyAlignment="1">
      <alignment horizontal="center" vertical="center"/>
    </xf>
    <xf numFmtId="0" fontId="10" fillId="4" borderId="11" xfId="33" applyFont="1" applyFill="1" applyBorder="1" applyAlignment="1">
      <alignment horizontal="center" vertical="center"/>
    </xf>
    <xf numFmtId="0" fontId="10" fillId="4" borderId="12" xfId="33" applyFont="1" applyFill="1" applyBorder="1" applyAlignment="1">
      <alignment horizontal="center" vertical="center"/>
    </xf>
    <xf numFmtId="164" fontId="10" fillId="2" borderId="13" xfId="33" applyNumberFormat="1" applyFont="1" applyFill="1" applyBorder="1" applyAlignment="1">
      <alignment horizontal="left" vertical="center"/>
    </xf>
    <xf numFmtId="0" fontId="9" fillId="2" borderId="14" xfId="33" applyFont="1" applyFill="1" applyBorder="1" applyAlignment="1">
      <alignment vertical="center" wrapText="1"/>
    </xf>
    <xf numFmtId="0" fontId="10" fillId="2" borderId="15" xfId="33" applyFont="1" applyFill="1" applyBorder="1" applyAlignment="1">
      <alignment horizontal="center" vertical="center" wrapText="1"/>
    </xf>
    <xf numFmtId="165" fontId="10" fillId="2" borderId="16" xfId="33" applyNumberFormat="1" applyFont="1" applyFill="1" applyBorder="1" applyAlignment="1">
      <alignment horizontal="center" vertical="center"/>
    </xf>
    <xf numFmtId="165" fontId="10" fillId="2" borderId="17" xfId="33" applyNumberFormat="1" applyFont="1" applyFill="1" applyBorder="1" applyAlignment="1">
      <alignment horizontal="center" vertical="center"/>
    </xf>
    <xf numFmtId="165" fontId="10" fillId="2" borderId="13" xfId="33" applyNumberFormat="1" applyFont="1" applyFill="1" applyBorder="1" applyAlignment="1">
      <alignment horizontal="center" vertical="center"/>
    </xf>
    <xf numFmtId="165" fontId="10" fillId="5" borderId="18" xfId="33" applyNumberFormat="1" applyFont="1" applyFill="1" applyBorder="1" applyAlignment="1">
      <alignment vertical="center"/>
    </xf>
    <xf numFmtId="165" fontId="9" fillId="5" borderId="13" xfId="33" applyNumberFormat="1" applyFont="1" applyFill="1" applyBorder="1" applyAlignment="1">
      <alignment vertical="center"/>
    </xf>
    <xf numFmtId="165" fontId="10" fillId="5" borderId="13" xfId="33" applyNumberFormat="1" applyFont="1" applyFill="1" applyBorder="1" applyAlignment="1">
      <alignment vertical="center"/>
    </xf>
    <xf numFmtId="164" fontId="10" fillId="2" borderId="19" xfId="33" applyNumberFormat="1" applyFont="1" applyFill="1" applyBorder="1" applyAlignment="1">
      <alignment horizontal="left" vertical="center"/>
    </xf>
    <xf numFmtId="0" fontId="10" fillId="0" borderId="20" xfId="33" applyFont="1" applyFill="1" applyBorder="1" applyAlignment="1">
      <alignment vertical="center" wrapText="1"/>
    </xf>
    <xf numFmtId="0" fontId="9" fillId="0" borderId="21" xfId="33" applyFont="1" applyFill="1" applyBorder="1" applyAlignment="1">
      <alignment vertical="center"/>
    </xf>
    <xf numFmtId="165" fontId="9" fillId="0" borderId="1" xfId="33" applyNumberFormat="1" applyFont="1" applyFill="1" applyBorder="1" applyAlignment="1">
      <alignment vertical="center"/>
    </xf>
    <xf numFmtId="165" fontId="9" fillId="0" borderId="22" xfId="33" applyNumberFormat="1" applyFont="1" applyFill="1" applyBorder="1" applyAlignment="1">
      <alignment vertical="center"/>
    </xf>
    <xf numFmtId="165" fontId="9" fillId="0" borderId="19" xfId="33" applyNumberFormat="1" applyFont="1" applyFill="1" applyBorder="1" applyAlignment="1">
      <alignment vertical="center"/>
    </xf>
    <xf numFmtId="165" fontId="9" fillId="0" borderId="13" xfId="33" applyNumberFormat="1" applyFont="1" applyFill="1" applyBorder="1" applyAlignment="1">
      <alignment vertical="center"/>
    </xf>
    <xf numFmtId="165" fontId="9" fillId="0" borderId="20" xfId="33" applyNumberFormat="1" applyFont="1" applyFill="1" applyBorder="1" applyAlignment="1">
      <alignment horizontal="center" vertical="center"/>
    </xf>
    <xf numFmtId="165" fontId="9" fillId="0" borderId="19" xfId="33" applyNumberFormat="1" applyFont="1" applyFill="1" applyBorder="1" applyAlignment="1">
      <alignment horizontal="center" vertical="center"/>
    </xf>
    <xf numFmtId="0" fontId="9" fillId="6" borderId="23" xfId="33" applyFont="1" applyFill="1" applyBorder="1" applyAlignment="1">
      <alignment vertical="center" wrapText="1"/>
    </xf>
    <xf numFmtId="0" fontId="9" fillId="0" borderId="21" xfId="33" applyFont="1" applyFill="1" applyBorder="1" applyAlignment="1">
      <alignment horizontal="center" vertical="center"/>
    </xf>
    <xf numFmtId="0" fontId="9" fillId="0" borderId="1" xfId="33" applyFont="1" applyFill="1" applyBorder="1" applyAlignment="1">
      <alignment horizontal="center" vertical="center"/>
    </xf>
    <xf numFmtId="0" fontId="9" fillId="0" borderId="22" xfId="33" applyFont="1" applyFill="1" applyBorder="1" applyAlignment="1">
      <alignment horizontal="center" vertical="center"/>
    </xf>
    <xf numFmtId="165" fontId="1" fillId="0" borderId="19" xfId="33" applyNumberFormat="1" applyFont="1" applyFill="1" applyBorder="1" applyAlignment="1">
      <alignment horizontal="center" vertical="center"/>
    </xf>
    <xf numFmtId="165" fontId="1" fillId="0" borderId="23" xfId="33" applyNumberFormat="1" applyFont="1" applyFill="1" applyBorder="1" applyAlignment="1">
      <alignment vertical="center"/>
    </xf>
    <xf numFmtId="165" fontId="1" fillId="0" borderId="24" xfId="33" applyNumberFormat="1" applyFont="1" applyFill="1" applyBorder="1" applyAlignment="1">
      <alignment vertical="center"/>
    </xf>
    <xf numFmtId="164" fontId="10" fillId="2" borderId="24" xfId="33" applyNumberFormat="1" applyFont="1" applyFill="1" applyBorder="1" applyAlignment="1">
      <alignment horizontal="left" vertical="center"/>
    </xf>
    <xf numFmtId="0" fontId="9" fillId="6" borderId="20" xfId="33" applyFont="1" applyFill="1" applyBorder="1" applyAlignment="1">
      <alignment vertical="center" wrapText="1"/>
    </xf>
    <xf numFmtId="165" fontId="9" fillId="0" borderId="1" xfId="33" applyNumberFormat="1" applyFont="1" applyFill="1" applyBorder="1" applyAlignment="1">
      <alignment horizontal="center" vertical="center"/>
    </xf>
    <xf numFmtId="165" fontId="9" fillId="0" borderId="22" xfId="33" applyNumberFormat="1" applyFont="1" applyFill="1" applyBorder="1" applyAlignment="1">
      <alignment horizontal="center" vertical="center"/>
    </xf>
    <xf numFmtId="165" fontId="1" fillId="0" borderId="20" xfId="33" applyNumberFormat="1" applyFont="1" applyFill="1" applyBorder="1" applyAlignment="1">
      <alignment vertical="center"/>
    </xf>
    <xf numFmtId="165" fontId="1" fillId="0" borderId="19" xfId="33" applyNumberFormat="1" applyFont="1" applyFill="1" applyBorder="1" applyAlignment="1">
      <alignment vertical="center"/>
    </xf>
    <xf numFmtId="0" fontId="9" fillId="6" borderId="20" xfId="33" applyFont="1" applyFill="1" applyBorder="1" applyAlignment="1">
      <alignment horizontal="left" vertical="center" wrapText="1"/>
    </xf>
    <xf numFmtId="2" fontId="10" fillId="2" borderId="19" xfId="33" applyNumberFormat="1" applyFont="1" applyFill="1" applyBorder="1" applyAlignment="1">
      <alignment horizontal="left" vertical="center"/>
    </xf>
    <xf numFmtId="2" fontId="10" fillId="2" borderId="25" xfId="33" applyNumberFormat="1" applyFont="1" applyFill="1" applyBorder="1" applyAlignment="1">
      <alignment horizontal="left" vertical="center"/>
    </xf>
    <xf numFmtId="0" fontId="9" fillId="6" borderId="26" xfId="33" applyFont="1" applyFill="1" applyBorder="1" applyAlignment="1">
      <alignment vertical="center" wrapText="1"/>
    </xf>
    <xf numFmtId="0" fontId="9" fillId="0" borderId="10" xfId="33" applyFont="1" applyFill="1" applyBorder="1" applyAlignment="1">
      <alignment horizontal="center" vertical="center"/>
    </xf>
    <xf numFmtId="165" fontId="9" fillId="0" borderId="11" xfId="33" applyNumberFormat="1" applyFont="1" applyFill="1" applyBorder="1" applyAlignment="1">
      <alignment horizontal="center" vertical="center"/>
    </xf>
    <xf numFmtId="165" fontId="9" fillId="0" borderId="12" xfId="33" applyNumberFormat="1" applyFont="1" applyFill="1" applyBorder="1" applyAlignment="1">
      <alignment horizontal="center" vertical="center"/>
    </xf>
    <xf numFmtId="165" fontId="1" fillId="0" borderId="25" xfId="33" applyNumberFormat="1" applyFont="1" applyFill="1" applyBorder="1" applyAlignment="1">
      <alignment horizontal="center" vertical="center"/>
    </xf>
    <xf numFmtId="165" fontId="1" fillId="0" borderId="26" xfId="33" applyNumberFormat="1" applyFont="1" applyFill="1" applyBorder="1" applyAlignment="1">
      <alignment vertical="center"/>
    </xf>
    <xf numFmtId="165" fontId="1" fillId="0" borderId="25" xfId="33" applyNumberFormat="1" applyFont="1" applyFill="1" applyBorder="1" applyAlignment="1">
      <alignment vertical="center"/>
    </xf>
    <xf numFmtId="2" fontId="10" fillId="3" borderId="27" xfId="33" applyNumberFormat="1" applyFont="1" applyFill="1" applyBorder="1" applyAlignment="1">
      <alignment horizontal="left" vertical="center"/>
    </xf>
    <xf numFmtId="0" fontId="10" fillId="3" borderId="0" xfId="33" applyFont="1" applyFill="1" applyBorder="1" applyAlignment="1">
      <alignment vertical="center"/>
    </xf>
    <xf numFmtId="0" fontId="9" fillId="3" borderId="0" xfId="33" applyFont="1" applyFill="1" applyBorder="1" applyAlignment="1">
      <alignment vertical="center"/>
    </xf>
    <xf numFmtId="165" fontId="9" fillId="3" borderId="0" xfId="33" applyNumberFormat="1" applyFont="1" applyFill="1" applyBorder="1" applyAlignment="1">
      <alignment vertical="center"/>
    </xf>
    <xf numFmtId="165" fontId="9" fillId="3" borderId="28" xfId="33" applyNumberFormat="1" applyFont="1" applyFill="1" applyBorder="1" applyAlignment="1">
      <alignment vertical="center"/>
    </xf>
    <xf numFmtId="2" fontId="10" fillId="2" borderId="13" xfId="33" applyNumberFormat="1" applyFont="1" applyFill="1" applyBorder="1" applyAlignment="1">
      <alignment horizontal="left" vertical="center"/>
    </xf>
    <xf numFmtId="0" fontId="10" fillId="0" borderId="14" xfId="33" applyFont="1" applyFill="1" applyBorder="1" applyAlignment="1">
      <alignment vertical="center" wrapText="1"/>
    </xf>
    <xf numFmtId="0" fontId="9" fillId="0" borderId="15" xfId="33" applyFont="1" applyFill="1" applyBorder="1" applyAlignment="1">
      <alignment vertical="center"/>
    </xf>
    <xf numFmtId="165" fontId="9" fillId="0" borderId="16" xfId="33" applyNumberFormat="1" applyFont="1" applyFill="1" applyBorder="1" applyAlignment="1">
      <alignment vertical="center"/>
    </xf>
    <xf numFmtId="165" fontId="9" fillId="0" borderId="17" xfId="33" applyNumberFormat="1" applyFont="1" applyFill="1" applyBorder="1" applyAlignment="1">
      <alignment vertical="center"/>
    </xf>
    <xf numFmtId="165" fontId="9" fillId="0" borderId="14" xfId="33" applyNumberFormat="1" applyFont="1" applyFill="1" applyBorder="1" applyAlignment="1">
      <alignment vertical="center"/>
    </xf>
    <xf numFmtId="165" fontId="9" fillId="0" borderId="29" xfId="33" applyNumberFormat="1" applyFont="1" applyFill="1" applyBorder="1" applyAlignment="1">
      <alignment vertical="center"/>
    </xf>
    <xf numFmtId="0" fontId="9" fillId="7" borderId="20" xfId="33" applyFont="1" applyFill="1" applyBorder="1" applyAlignment="1">
      <alignment vertical="center" wrapText="1"/>
    </xf>
    <xf numFmtId="0" fontId="9" fillId="2" borderId="21" xfId="33" applyFont="1" applyFill="1" applyBorder="1" applyAlignment="1">
      <alignment vertical="center"/>
    </xf>
    <xf numFmtId="165" fontId="10" fillId="0" borderId="30" xfId="33" applyNumberFormat="1" applyFont="1" applyFill="1" applyBorder="1" applyAlignment="1">
      <alignment vertical="center"/>
    </xf>
    <xf numFmtId="165" fontId="10" fillId="0" borderId="19" xfId="33" applyNumberFormat="1" applyFont="1" applyFill="1" applyBorder="1" applyAlignment="1">
      <alignment vertical="center"/>
    </xf>
    <xf numFmtId="0" fontId="9" fillId="7" borderId="26" xfId="33" applyFont="1" applyFill="1" applyBorder="1" applyAlignment="1">
      <alignment vertical="center" wrapText="1"/>
    </xf>
    <xf numFmtId="0" fontId="9" fillId="2" borderId="10" xfId="33" applyFont="1" applyFill="1" applyBorder="1" applyAlignment="1">
      <alignment vertical="center"/>
    </xf>
    <xf numFmtId="165" fontId="10" fillId="0" borderId="11" xfId="33" applyNumberFormat="1" applyFont="1" applyFill="1" applyBorder="1" applyAlignment="1">
      <alignment horizontal="center" vertical="center"/>
    </xf>
    <xf numFmtId="165" fontId="10" fillId="2" borderId="12" xfId="33" applyNumberFormat="1" applyFont="1" applyFill="1" applyBorder="1" applyAlignment="1">
      <alignment vertical="center"/>
    </xf>
    <xf numFmtId="165" fontId="10" fillId="2" borderId="26" xfId="33" applyNumberFormat="1" applyFont="1" applyFill="1" applyBorder="1" applyAlignment="1">
      <alignment vertical="center"/>
    </xf>
    <xf numFmtId="165" fontId="10" fillId="2" borderId="25" xfId="33" applyNumberFormat="1" applyFont="1" applyFill="1" applyBorder="1" applyAlignment="1">
      <alignment vertical="center"/>
    </xf>
    <xf numFmtId="165" fontId="10" fillId="2" borderId="31" xfId="33" applyNumberFormat="1" applyFont="1" applyFill="1" applyBorder="1" applyAlignment="1">
      <alignment vertical="center"/>
    </xf>
    <xf numFmtId="2" fontId="10" fillId="2" borderId="0" xfId="33" applyNumberFormat="1" applyFont="1" applyFill="1" applyBorder="1" applyAlignment="1">
      <alignment horizontal="left" vertical="center"/>
    </xf>
    <xf numFmtId="0" fontId="9" fillId="2" borderId="0" xfId="33" applyFont="1" applyFill="1" applyBorder="1" applyAlignment="1">
      <alignment vertical="center" wrapText="1"/>
    </xf>
    <xf numFmtId="165" fontId="10" fillId="2" borderId="0" xfId="33" applyNumberFormat="1" applyFont="1" applyFill="1" applyBorder="1" applyAlignment="1">
      <alignment vertical="center"/>
    </xf>
    <xf numFmtId="165" fontId="10" fillId="2" borderId="0" xfId="33" applyNumberFormat="1" applyFont="1" applyFill="1" applyBorder="1" applyAlignment="1">
      <alignment horizontal="center" vertical="center"/>
    </xf>
    <xf numFmtId="165" fontId="10" fillId="0" borderId="0" xfId="33" applyNumberFormat="1" applyFont="1" applyFill="1" applyBorder="1" applyAlignment="1">
      <alignment vertical="center"/>
    </xf>
    <xf numFmtId="0" fontId="10" fillId="4" borderId="32" xfId="33" applyFont="1" applyFill="1" applyBorder="1" applyAlignment="1">
      <alignment horizontal="center" vertical="center"/>
    </xf>
    <xf numFmtId="17" fontId="10" fillId="4" borderId="2" xfId="33" applyNumberFormat="1" applyFont="1" applyFill="1" applyBorder="1" applyAlignment="1">
      <alignment horizontal="center" vertical="center"/>
    </xf>
    <xf numFmtId="0" fontId="10" fillId="4" borderId="2" xfId="33" applyFont="1" applyFill="1" applyBorder="1" applyAlignment="1">
      <alignment horizontal="center" vertical="center"/>
    </xf>
    <xf numFmtId="0" fontId="10" fillId="4" borderId="33" xfId="33" applyFont="1" applyFill="1" applyBorder="1" applyAlignment="1">
      <alignment horizontal="center" vertical="center"/>
    </xf>
    <xf numFmtId="0" fontId="9" fillId="0" borderId="13" xfId="33" applyFont="1" applyFill="1" applyBorder="1" applyAlignment="1">
      <alignment vertical="center"/>
    </xf>
    <xf numFmtId="0" fontId="10" fillId="0" borderId="15" xfId="33" applyFont="1" applyFill="1" applyBorder="1" applyAlignment="1">
      <alignment horizontal="center" vertical="center"/>
    </xf>
    <xf numFmtId="0" fontId="9" fillId="0" borderId="16" xfId="33" applyFont="1" applyFill="1" applyBorder="1" applyAlignment="1">
      <alignment horizontal="center" vertical="center"/>
    </xf>
    <xf numFmtId="0" fontId="9" fillId="0" borderId="16" xfId="33" applyFont="1" applyBorder="1" applyAlignment="1">
      <alignment horizontal="center" vertical="center"/>
    </xf>
    <xf numFmtId="0" fontId="9" fillId="0" borderId="17" xfId="33" applyFont="1" applyBorder="1" applyAlignment="1">
      <alignment horizontal="center" vertical="center"/>
    </xf>
    <xf numFmtId="0" fontId="10" fillId="0" borderId="13" xfId="33" applyFont="1" applyBorder="1" applyAlignment="1">
      <alignment horizontal="center" vertical="center"/>
    </xf>
    <xf numFmtId="0" fontId="9" fillId="0" borderId="13" xfId="33" applyFont="1" applyBorder="1" applyAlignment="1">
      <alignment horizontal="center" vertical="center"/>
    </xf>
    <xf numFmtId="0" fontId="9" fillId="0" borderId="19" xfId="33" applyFont="1" applyFill="1" applyBorder="1" applyAlignment="1">
      <alignment vertical="center"/>
    </xf>
    <xf numFmtId="0" fontId="10" fillId="0" borderId="21" xfId="33" applyFont="1" applyFill="1" applyBorder="1" applyAlignment="1">
      <alignment horizontal="center" vertical="center"/>
    </xf>
    <xf numFmtId="0" fontId="9" fillId="0" borderId="1" xfId="33" applyFont="1" applyBorder="1" applyAlignment="1">
      <alignment horizontal="center" vertical="center"/>
    </xf>
    <xf numFmtId="0" fontId="9" fillId="0" borderId="22" xfId="33" applyFont="1" applyBorder="1" applyAlignment="1">
      <alignment horizontal="center" vertical="center"/>
    </xf>
    <xf numFmtId="0" fontId="10" fillId="0" borderId="19" xfId="33" applyFont="1" applyBorder="1" applyAlignment="1">
      <alignment horizontal="center" vertical="center"/>
    </xf>
    <xf numFmtId="0" fontId="9" fillId="0" borderId="19" xfId="33" applyFont="1" applyBorder="1" applyAlignment="1">
      <alignment horizontal="center" vertical="center"/>
    </xf>
    <xf numFmtId="0" fontId="10" fillId="0" borderId="1" xfId="33" applyFont="1" applyFill="1" applyBorder="1" applyAlignment="1">
      <alignment horizontal="center" vertical="center"/>
    </xf>
    <xf numFmtId="0" fontId="9" fillId="0" borderId="19" xfId="33" applyFont="1" applyFill="1" applyBorder="1" applyAlignment="1">
      <alignment horizontal="left" vertical="center" wrapText="1"/>
    </xf>
    <xf numFmtId="0" fontId="10" fillId="5" borderId="21" xfId="33" applyFont="1" applyFill="1" applyBorder="1" applyAlignment="1">
      <alignment horizontal="center" vertical="center"/>
    </xf>
    <xf numFmtId="0" fontId="10" fillId="5" borderId="1" xfId="33" applyFont="1" applyFill="1" applyBorder="1" applyAlignment="1">
      <alignment vertical="center"/>
    </xf>
    <xf numFmtId="0" fontId="9" fillId="0" borderId="1" xfId="33" applyFont="1" applyFill="1" applyBorder="1" applyAlignment="1">
      <alignment vertical="center"/>
    </xf>
    <xf numFmtId="0" fontId="9" fillId="0" borderId="1" xfId="33" applyFont="1" applyBorder="1" applyAlignment="1">
      <alignment vertical="center"/>
    </xf>
    <xf numFmtId="0" fontId="9" fillId="0" borderId="22" xfId="33" applyFont="1" applyBorder="1" applyAlignment="1">
      <alignment vertical="center"/>
    </xf>
    <xf numFmtId="0" fontId="10" fillId="0" borderId="19" xfId="33" applyFont="1" applyBorder="1" applyAlignment="1">
      <alignment vertical="center"/>
    </xf>
    <xf numFmtId="0" fontId="9" fillId="0" borderId="19" xfId="33" applyFont="1" applyBorder="1" applyAlignment="1">
      <alignment vertical="center"/>
    </xf>
    <xf numFmtId="0" fontId="9" fillId="2" borderId="19" xfId="33" applyFont="1" applyFill="1" applyBorder="1" applyAlignment="1">
      <alignment horizontal="left" vertical="center" wrapText="1"/>
    </xf>
    <xf numFmtId="0" fontId="9" fillId="2" borderId="19" xfId="33" applyFont="1" applyFill="1" applyBorder="1" applyAlignment="1">
      <alignment vertical="center" wrapText="1"/>
    </xf>
    <xf numFmtId="165" fontId="9" fillId="0" borderId="21" xfId="33" applyNumberFormat="1" applyFont="1" applyFill="1" applyBorder="1" applyAlignment="1">
      <alignment horizontal="center" vertical="center"/>
    </xf>
    <xf numFmtId="165" fontId="10" fillId="0" borderId="19" xfId="33" applyNumberFormat="1" applyFont="1" applyBorder="1" applyAlignment="1">
      <alignment horizontal="center" vertical="center"/>
    </xf>
    <xf numFmtId="0" fontId="9" fillId="0" borderId="19" xfId="33" applyFont="1" applyFill="1" applyBorder="1" applyAlignment="1">
      <alignment horizontal="center" vertical="center"/>
    </xf>
    <xf numFmtId="164" fontId="10" fillId="2" borderId="25" xfId="33" applyNumberFormat="1" applyFont="1" applyFill="1" applyBorder="1" applyAlignment="1">
      <alignment horizontal="left" vertical="center"/>
    </xf>
    <xf numFmtId="0" fontId="9" fillId="0" borderId="25" xfId="33" applyFont="1" applyFill="1" applyBorder="1" applyAlignment="1">
      <alignment vertical="center" wrapText="1"/>
    </xf>
    <xf numFmtId="165" fontId="10" fillId="5" borderId="10" xfId="33" applyNumberFormat="1" applyFont="1" applyFill="1" applyBorder="1" applyAlignment="1">
      <alignment horizontal="center" vertical="center"/>
    </xf>
    <xf numFmtId="0" fontId="9" fillId="5" borderId="11" xfId="33" applyFont="1" applyFill="1" applyBorder="1" applyAlignment="1">
      <alignment vertical="center"/>
    </xf>
    <xf numFmtId="0" fontId="9" fillId="0" borderId="25" xfId="33" applyFont="1" applyBorder="1" applyAlignment="1">
      <alignment vertical="center"/>
    </xf>
    <xf numFmtId="2" fontId="10" fillId="2" borderId="34" xfId="33" applyNumberFormat="1" applyFont="1" applyFill="1" applyBorder="1" applyAlignment="1">
      <alignment horizontal="left" vertical="center"/>
    </xf>
    <xf numFmtId="0" fontId="11" fillId="2" borderId="34" xfId="33" applyFont="1" applyFill="1" applyBorder="1" applyAlignment="1">
      <alignment horizontal="left" vertical="center" wrapText="1"/>
    </xf>
    <xf numFmtId="0" fontId="10" fillId="0" borderId="23" xfId="33" applyFont="1" applyFill="1" applyBorder="1" applyAlignment="1">
      <alignment horizontal="center" vertical="center"/>
    </xf>
    <xf numFmtId="0" fontId="10" fillId="0" borderId="23" xfId="33" applyFont="1" applyFill="1" applyBorder="1" applyAlignment="1">
      <alignment vertical="center"/>
    </xf>
    <xf numFmtId="0" fontId="10" fillId="0" borderId="0" xfId="33" applyFont="1" applyFill="1" applyBorder="1" applyAlignment="1">
      <alignment vertical="center"/>
    </xf>
    <xf numFmtId="0" fontId="10" fillId="0" borderId="0" xfId="33" applyFont="1" applyFill="1" applyBorder="1" applyAlignment="1">
      <alignment horizontal="center" vertical="center"/>
    </xf>
    <xf numFmtId="0" fontId="2" fillId="0" borderId="0" xfId="33" applyFont="1" applyBorder="1" applyAlignment="1"/>
    <xf numFmtId="0" fontId="10" fillId="3" borderId="32" xfId="33" applyFont="1" applyFill="1" applyBorder="1" applyAlignment="1">
      <alignment horizontal="center" vertical="center"/>
    </xf>
    <xf numFmtId="17" fontId="10" fillId="3" borderId="2" xfId="33" applyNumberFormat="1" applyFont="1" applyFill="1" applyBorder="1" applyAlignment="1">
      <alignment horizontal="center" vertical="center"/>
    </xf>
    <xf numFmtId="0" fontId="10" fillId="3" borderId="2" xfId="33" applyFont="1" applyFill="1" applyBorder="1" applyAlignment="1">
      <alignment horizontal="center" vertical="center"/>
    </xf>
    <xf numFmtId="0" fontId="10" fillId="3" borderId="35" xfId="33" applyFont="1" applyFill="1" applyBorder="1" applyAlignment="1">
      <alignment horizontal="center" vertical="center"/>
    </xf>
    <xf numFmtId="164" fontId="10" fillId="2" borderId="36" xfId="33" applyNumberFormat="1" applyFont="1" applyFill="1" applyBorder="1" applyAlignment="1">
      <alignment horizontal="left" vertical="center"/>
    </xf>
    <xf numFmtId="0" fontId="9" fillId="0" borderId="36" xfId="33" applyFont="1" applyFill="1" applyBorder="1" applyAlignment="1">
      <alignment vertical="center"/>
    </xf>
    <xf numFmtId="165" fontId="9" fillId="0" borderId="15" xfId="33" applyNumberFormat="1" applyFont="1" applyFill="1" applyBorder="1" applyAlignment="1">
      <alignment horizontal="center" vertical="center"/>
    </xf>
    <xf numFmtId="165" fontId="9" fillId="0" borderId="16" xfId="33" applyNumberFormat="1" applyFont="1" applyFill="1" applyBorder="1" applyAlignment="1">
      <alignment horizontal="center" vertical="center"/>
    </xf>
    <xf numFmtId="0" fontId="9" fillId="0" borderId="37" xfId="33" applyFont="1" applyBorder="1" applyAlignment="1">
      <alignment horizontal="center" vertical="center"/>
    </xf>
    <xf numFmtId="165" fontId="9" fillId="0" borderId="38" xfId="33" applyNumberFormat="1" applyFont="1" applyFill="1" applyBorder="1" applyAlignment="1">
      <alignment horizontal="center" vertical="center"/>
    </xf>
    <xf numFmtId="165" fontId="9" fillId="0" borderId="4" xfId="33" applyNumberFormat="1" applyFont="1" applyFill="1" applyBorder="1" applyAlignment="1">
      <alignment horizontal="center" vertical="center"/>
    </xf>
    <xf numFmtId="0" fontId="9" fillId="0" borderId="4" xfId="33" applyFont="1" applyBorder="1" applyAlignment="1">
      <alignment horizontal="center" vertical="center"/>
    </xf>
    <xf numFmtId="0" fontId="9" fillId="0" borderId="39" xfId="33" applyFont="1" applyBorder="1" applyAlignment="1">
      <alignment horizontal="center" vertical="center"/>
    </xf>
    <xf numFmtId="0" fontId="9" fillId="0" borderId="24" xfId="33" applyFont="1" applyBorder="1" applyAlignment="1">
      <alignment horizontal="center" vertical="center"/>
    </xf>
    <xf numFmtId="164" fontId="10" fillId="2" borderId="30" xfId="33" applyNumberFormat="1" applyFont="1" applyFill="1" applyBorder="1" applyAlignment="1">
      <alignment horizontal="left" vertical="center"/>
    </xf>
    <xf numFmtId="0" fontId="9" fillId="0" borderId="30" xfId="33" applyFont="1" applyFill="1" applyBorder="1" applyAlignment="1">
      <alignment vertical="center"/>
    </xf>
    <xf numFmtId="0" fontId="9" fillId="0" borderId="40" xfId="33" applyFont="1" applyBorder="1" applyAlignment="1">
      <alignment horizontal="center" vertical="center"/>
    </xf>
    <xf numFmtId="165" fontId="9" fillId="5" borderId="21" xfId="33" applyNumberFormat="1" applyFont="1" applyFill="1" applyBorder="1" applyAlignment="1">
      <alignment horizontal="center" vertical="center"/>
    </xf>
    <xf numFmtId="165" fontId="9" fillId="5" borderId="1" xfId="33" applyNumberFormat="1" applyFont="1" applyFill="1" applyBorder="1" applyAlignment="1">
      <alignment horizontal="center" vertical="center"/>
    </xf>
    <xf numFmtId="0" fontId="9" fillId="5" borderId="1" xfId="33" applyFont="1" applyFill="1" applyBorder="1" applyAlignment="1">
      <alignment horizontal="center" vertical="center"/>
    </xf>
    <xf numFmtId="0" fontId="9" fillId="5" borderId="40" xfId="33" applyFont="1" applyFill="1" applyBorder="1" applyAlignment="1">
      <alignment horizontal="center" vertical="center"/>
    </xf>
    <xf numFmtId="165" fontId="9" fillId="5" borderId="32" xfId="33" applyNumberFormat="1" applyFont="1" applyFill="1" applyBorder="1" applyAlignment="1">
      <alignment horizontal="center" vertical="center"/>
    </xf>
    <xf numFmtId="165" fontId="9" fillId="5" borderId="2" xfId="33" applyNumberFormat="1" applyFont="1" applyFill="1" applyBorder="1" applyAlignment="1">
      <alignment horizontal="center" vertical="center"/>
    </xf>
    <xf numFmtId="2" fontId="10" fillId="2" borderId="41" xfId="33" applyNumberFormat="1" applyFont="1" applyFill="1" applyBorder="1" applyAlignment="1">
      <alignment horizontal="left" vertical="center"/>
    </xf>
    <xf numFmtId="0" fontId="9" fillId="0" borderId="42" xfId="33" applyFont="1" applyFill="1" applyBorder="1" applyAlignment="1">
      <alignment vertical="center"/>
    </xf>
    <xf numFmtId="165" fontId="10" fillId="3" borderId="41" xfId="33" applyNumberFormat="1" applyFont="1" applyFill="1" applyBorder="1" applyAlignment="1">
      <alignment horizontal="center" vertical="center"/>
    </xf>
    <xf numFmtId="165" fontId="10" fillId="3" borderId="43" xfId="33" applyNumberFormat="1" applyFont="1" applyFill="1" applyBorder="1" applyAlignment="1">
      <alignment horizontal="center" vertical="center"/>
    </xf>
    <xf numFmtId="164" fontId="10" fillId="2" borderId="29" xfId="33" applyNumberFormat="1" applyFont="1" applyFill="1" applyBorder="1" applyAlignment="1">
      <alignment horizontal="left" vertical="center"/>
    </xf>
    <xf numFmtId="165" fontId="10" fillId="0" borderId="14" xfId="33" applyNumberFormat="1" applyFont="1" applyFill="1" applyBorder="1" applyAlignment="1">
      <alignment horizontal="center" vertical="center"/>
    </xf>
    <xf numFmtId="165" fontId="10" fillId="0" borderId="13" xfId="33" applyNumberFormat="1" applyFont="1" applyFill="1" applyBorder="1" applyAlignment="1">
      <alignment horizontal="center" vertical="center"/>
    </xf>
    <xf numFmtId="165" fontId="10" fillId="0" borderId="23" xfId="33" applyNumberFormat="1" applyFont="1" applyFill="1" applyBorder="1" applyAlignment="1">
      <alignment horizontal="center" vertical="center"/>
    </xf>
    <xf numFmtId="165" fontId="10" fillId="0" borderId="24" xfId="33" applyNumberFormat="1" applyFont="1" applyFill="1" applyBorder="1" applyAlignment="1">
      <alignment horizontal="center" vertical="center"/>
    </xf>
    <xf numFmtId="165" fontId="10" fillId="0" borderId="20" xfId="33" applyNumberFormat="1" applyFont="1" applyFill="1" applyBorder="1" applyAlignment="1">
      <alignment horizontal="center" vertical="center"/>
    </xf>
    <xf numFmtId="165" fontId="10" fillId="0" borderId="19" xfId="33" applyNumberFormat="1" applyFont="1" applyFill="1" applyBorder="1" applyAlignment="1">
      <alignment horizontal="center" vertical="center"/>
    </xf>
    <xf numFmtId="2" fontId="10" fillId="2" borderId="30" xfId="33" applyNumberFormat="1" applyFont="1" applyFill="1" applyBorder="1" applyAlignment="1">
      <alignment horizontal="left" vertical="center"/>
    </xf>
    <xf numFmtId="165" fontId="10" fillId="5" borderId="19" xfId="33" applyNumberFormat="1" applyFont="1" applyFill="1" applyBorder="1" applyAlignment="1">
      <alignment horizontal="center" vertical="center"/>
    </xf>
    <xf numFmtId="0" fontId="9" fillId="0" borderId="0" xfId="33" applyFont="1" applyFill="1" applyBorder="1" applyAlignment="1">
      <alignment vertical="center"/>
    </xf>
    <xf numFmtId="0" fontId="9" fillId="0" borderId="19" xfId="33" applyFont="1" applyFill="1" applyBorder="1" applyAlignment="1">
      <alignment vertical="center" wrapText="1"/>
    </xf>
    <xf numFmtId="165" fontId="9" fillId="0" borderId="20" xfId="33" applyNumberFormat="1" applyFont="1" applyFill="1" applyBorder="1" applyAlignment="1">
      <alignment vertical="center"/>
    </xf>
    <xf numFmtId="2" fontId="10" fillId="2" borderId="31" xfId="33" applyNumberFormat="1" applyFont="1" applyFill="1" applyBorder="1" applyAlignment="1">
      <alignment horizontal="left" vertical="center"/>
    </xf>
    <xf numFmtId="0" fontId="9" fillId="2" borderId="25" xfId="33" applyFont="1" applyFill="1" applyBorder="1" applyAlignment="1">
      <alignment horizontal="left" vertical="center" wrapText="1"/>
    </xf>
    <xf numFmtId="165" fontId="10" fillId="0" borderId="26" xfId="33" applyNumberFormat="1" applyFont="1" applyFill="1" applyBorder="1" applyAlignment="1">
      <alignment horizontal="center" vertical="center"/>
    </xf>
    <xf numFmtId="0" fontId="12" fillId="2" borderId="0" xfId="33" applyFont="1" applyFill="1" applyBorder="1" applyAlignment="1">
      <alignment vertical="center"/>
    </xf>
    <xf numFmtId="17" fontId="10" fillId="8" borderId="44" xfId="33" applyNumberFormat="1" applyFont="1" applyFill="1" applyBorder="1" applyAlignment="1">
      <alignment horizontal="center" vertical="center"/>
    </xf>
    <xf numFmtId="0" fontId="10" fillId="8" borderId="45" xfId="33" applyFont="1" applyFill="1" applyBorder="1" applyAlignment="1">
      <alignment horizontal="center" vertical="center"/>
    </xf>
    <xf numFmtId="164" fontId="10" fillId="0" borderId="13" xfId="33" applyNumberFormat="1" applyFont="1" applyFill="1" applyBorder="1" applyAlignment="1">
      <alignment horizontal="left" vertical="center"/>
    </xf>
    <xf numFmtId="0" fontId="9" fillId="0" borderId="29" xfId="33" applyFont="1" applyFill="1" applyBorder="1" applyAlignment="1">
      <alignment vertical="center"/>
    </xf>
    <xf numFmtId="165" fontId="10" fillId="0" borderId="15" xfId="33" applyNumberFormat="1" applyFont="1" applyFill="1" applyBorder="1" applyAlignment="1">
      <alignment horizontal="center" vertical="center"/>
    </xf>
    <xf numFmtId="165" fontId="10" fillId="0" borderId="16" xfId="33" applyNumberFormat="1" applyFont="1" applyFill="1" applyBorder="1" applyAlignment="1">
      <alignment horizontal="center" vertical="center"/>
    </xf>
    <xf numFmtId="0" fontId="9" fillId="0" borderId="13" xfId="33" applyFont="1" applyBorder="1" applyAlignment="1">
      <alignment vertical="center"/>
    </xf>
    <xf numFmtId="164" fontId="10" fillId="0" borderId="46" xfId="33" applyNumberFormat="1" applyFont="1" applyFill="1" applyBorder="1" applyAlignment="1">
      <alignment horizontal="left" vertical="center"/>
    </xf>
    <xf numFmtId="0" fontId="9" fillId="0" borderId="47" xfId="33" applyFont="1" applyFill="1" applyBorder="1" applyAlignment="1">
      <alignment vertical="center" wrapText="1"/>
    </xf>
    <xf numFmtId="165" fontId="9" fillId="0" borderId="32" xfId="33" applyNumberFormat="1" applyFont="1" applyFill="1" applyBorder="1" applyAlignment="1">
      <alignment vertical="center"/>
    </xf>
    <xf numFmtId="165" fontId="10" fillId="0" borderId="2" xfId="33" applyNumberFormat="1" applyFont="1" applyFill="1" applyBorder="1" applyAlignment="1">
      <alignment horizontal="center" vertical="center"/>
    </xf>
    <xf numFmtId="0" fontId="9" fillId="0" borderId="46" xfId="33" applyFont="1" applyBorder="1" applyAlignment="1">
      <alignment vertical="center"/>
    </xf>
    <xf numFmtId="164" fontId="10" fillId="0" borderId="25" xfId="33" applyNumberFormat="1" applyFont="1" applyFill="1" applyBorder="1" applyAlignment="1">
      <alignment horizontal="left" vertical="center"/>
    </xf>
    <xf numFmtId="0" fontId="9" fillId="0" borderId="31" xfId="33" applyFont="1" applyFill="1" applyBorder="1" applyAlignment="1">
      <alignment vertical="center"/>
    </xf>
    <xf numFmtId="165" fontId="9" fillId="0" borderId="10" xfId="33" applyNumberFormat="1" applyFont="1" applyFill="1" applyBorder="1" applyAlignment="1">
      <alignment vertical="center"/>
    </xf>
    <xf numFmtId="17" fontId="10" fillId="8" borderId="5" xfId="33" applyNumberFormat="1" applyFont="1" applyFill="1" applyBorder="1" applyAlignment="1">
      <alignment horizontal="center" vertical="center"/>
    </xf>
    <xf numFmtId="0" fontId="10" fillId="8" borderId="6" xfId="33" applyFont="1" applyFill="1" applyBorder="1" applyAlignment="1">
      <alignment horizontal="center" vertical="center"/>
    </xf>
    <xf numFmtId="164" fontId="10" fillId="0" borderId="36" xfId="33" applyNumberFormat="1" applyFont="1" applyFill="1" applyBorder="1" applyAlignment="1">
      <alignment horizontal="left" vertical="center"/>
    </xf>
    <xf numFmtId="0" fontId="9" fillId="0" borderId="48" xfId="33" applyFont="1" applyFill="1" applyBorder="1" applyAlignment="1">
      <alignment vertical="center"/>
    </xf>
    <xf numFmtId="165" fontId="9" fillId="0" borderId="4" xfId="33" applyNumberFormat="1" applyFont="1" applyFill="1" applyBorder="1" applyAlignment="1">
      <alignment vertical="center"/>
    </xf>
    <xf numFmtId="165" fontId="10" fillId="0" borderId="4" xfId="33" applyNumberFormat="1" applyFont="1" applyFill="1" applyBorder="1" applyAlignment="1">
      <alignment horizontal="center" vertical="center"/>
    </xf>
    <xf numFmtId="0" fontId="10" fillId="0" borderId="49" xfId="33" applyFont="1" applyFill="1" applyBorder="1" applyAlignment="1">
      <alignment horizontal="center" vertical="center"/>
    </xf>
    <xf numFmtId="0" fontId="9" fillId="5" borderId="49" xfId="33" applyFont="1" applyFill="1" applyBorder="1" applyAlignment="1">
      <alignment vertical="center"/>
    </xf>
    <xf numFmtId="0" fontId="9" fillId="0" borderId="50" xfId="33" applyFont="1" applyFill="1" applyBorder="1" applyAlignment="1">
      <alignment vertical="center"/>
    </xf>
    <xf numFmtId="165" fontId="10" fillId="0" borderId="1" xfId="33" applyNumberFormat="1" applyFont="1" applyFill="1" applyBorder="1" applyAlignment="1">
      <alignment horizontal="center" vertical="center"/>
    </xf>
    <xf numFmtId="0" fontId="10" fillId="0" borderId="51" xfId="33" applyFont="1" applyFill="1" applyBorder="1" applyAlignment="1">
      <alignment horizontal="center" vertical="center"/>
    </xf>
    <xf numFmtId="0" fontId="9" fillId="0" borderId="51" xfId="33" applyFont="1" applyBorder="1" applyAlignment="1">
      <alignment vertical="center"/>
    </xf>
    <xf numFmtId="164" fontId="10" fillId="0" borderId="30" xfId="33" applyNumberFormat="1" applyFont="1" applyFill="1" applyBorder="1" applyAlignment="1">
      <alignment horizontal="left" vertical="center"/>
    </xf>
    <xf numFmtId="165" fontId="10" fillId="0" borderId="1" xfId="33" applyNumberFormat="1" applyFont="1" applyFill="1" applyBorder="1" applyAlignment="1">
      <alignment vertical="center"/>
    </xf>
    <xf numFmtId="0" fontId="9" fillId="5" borderId="51" xfId="33" applyFont="1" applyFill="1" applyBorder="1" applyAlignment="1">
      <alignment vertical="center"/>
    </xf>
    <xf numFmtId="164" fontId="10" fillId="0" borderId="47" xfId="33" applyNumberFormat="1" applyFont="1" applyFill="1" applyBorder="1" applyAlignment="1">
      <alignment horizontal="left" vertical="center"/>
    </xf>
    <xf numFmtId="164" fontId="10" fillId="0" borderId="31" xfId="33" applyNumberFormat="1" applyFont="1" applyFill="1" applyBorder="1" applyAlignment="1">
      <alignment horizontal="left" vertical="center"/>
    </xf>
    <xf numFmtId="0" fontId="9" fillId="0" borderId="25" xfId="33" applyFont="1" applyFill="1" applyBorder="1" applyAlignment="1">
      <alignment vertical="center"/>
    </xf>
    <xf numFmtId="0" fontId="9" fillId="5" borderId="52" xfId="33" applyFont="1" applyFill="1" applyBorder="1" applyAlignment="1">
      <alignment vertical="center"/>
    </xf>
    <xf numFmtId="0" fontId="9" fillId="0" borderId="52" xfId="33" applyFont="1" applyFill="1" applyBorder="1" applyAlignment="1">
      <alignment vertical="center"/>
    </xf>
    <xf numFmtId="0" fontId="9" fillId="0" borderId="52" xfId="33" applyFont="1" applyBorder="1" applyAlignment="1">
      <alignment vertical="center"/>
    </xf>
    <xf numFmtId="0" fontId="10" fillId="8" borderId="53" xfId="33" applyFont="1" applyFill="1" applyBorder="1" applyAlignment="1">
      <alignment horizontal="center" vertical="center"/>
    </xf>
    <xf numFmtId="0" fontId="9" fillId="0" borderId="13" xfId="33" applyFont="1" applyFill="1" applyBorder="1" applyAlignment="1">
      <alignment vertical="center" wrapText="1"/>
    </xf>
    <xf numFmtId="165" fontId="9" fillId="0" borderId="13" xfId="33" applyNumberFormat="1" applyFont="1" applyFill="1" applyBorder="1" applyAlignment="1">
      <alignment horizontal="center" vertical="center"/>
    </xf>
    <xf numFmtId="164" fontId="10" fillId="0" borderId="19" xfId="33" applyNumberFormat="1" applyFont="1" applyFill="1" applyBorder="1" applyAlignment="1">
      <alignment horizontal="left" vertical="center"/>
    </xf>
    <xf numFmtId="165" fontId="9" fillId="0" borderId="21" xfId="33" applyNumberFormat="1" applyFont="1" applyFill="1" applyBorder="1" applyAlignment="1">
      <alignment horizontal="center" vertical="center" wrapText="1"/>
    </xf>
    <xf numFmtId="0" fontId="10" fillId="0" borderId="19" xfId="33" applyFont="1" applyFill="1" applyBorder="1" applyAlignment="1">
      <alignment vertical="center" wrapText="1"/>
    </xf>
    <xf numFmtId="2" fontId="10" fillId="0" borderId="19" xfId="33" applyNumberFormat="1" applyFont="1" applyFill="1" applyBorder="1" applyAlignment="1">
      <alignment horizontal="left" vertical="center"/>
    </xf>
    <xf numFmtId="165" fontId="10" fillId="0" borderId="21" xfId="33" applyNumberFormat="1" applyFont="1" applyFill="1" applyBorder="1" applyAlignment="1">
      <alignment horizontal="center" vertical="center"/>
    </xf>
    <xf numFmtId="2" fontId="10" fillId="0" borderId="25" xfId="33" applyNumberFormat="1" applyFont="1" applyFill="1" applyBorder="1" applyAlignment="1">
      <alignment horizontal="left" vertical="center"/>
    </xf>
    <xf numFmtId="165" fontId="10" fillId="0" borderId="10" xfId="33" applyNumberFormat="1" applyFont="1" applyFill="1" applyBorder="1" applyAlignment="1">
      <alignment horizontal="center" vertical="center"/>
    </xf>
    <xf numFmtId="165" fontId="10" fillId="0" borderId="25" xfId="33" applyNumberFormat="1" applyFont="1" applyFill="1" applyBorder="1" applyAlignment="1">
      <alignment horizontal="center" vertical="center"/>
    </xf>
    <xf numFmtId="164" fontId="10" fillId="0" borderId="0" xfId="33" applyNumberFormat="1" applyFont="1" applyFill="1" applyBorder="1" applyAlignment="1">
      <alignment horizontal="left" vertical="center"/>
    </xf>
    <xf numFmtId="0" fontId="9" fillId="0" borderId="0" xfId="33" applyFont="1" applyFill="1" applyBorder="1" applyAlignment="1">
      <alignment vertical="center" wrapText="1"/>
    </xf>
    <xf numFmtId="0" fontId="9" fillId="0" borderId="49" xfId="33" applyFont="1" applyFill="1" applyBorder="1" applyAlignment="1">
      <alignment vertical="center" wrapText="1"/>
    </xf>
    <xf numFmtId="165" fontId="9" fillId="0" borderId="13" xfId="33" applyNumberFormat="1" applyFont="1" applyBorder="1" applyAlignment="1">
      <alignment horizontal="center" vertical="center"/>
    </xf>
    <xf numFmtId="0" fontId="9" fillId="0" borderId="51" xfId="33" applyFont="1" applyFill="1" applyBorder="1" applyAlignment="1">
      <alignment vertical="center" wrapText="1"/>
    </xf>
    <xf numFmtId="0" fontId="9" fillId="0" borderId="51" xfId="33" applyFont="1" applyFill="1" applyBorder="1" applyAlignment="1">
      <alignment horizontal="left" vertical="center" wrapText="1"/>
    </xf>
    <xf numFmtId="0" fontId="9" fillId="0" borderId="51" xfId="33" applyFont="1" applyFill="1" applyBorder="1" applyAlignment="1">
      <alignment vertical="center"/>
    </xf>
    <xf numFmtId="0" fontId="9" fillId="0" borderId="52" xfId="33" applyFont="1" applyFill="1" applyBorder="1" applyAlignment="1">
      <alignment vertical="center" wrapText="1"/>
    </xf>
    <xf numFmtId="165" fontId="10" fillId="0" borderId="10" xfId="33" applyNumberFormat="1" applyFont="1" applyFill="1" applyBorder="1" applyAlignment="1">
      <alignment vertical="center"/>
    </xf>
    <xf numFmtId="165" fontId="10" fillId="0" borderId="11" xfId="33" applyNumberFormat="1" applyFont="1" applyFill="1" applyBorder="1" applyAlignment="1">
      <alignment vertical="center"/>
    </xf>
    <xf numFmtId="0" fontId="12" fillId="0" borderId="25" xfId="33" applyFont="1" applyBorder="1" applyAlignment="1">
      <alignment horizontal="center" vertical="center"/>
    </xf>
    <xf numFmtId="0" fontId="12" fillId="0" borderId="0" xfId="33" applyFont="1" applyBorder="1" applyAlignment="1">
      <alignment vertical="center"/>
    </xf>
    <xf numFmtId="0" fontId="10" fillId="6" borderId="8" xfId="33" applyFont="1" applyFill="1" applyBorder="1" applyAlignment="1">
      <alignment horizontal="center" vertical="center"/>
    </xf>
    <xf numFmtId="0" fontId="9" fillId="0" borderId="49" xfId="33" applyFont="1" applyFill="1" applyBorder="1" applyAlignment="1">
      <alignment horizontal="left" vertical="center" wrapText="1"/>
    </xf>
    <xf numFmtId="165" fontId="1" fillId="0" borderId="13" xfId="33" applyNumberFormat="1" applyFont="1" applyFill="1" applyBorder="1" applyAlignment="1">
      <alignment vertical="center"/>
    </xf>
    <xf numFmtId="165" fontId="1" fillId="2" borderId="19" xfId="33" applyNumberFormat="1" applyFont="1" applyFill="1" applyBorder="1" applyAlignment="1">
      <alignment horizontal="center" vertical="center"/>
    </xf>
    <xf numFmtId="0" fontId="9" fillId="0" borderId="52" xfId="33" applyFont="1" applyFill="1" applyBorder="1" applyAlignment="1">
      <alignment horizontal="left" vertical="center" wrapText="1"/>
    </xf>
    <xf numFmtId="2" fontId="10" fillId="3" borderId="0" xfId="33" applyNumberFormat="1" applyFont="1" applyFill="1" applyBorder="1" applyAlignment="1">
      <alignment horizontal="left" vertical="center"/>
    </xf>
    <xf numFmtId="2" fontId="10" fillId="0" borderId="54" xfId="33" applyNumberFormat="1" applyFont="1" applyFill="1" applyBorder="1" applyAlignment="1">
      <alignment horizontal="left" vertical="center"/>
    </xf>
    <xf numFmtId="0" fontId="10" fillId="9" borderId="5" xfId="33" applyFont="1" applyFill="1" applyBorder="1" applyAlignment="1">
      <alignment horizontal="center" vertical="center"/>
    </xf>
    <xf numFmtId="0" fontId="10" fillId="9" borderId="6" xfId="33" applyFont="1" applyFill="1" applyBorder="1" applyAlignment="1">
      <alignment horizontal="center" vertical="center"/>
    </xf>
    <xf numFmtId="0" fontId="10" fillId="9" borderId="7" xfId="33" applyFont="1" applyFill="1" applyBorder="1" applyAlignment="1">
      <alignment horizontal="center" vertical="center"/>
    </xf>
    <xf numFmtId="0" fontId="10" fillId="9" borderId="53" xfId="33" applyFont="1" applyFill="1" applyBorder="1" applyAlignment="1">
      <alignment horizontal="center" vertical="center"/>
    </xf>
    <xf numFmtId="0" fontId="9" fillId="2" borderId="13" xfId="33" applyFont="1" applyFill="1" applyBorder="1" applyAlignment="1">
      <alignment vertical="center"/>
    </xf>
    <xf numFmtId="0" fontId="9" fillId="2" borderId="19" xfId="33" applyFont="1" applyFill="1" applyBorder="1" applyAlignment="1">
      <alignment vertical="center"/>
    </xf>
    <xf numFmtId="165" fontId="12" fillId="0" borderId="21" xfId="33" applyNumberFormat="1" applyFont="1" applyFill="1" applyBorder="1" applyAlignment="1">
      <alignment vertical="center"/>
    </xf>
    <xf numFmtId="164" fontId="10" fillId="2" borderId="46" xfId="33" applyNumberFormat="1" applyFont="1" applyFill="1" applyBorder="1" applyAlignment="1">
      <alignment horizontal="left" vertical="center"/>
    </xf>
    <xf numFmtId="2" fontId="10" fillId="2" borderId="46" xfId="33" applyNumberFormat="1" applyFont="1" applyFill="1" applyBorder="1" applyAlignment="1">
      <alignment horizontal="left" vertical="center"/>
    </xf>
    <xf numFmtId="165" fontId="9" fillId="0" borderId="21" xfId="33" applyNumberFormat="1" applyFont="1" applyFill="1" applyBorder="1" applyAlignment="1">
      <alignment vertical="center"/>
    </xf>
    <xf numFmtId="0" fontId="9" fillId="2" borderId="25" xfId="33" applyFont="1" applyFill="1" applyBorder="1" applyAlignment="1">
      <alignment vertical="center" wrapText="1"/>
    </xf>
    <xf numFmtId="0" fontId="10" fillId="0" borderId="11" xfId="33" applyFont="1" applyFill="1" applyBorder="1" applyAlignment="1">
      <alignment horizontal="center" vertical="center"/>
    </xf>
    <xf numFmtId="0" fontId="9" fillId="0" borderId="11" xfId="33" applyFont="1" applyBorder="1" applyAlignment="1">
      <alignment vertical="center"/>
    </xf>
    <xf numFmtId="0" fontId="9" fillId="0" borderId="12" xfId="33" applyFont="1" applyBorder="1" applyAlignment="1">
      <alignment vertical="center"/>
    </xf>
    <xf numFmtId="0" fontId="9" fillId="2" borderId="0" xfId="33" applyFont="1" applyFill="1" applyBorder="1" applyAlignment="1">
      <alignment vertical="center"/>
    </xf>
    <xf numFmtId="0" fontId="10" fillId="6" borderId="5" xfId="33" applyFont="1" applyFill="1" applyBorder="1" applyAlignment="1">
      <alignment horizontal="center" vertical="center"/>
    </xf>
    <xf numFmtId="0" fontId="10" fillId="6" borderId="6" xfId="33" applyFont="1" applyFill="1" applyBorder="1" applyAlignment="1">
      <alignment horizontal="center" vertical="center"/>
    </xf>
    <xf numFmtId="0" fontId="10" fillId="6" borderId="7" xfId="33" applyFont="1" applyFill="1" applyBorder="1" applyAlignment="1">
      <alignment horizontal="center" vertical="center"/>
    </xf>
    <xf numFmtId="0" fontId="10" fillId="6" borderId="53" xfId="33" applyFont="1" applyFill="1" applyBorder="1" applyAlignment="1">
      <alignment horizontal="center" vertical="center"/>
    </xf>
    <xf numFmtId="0" fontId="9" fillId="0" borderId="16" xfId="33" applyFont="1" applyBorder="1" applyAlignment="1">
      <alignment vertical="center"/>
    </xf>
    <xf numFmtId="0" fontId="9" fillId="0" borderId="37" xfId="33" applyFont="1" applyBorder="1" applyAlignment="1">
      <alignment vertical="center"/>
    </xf>
    <xf numFmtId="0" fontId="9" fillId="0" borderId="40" xfId="33" applyFont="1" applyBorder="1" applyAlignment="1">
      <alignment vertical="center"/>
    </xf>
    <xf numFmtId="0" fontId="9" fillId="2" borderId="25" xfId="33" applyFont="1" applyFill="1" applyBorder="1" applyAlignment="1">
      <alignment vertical="center"/>
    </xf>
    <xf numFmtId="0" fontId="9" fillId="0" borderId="55" xfId="33" applyFont="1" applyBorder="1" applyAlignment="1">
      <alignment vertical="center"/>
    </xf>
    <xf numFmtId="0" fontId="9" fillId="2" borderId="0" xfId="33" applyFont="1" applyFill="1" applyBorder="1" applyAlignment="1">
      <alignment horizontal="justify" vertical="center"/>
    </xf>
    <xf numFmtId="0" fontId="9" fillId="2" borderId="0" xfId="33" applyFont="1" applyFill="1" applyBorder="1" applyAlignment="1">
      <alignment horizontal="center" vertical="center"/>
    </xf>
    <xf numFmtId="0" fontId="10" fillId="10" borderId="44" xfId="33" applyFont="1" applyFill="1" applyBorder="1" applyAlignment="1">
      <alignment horizontal="center" vertical="center"/>
    </xf>
    <xf numFmtId="0" fontId="10" fillId="10" borderId="45" xfId="33" applyFont="1" applyFill="1" applyBorder="1" applyAlignment="1">
      <alignment horizontal="center" vertical="center"/>
    </xf>
    <xf numFmtId="0" fontId="10" fillId="10" borderId="56" xfId="33" applyFont="1" applyFill="1" applyBorder="1" applyAlignment="1">
      <alignment horizontal="center" vertical="center"/>
    </xf>
    <xf numFmtId="0" fontId="9" fillId="2" borderId="29" xfId="33" applyFont="1" applyFill="1" applyBorder="1" applyAlignment="1">
      <alignment vertical="center"/>
    </xf>
    <xf numFmtId="0" fontId="9" fillId="2" borderId="30" xfId="33" applyFont="1" applyFill="1" applyBorder="1" applyAlignment="1">
      <alignment vertical="center"/>
    </xf>
    <xf numFmtId="0" fontId="9" fillId="2" borderId="30" xfId="33" applyFont="1" applyFill="1" applyBorder="1" applyAlignment="1">
      <alignment vertical="center" wrapText="1"/>
    </xf>
    <xf numFmtId="0" fontId="9" fillId="2" borderId="31" xfId="33" applyFont="1" applyFill="1" applyBorder="1" applyAlignment="1">
      <alignment vertical="center"/>
    </xf>
    <xf numFmtId="0" fontId="31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10" fillId="10" borderId="43" xfId="33" applyFont="1" applyFill="1" applyBorder="1" applyAlignment="1">
      <alignment horizontal="center" vertical="center"/>
    </xf>
    <xf numFmtId="0" fontId="10" fillId="10" borderId="62" xfId="33" applyFont="1" applyFill="1" applyBorder="1" applyAlignment="1">
      <alignment horizontal="center" vertical="center"/>
    </xf>
    <xf numFmtId="0" fontId="10" fillId="8" borderId="18" xfId="33" applyFont="1" applyFill="1" applyBorder="1" applyAlignment="1">
      <alignment horizontal="center" vertical="center"/>
    </xf>
    <xf numFmtId="0" fontId="10" fillId="8" borderId="28" xfId="33" applyFont="1" applyFill="1" applyBorder="1" applyAlignment="1">
      <alignment horizontal="center" vertical="center"/>
    </xf>
    <xf numFmtId="0" fontId="10" fillId="8" borderId="41" xfId="33" applyFont="1" applyFill="1" applyBorder="1" applyAlignment="1">
      <alignment horizontal="center" vertical="center"/>
    </xf>
    <xf numFmtId="0" fontId="10" fillId="8" borderId="54" xfId="33" applyFont="1" applyFill="1" applyBorder="1" applyAlignment="1">
      <alignment horizontal="center" vertical="center"/>
    </xf>
    <xf numFmtId="0" fontId="10" fillId="8" borderId="57" xfId="33" applyFont="1" applyFill="1" applyBorder="1" applyAlignment="1">
      <alignment horizontal="center" vertical="center" wrapText="1"/>
    </xf>
    <xf numFmtId="0" fontId="10" fillId="8" borderId="61" xfId="33" applyFont="1" applyFill="1" applyBorder="1" applyAlignment="1">
      <alignment horizontal="center" vertical="center" wrapText="1"/>
    </xf>
    <xf numFmtId="0" fontId="10" fillId="8" borderId="58" xfId="33" applyFont="1" applyFill="1" applyBorder="1" applyAlignment="1">
      <alignment horizontal="center" vertical="center" wrapText="1"/>
    </xf>
    <xf numFmtId="0" fontId="10" fillId="8" borderId="43" xfId="33" applyFont="1" applyFill="1" applyBorder="1" applyAlignment="1">
      <alignment horizontal="center" vertical="center"/>
    </xf>
    <xf numFmtId="0" fontId="10" fillId="8" borderId="27" xfId="33" applyFont="1" applyFill="1" applyBorder="1" applyAlignment="1">
      <alignment horizontal="center" vertical="center"/>
    </xf>
    <xf numFmtId="0" fontId="10" fillId="6" borderId="41" xfId="33" applyFont="1" applyFill="1" applyBorder="1" applyAlignment="1">
      <alignment horizontal="center" vertical="center" wrapText="1"/>
    </xf>
    <xf numFmtId="0" fontId="10" fillId="6" borderId="18" xfId="33" applyFont="1" applyFill="1" applyBorder="1" applyAlignment="1">
      <alignment horizontal="center" vertical="center" wrapText="1"/>
    </xf>
    <xf numFmtId="0" fontId="10" fillId="9" borderId="57" xfId="33" applyFont="1" applyFill="1" applyBorder="1" applyAlignment="1">
      <alignment horizontal="center" vertical="center"/>
    </xf>
    <xf numFmtId="0" fontId="10" fillId="9" borderId="58" xfId="33" applyFont="1" applyFill="1" applyBorder="1" applyAlignment="1">
      <alignment horizontal="center" vertical="center"/>
    </xf>
    <xf numFmtId="0" fontId="10" fillId="6" borderId="57" xfId="33" applyFont="1" applyFill="1" applyBorder="1" applyAlignment="1">
      <alignment horizontal="center" vertical="center"/>
    </xf>
    <xf numFmtId="0" fontId="10" fillId="6" borderId="58" xfId="33" applyFont="1" applyFill="1" applyBorder="1" applyAlignment="1">
      <alignment horizontal="center" vertical="center"/>
    </xf>
    <xf numFmtId="0" fontId="10" fillId="10" borderId="41" xfId="33" applyFont="1" applyFill="1" applyBorder="1" applyAlignment="1">
      <alignment horizontal="center" vertical="center"/>
    </xf>
    <xf numFmtId="0" fontId="10" fillId="10" borderId="18" xfId="33" applyFont="1" applyFill="1" applyBorder="1" applyAlignment="1">
      <alignment horizontal="center" vertical="center"/>
    </xf>
    <xf numFmtId="0" fontId="10" fillId="10" borderId="59" xfId="33" applyFont="1" applyFill="1" applyBorder="1" applyAlignment="1">
      <alignment horizontal="center" vertical="center"/>
    </xf>
    <xf numFmtId="0" fontId="10" fillId="10" borderId="60" xfId="33" applyFont="1" applyFill="1" applyBorder="1" applyAlignment="1">
      <alignment horizontal="center" vertical="center"/>
    </xf>
    <xf numFmtId="0" fontId="10" fillId="10" borderId="57" xfId="33" applyFont="1" applyFill="1" applyBorder="1" applyAlignment="1">
      <alignment horizontal="center" vertical="center" wrapText="1"/>
    </xf>
    <xf numFmtId="0" fontId="10" fillId="10" borderId="61" xfId="33" applyFont="1" applyFill="1" applyBorder="1" applyAlignment="1">
      <alignment horizontal="center" vertical="center" wrapText="1"/>
    </xf>
    <xf numFmtId="0" fontId="10" fillId="8" borderId="41" xfId="33" applyFont="1" applyFill="1" applyBorder="1" applyAlignment="1">
      <alignment horizontal="center" vertical="center" wrapText="1"/>
    </xf>
    <xf numFmtId="0" fontId="10" fillId="8" borderId="18" xfId="33" applyFont="1" applyFill="1" applyBorder="1" applyAlignment="1">
      <alignment horizontal="center" vertical="center" wrapText="1"/>
    </xf>
    <xf numFmtId="0" fontId="10" fillId="8" borderId="59" xfId="33" applyFont="1" applyFill="1" applyBorder="1" applyAlignment="1">
      <alignment horizontal="center" vertical="center" wrapText="1"/>
    </xf>
    <xf numFmtId="0" fontId="10" fillId="8" borderId="60" xfId="33" applyFont="1" applyFill="1" applyBorder="1" applyAlignment="1">
      <alignment horizontal="center" vertical="center" wrapText="1"/>
    </xf>
    <xf numFmtId="0" fontId="10" fillId="8" borderId="13" xfId="33" applyFont="1" applyFill="1" applyBorder="1" applyAlignment="1">
      <alignment horizontal="center" vertical="center"/>
    </xf>
    <xf numFmtId="0" fontId="10" fillId="8" borderId="25" xfId="33" applyFont="1" applyFill="1" applyBorder="1" applyAlignment="1">
      <alignment horizontal="center" vertical="center"/>
    </xf>
    <xf numFmtId="0" fontId="10" fillId="8" borderId="34" xfId="33" applyFont="1" applyFill="1" applyBorder="1" applyAlignment="1">
      <alignment horizontal="center" vertical="center" wrapText="1"/>
    </xf>
    <xf numFmtId="0" fontId="10" fillId="4" borderId="43" xfId="33" applyFont="1" applyFill="1" applyBorder="1" applyAlignment="1">
      <alignment horizontal="center" vertical="center"/>
    </xf>
    <xf numFmtId="0" fontId="10" fillId="4" borderId="27" xfId="33" applyFont="1" applyFill="1" applyBorder="1" applyAlignment="1">
      <alignment horizontal="center" vertical="center"/>
    </xf>
    <xf numFmtId="0" fontId="10" fillId="4" borderId="43" xfId="33" applyFont="1" applyFill="1" applyBorder="1" applyAlignment="1">
      <alignment horizontal="center" vertical="center" wrapText="1"/>
    </xf>
    <xf numFmtId="0" fontId="10" fillId="4" borderId="27" xfId="33" applyFont="1" applyFill="1" applyBorder="1" applyAlignment="1">
      <alignment horizontal="center" vertical="center" wrapText="1"/>
    </xf>
    <xf numFmtId="0" fontId="10" fillId="3" borderId="41" xfId="33" applyFont="1" applyFill="1" applyBorder="1" applyAlignment="1">
      <alignment horizontal="center" vertical="center" wrapText="1"/>
    </xf>
    <xf numFmtId="0" fontId="10" fillId="3" borderId="18" xfId="33" applyFont="1" applyFill="1" applyBorder="1" applyAlignment="1">
      <alignment horizontal="center" vertical="center" wrapText="1"/>
    </xf>
    <xf numFmtId="0" fontId="10" fillId="3" borderId="59" xfId="33" applyFont="1" applyFill="1" applyBorder="1" applyAlignment="1">
      <alignment horizontal="center" vertical="center" wrapText="1"/>
    </xf>
    <xf numFmtId="0" fontId="10" fillId="3" borderId="60" xfId="33" applyFont="1" applyFill="1" applyBorder="1" applyAlignment="1">
      <alignment horizontal="center" vertical="center" wrapText="1"/>
    </xf>
    <xf numFmtId="0" fontId="10" fillId="3" borderId="29" xfId="33" applyFont="1" applyFill="1" applyBorder="1" applyAlignment="1">
      <alignment horizontal="center" vertical="center"/>
    </xf>
    <xf numFmtId="0" fontId="10" fillId="3" borderId="14" xfId="33" applyFont="1" applyFill="1" applyBorder="1" applyAlignment="1">
      <alignment horizontal="center" vertical="center"/>
    </xf>
    <xf numFmtId="0" fontId="10" fillId="3" borderId="49" xfId="33" applyFont="1" applyFill="1" applyBorder="1" applyAlignment="1">
      <alignment horizontal="center" vertical="center"/>
    </xf>
    <xf numFmtId="0" fontId="10" fillId="3" borderId="43" xfId="33" applyFont="1" applyFill="1" applyBorder="1" applyAlignment="1">
      <alignment horizontal="center" vertical="center"/>
    </xf>
    <xf numFmtId="0" fontId="10" fillId="3" borderId="62" xfId="33" applyFont="1" applyFill="1" applyBorder="1" applyAlignment="1">
      <alignment horizontal="center" vertical="center"/>
    </xf>
    <xf numFmtId="0" fontId="10" fillId="4" borderId="41" xfId="33" applyFont="1" applyFill="1" applyBorder="1" applyAlignment="1">
      <alignment horizontal="center" vertical="center"/>
    </xf>
    <xf numFmtId="0" fontId="10" fillId="4" borderId="18" xfId="33" applyFont="1" applyFill="1" applyBorder="1" applyAlignment="1">
      <alignment horizontal="center" vertical="center"/>
    </xf>
    <xf numFmtId="0" fontId="10" fillId="4" borderId="54" xfId="33" applyFont="1" applyFill="1" applyBorder="1" applyAlignment="1">
      <alignment horizontal="center" vertical="center"/>
    </xf>
    <xf numFmtId="0" fontId="10" fillId="4" borderId="28" xfId="33" applyFont="1" applyFill="1" applyBorder="1" applyAlignment="1">
      <alignment horizontal="center" vertical="center"/>
    </xf>
    <xf numFmtId="0" fontId="10" fillId="4" borderId="15" xfId="33" applyFont="1" applyFill="1" applyBorder="1" applyAlignment="1">
      <alignment horizontal="center" vertical="center"/>
    </xf>
    <xf numFmtId="0" fontId="10" fillId="4" borderId="16" xfId="33" applyFont="1" applyFill="1" applyBorder="1" applyAlignment="1">
      <alignment horizontal="center" vertical="center"/>
    </xf>
    <xf numFmtId="0" fontId="10" fillId="4" borderId="17" xfId="33" applyFont="1" applyFill="1" applyBorder="1" applyAlignment="1">
      <alignment horizontal="center" vertical="center"/>
    </xf>
    <xf numFmtId="0" fontId="8" fillId="0" borderId="0" xfId="33" applyFont="1" applyBorder="1" applyAlignment="1">
      <alignment horizontal="center" vertical="center"/>
    </xf>
    <xf numFmtId="0" fontId="10" fillId="4" borderId="41" xfId="33" applyFont="1" applyFill="1" applyBorder="1" applyAlignment="1">
      <alignment horizontal="center" vertical="center" wrapText="1"/>
    </xf>
    <xf numFmtId="0" fontId="10" fillId="4" borderId="42" xfId="33" applyFont="1" applyFill="1" applyBorder="1" applyAlignment="1">
      <alignment horizontal="center" vertical="center" wrapText="1"/>
    </xf>
    <xf numFmtId="0" fontId="10" fillId="4" borderId="59" xfId="33" applyFont="1" applyFill="1" applyBorder="1" applyAlignment="1">
      <alignment horizontal="center" vertical="center" wrapText="1"/>
    </xf>
    <xf numFmtId="0" fontId="10" fillId="4" borderId="34" xfId="33" applyFont="1" applyFill="1" applyBorder="1" applyAlignment="1">
      <alignment horizontal="center" vertical="center" wrapText="1"/>
    </xf>
    <xf numFmtId="0" fontId="10" fillId="4" borderId="62" xfId="33" applyFont="1" applyFill="1" applyBorder="1" applyAlignment="1">
      <alignment horizontal="center" vertical="center"/>
    </xf>
    <xf numFmtId="0" fontId="10" fillId="4" borderId="62" xfId="33" applyFont="1" applyFill="1" applyBorder="1" applyAlignment="1">
      <alignment horizontal="center" vertical="center" wrapText="1"/>
    </xf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Neutral" xfId="32" builtinId="28" customBuiltin="1"/>
    <cellStyle name="Normal" xfId="0" builtinId="0"/>
    <cellStyle name="Normal 2" xfId="33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1" xfId="39" builtinId="16" customBuiltin="1"/>
    <cellStyle name="Título 2" xfId="40" builtinId="17" customBuiltin="1"/>
    <cellStyle name="Título 3" xfId="41" builtinId="18" customBuiltin="1"/>
    <cellStyle name="Total" xfId="4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124"/>
  <sheetViews>
    <sheetView showGridLines="0" tabSelected="1" zoomScaleNormal="100" workbookViewId="0"/>
  </sheetViews>
  <sheetFormatPr baseColWidth="10" defaultColWidth="11.42578125" defaultRowHeight="17.25" customHeight="1" x14ac:dyDescent="0.25"/>
  <cols>
    <col min="1" max="1" width="3.5703125" style="3" customWidth="1"/>
    <col min="2" max="2" width="65.85546875" style="3" customWidth="1"/>
    <col min="3" max="15" width="9.140625" style="3" customWidth="1"/>
    <col min="16" max="16384" width="11.42578125" style="3"/>
  </cols>
  <sheetData>
    <row r="1" spans="2:10" ht="14.25" customHeight="1" x14ac:dyDescent="0.25">
      <c r="B1" s="1" t="s">
        <v>280</v>
      </c>
    </row>
    <row r="2" spans="2:10" ht="14.25" customHeight="1" x14ac:dyDescent="0.25">
      <c r="B2" s="1" t="s">
        <v>65</v>
      </c>
    </row>
    <row r="3" spans="2:10" ht="14.25" customHeight="1" x14ac:dyDescent="0.25">
      <c r="B3" s="1" t="s">
        <v>66</v>
      </c>
    </row>
    <row r="4" spans="2:10" ht="14.25" customHeight="1" x14ac:dyDescent="0.25">
      <c r="B4" s="1" t="s">
        <v>67</v>
      </c>
    </row>
    <row r="5" spans="2:10" ht="8.25" customHeight="1" x14ac:dyDescent="0.25">
      <c r="B5" s="2"/>
    </row>
    <row r="6" spans="2:10" ht="17.25" customHeight="1" x14ac:dyDescent="0.25">
      <c r="B6" s="300" t="s">
        <v>68</v>
      </c>
      <c r="C6" s="300"/>
      <c r="D6" s="300"/>
      <c r="E6" s="300"/>
      <c r="F6" s="300"/>
      <c r="G6" s="300"/>
      <c r="H6" s="300"/>
      <c r="I6" s="300"/>
      <c r="J6" s="300"/>
    </row>
    <row r="7" spans="2:10" ht="9" customHeight="1" x14ac:dyDescent="0.25"/>
    <row r="8" spans="2:10" ht="17.25" customHeight="1" x14ac:dyDescent="0.25">
      <c r="B8" s="4" t="s">
        <v>105</v>
      </c>
    </row>
    <row r="9" spans="2:10" ht="17.25" customHeight="1" x14ac:dyDescent="0.25">
      <c r="B9" s="5" t="s">
        <v>64</v>
      </c>
      <c r="C9" s="5" t="s">
        <v>0</v>
      </c>
      <c r="D9" s="5" t="s">
        <v>1</v>
      </c>
      <c r="E9" s="5" t="s">
        <v>2</v>
      </c>
      <c r="F9" s="5" t="s">
        <v>3</v>
      </c>
      <c r="G9" s="5" t="s">
        <v>4</v>
      </c>
      <c r="H9" s="5" t="s">
        <v>5</v>
      </c>
      <c r="I9" s="5" t="s">
        <v>6</v>
      </c>
      <c r="J9" s="5" t="s">
        <v>7</v>
      </c>
    </row>
    <row r="10" spans="2:10" ht="17.25" customHeight="1" x14ac:dyDescent="0.25">
      <c r="B10" s="6" t="s">
        <v>122</v>
      </c>
      <c r="C10" s="10"/>
      <c r="D10" s="10"/>
      <c r="E10" s="10"/>
      <c r="F10" s="10"/>
      <c r="G10" s="10"/>
      <c r="H10" s="10"/>
      <c r="I10" s="10"/>
      <c r="J10" s="10"/>
    </row>
    <row r="11" spans="2:10" ht="17.25" customHeight="1" x14ac:dyDescent="0.25">
      <c r="B11" s="7" t="s">
        <v>18</v>
      </c>
      <c r="C11" s="11"/>
      <c r="D11" s="11"/>
      <c r="E11" s="11"/>
      <c r="F11" s="11"/>
      <c r="G11" s="11"/>
      <c r="H11" s="11"/>
      <c r="I11" s="11"/>
      <c r="J11" s="11"/>
    </row>
    <row r="12" spans="2:10" ht="17.25" customHeight="1" x14ac:dyDescent="0.25">
      <c r="B12" s="7" t="s">
        <v>84</v>
      </c>
      <c r="C12" s="11"/>
      <c r="D12" s="11"/>
      <c r="E12" s="11"/>
      <c r="F12" s="11"/>
      <c r="G12" s="11"/>
      <c r="H12" s="11"/>
      <c r="I12" s="11"/>
      <c r="J12" s="11"/>
    </row>
    <row r="13" spans="2:10" ht="17.25" customHeight="1" x14ac:dyDescent="0.25">
      <c r="B13" s="7" t="s">
        <v>85</v>
      </c>
      <c r="C13" s="11"/>
      <c r="D13" s="11"/>
      <c r="E13" s="11"/>
      <c r="F13" s="11"/>
      <c r="G13" s="11"/>
      <c r="H13" s="11"/>
      <c r="I13" s="11"/>
      <c r="J13" s="11"/>
    </row>
    <row r="14" spans="2:10" ht="17.25" customHeight="1" x14ac:dyDescent="0.25">
      <c r="B14" s="7" t="s">
        <v>86</v>
      </c>
      <c r="C14" s="11"/>
      <c r="D14" s="11"/>
      <c r="E14" s="11"/>
      <c r="F14" s="11"/>
      <c r="G14" s="11"/>
      <c r="H14" s="11"/>
      <c r="I14" s="11"/>
      <c r="J14" s="11"/>
    </row>
    <row r="15" spans="2:10" ht="17.25" customHeight="1" x14ac:dyDescent="0.25">
      <c r="B15" s="7" t="s">
        <v>87</v>
      </c>
      <c r="C15" s="11"/>
      <c r="D15" s="11"/>
      <c r="E15" s="11"/>
      <c r="F15" s="11"/>
      <c r="G15" s="11"/>
      <c r="H15" s="11"/>
      <c r="I15" s="11"/>
      <c r="J15" s="11"/>
    </row>
    <row r="16" spans="2:10" ht="17.25" customHeight="1" x14ac:dyDescent="0.25">
      <c r="B16" s="7" t="s">
        <v>88</v>
      </c>
      <c r="C16" s="11"/>
      <c r="D16" s="11"/>
      <c r="E16" s="11"/>
      <c r="F16" s="11"/>
      <c r="G16" s="11"/>
      <c r="H16" s="11"/>
      <c r="I16" s="11"/>
      <c r="J16" s="11"/>
    </row>
    <row r="17" spans="2:11" ht="17.25" customHeight="1" x14ac:dyDescent="0.25">
      <c r="B17" s="7" t="s">
        <v>89</v>
      </c>
      <c r="C17" s="11"/>
      <c r="D17" s="11"/>
      <c r="E17" s="11"/>
      <c r="F17" s="11"/>
      <c r="G17" s="11"/>
      <c r="H17" s="11"/>
      <c r="I17" s="11"/>
      <c r="J17" s="11"/>
    </row>
    <row r="18" spans="2:11" ht="17.25" customHeight="1" x14ac:dyDescent="0.25">
      <c r="B18" s="7" t="s">
        <v>19</v>
      </c>
      <c r="C18" s="11"/>
      <c r="D18" s="11"/>
      <c r="E18" s="11"/>
      <c r="F18" s="11"/>
      <c r="G18" s="11"/>
      <c r="H18" s="11"/>
      <c r="I18" s="11"/>
      <c r="J18" s="11"/>
    </row>
    <row r="19" spans="2:11" ht="17.25" customHeight="1" x14ac:dyDescent="0.25">
      <c r="B19" s="7" t="s">
        <v>20</v>
      </c>
      <c r="C19" s="11"/>
      <c r="D19" s="11"/>
      <c r="E19" s="11"/>
      <c r="F19" s="11"/>
      <c r="G19" s="11"/>
      <c r="H19" s="11"/>
      <c r="I19" s="11"/>
      <c r="J19" s="11"/>
    </row>
    <row r="20" spans="2:11" ht="17.25" customHeight="1" x14ac:dyDescent="0.25">
      <c r="B20" s="7" t="s">
        <v>21</v>
      </c>
      <c r="C20" s="11"/>
      <c r="D20" s="11"/>
      <c r="E20" s="11"/>
      <c r="F20" s="11"/>
      <c r="G20" s="11"/>
      <c r="H20" s="11"/>
      <c r="I20" s="11"/>
      <c r="J20" s="11"/>
    </row>
    <row r="21" spans="2:11" ht="17.25" customHeight="1" x14ac:dyDescent="0.25">
      <c r="B21" s="7" t="s">
        <v>90</v>
      </c>
      <c r="C21" s="11"/>
      <c r="D21" s="11"/>
      <c r="E21" s="11"/>
      <c r="F21" s="11"/>
      <c r="G21" s="11"/>
      <c r="H21" s="11"/>
      <c r="I21" s="11"/>
      <c r="J21" s="11"/>
    </row>
    <row r="22" spans="2:11" ht="17.25" customHeight="1" x14ac:dyDescent="0.25">
      <c r="B22" s="8" t="s">
        <v>91</v>
      </c>
      <c r="C22" s="12"/>
      <c r="D22" s="12"/>
      <c r="E22" s="12"/>
      <c r="F22" s="12"/>
      <c r="G22" s="12"/>
      <c r="H22" s="12"/>
      <c r="I22" s="12"/>
      <c r="J22" s="12"/>
    </row>
    <row r="24" spans="2:11" ht="17.25" customHeight="1" x14ac:dyDescent="0.25">
      <c r="B24" s="4" t="s">
        <v>106</v>
      </c>
    </row>
    <row r="25" spans="2:11" ht="17.25" customHeight="1" x14ac:dyDescent="0.25">
      <c r="B25" s="5" t="s">
        <v>69</v>
      </c>
      <c r="C25" s="5" t="s">
        <v>0</v>
      </c>
      <c r="D25" s="5" t="s">
        <v>1</v>
      </c>
      <c r="E25" s="5" t="s">
        <v>2</v>
      </c>
      <c r="F25" s="5" t="s">
        <v>3</v>
      </c>
      <c r="G25" s="5" t="s">
        <v>4</v>
      </c>
      <c r="H25" s="5" t="s">
        <v>5</v>
      </c>
      <c r="I25" s="5" t="s">
        <v>6</v>
      </c>
    </row>
    <row r="26" spans="2:11" ht="17.25" customHeight="1" x14ac:dyDescent="0.25">
      <c r="B26" s="7" t="s">
        <v>22</v>
      </c>
      <c r="C26" s="11"/>
      <c r="D26" s="11"/>
      <c r="E26" s="11"/>
      <c r="F26" s="11"/>
      <c r="G26" s="11"/>
      <c r="H26" s="11"/>
      <c r="I26" s="11"/>
    </row>
    <row r="27" spans="2:11" ht="17.25" customHeight="1" x14ac:dyDescent="0.25">
      <c r="B27" s="7" t="s">
        <v>23</v>
      </c>
      <c r="C27" s="11"/>
      <c r="D27" s="11"/>
      <c r="E27" s="11"/>
      <c r="F27" s="11"/>
      <c r="G27" s="11"/>
      <c r="H27" s="11"/>
      <c r="I27" s="11"/>
    </row>
    <row r="28" spans="2:11" ht="17.25" customHeight="1" x14ac:dyDescent="0.25">
      <c r="B28" s="7" t="s">
        <v>24</v>
      </c>
      <c r="C28" s="11"/>
      <c r="D28" s="11"/>
      <c r="E28" s="11"/>
      <c r="F28" s="11"/>
      <c r="G28" s="11"/>
      <c r="H28" s="11"/>
      <c r="I28" s="11"/>
    </row>
    <row r="29" spans="2:11" ht="17.25" customHeight="1" x14ac:dyDescent="0.25">
      <c r="B29" s="8" t="s">
        <v>25</v>
      </c>
      <c r="C29" s="12"/>
      <c r="D29" s="12"/>
      <c r="E29" s="12"/>
      <c r="F29" s="12"/>
      <c r="G29" s="12"/>
      <c r="H29" s="12"/>
      <c r="I29" s="12"/>
    </row>
    <row r="31" spans="2:11" ht="17.25" customHeight="1" x14ac:dyDescent="0.25">
      <c r="B31" s="4" t="s">
        <v>107</v>
      </c>
    </row>
    <row r="32" spans="2:11" ht="17.25" customHeight="1" x14ac:dyDescent="0.25">
      <c r="B32" s="5" t="s">
        <v>70</v>
      </c>
      <c r="C32" s="5" t="s">
        <v>8</v>
      </c>
      <c r="D32" s="5" t="s">
        <v>9</v>
      </c>
      <c r="E32" s="5" t="s">
        <v>0</v>
      </c>
      <c r="F32" s="5" t="s">
        <v>1</v>
      </c>
      <c r="G32" s="5" t="s">
        <v>2</v>
      </c>
      <c r="H32" s="5" t="s">
        <v>3</v>
      </c>
      <c r="I32" s="5" t="s">
        <v>4</v>
      </c>
      <c r="J32" s="5" t="s">
        <v>5</v>
      </c>
      <c r="K32" s="5" t="s">
        <v>6</v>
      </c>
    </row>
    <row r="33" spans="2:14" ht="17.25" customHeight="1" x14ac:dyDescent="0.25">
      <c r="B33" s="7" t="s">
        <v>92</v>
      </c>
      <c r="C33" s="11"/>
      <c r="D33" s="11"/>
      <c r="E33" s="11"/>
      <c r="F33" s="11"/>
      <c r="G33" s="11"/>
      <c r="H33" s="11"/>
      <c r="I33" s="11"/>
      <c r="J33" s="11"/>
      <c r="K33" s="11"/>
    </row>
    <row r="34" spans="2:14" ht="17.25" customHeight="1" x14ac:dyDescent="0.25">
      <c r="B34" s="7" t="s">
        <v>93</v>
      </c>
      <c r="C34" s="11"/>
      <c r="D34" s="11"/>
      <c r="E34" s="11"/>
      <c r="F34" s="11"/>
      <c r="G34" s="11"/>
      <c r="H34" s="11"/>
      <c r="I34" s="11"/>
      <c r="J34" s="11"/>
      <c r="K34" s="11"/>
    </row>
    <row r="35" spans="2:14" ht="17.25" customHeight="1" x14ac:dyDescent="0.25">
      <c r="B35" s="7" t="s">
        <v>26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2:14" ht="17.25" customHeight="1" x14ac:dyDescent="0.25">
      <c r="B36" s="7" t="s">
        <v>27</v>
      </c>
      <c r="C36" s="11"/>
      <c r="D36" s="11"/>
      <c r="E36" s="11"/>
      <c r="F36" s="11"/>
      <c r="G36" s="11"/>
      <c r="H36" s="11"/>
      <c r="I36" s="11"/>
      <c r="J36" s="11"/>
      <c r="K36" s="11"/>
    </row>
    <row r="37" spans="2:14" ht="17.25" customHeight="1" x14ac:dyDescent="0.25">
      <c r="B37" s="7" t="s">
        <v>28</v>
      </c>
      <c r="C37" s="11"/>
      <c r="D37" s="11"/>
      <c r="E37" s="11"/>
      <c r="F37" s="11"/>
      <c r="G37" s="11"/>
      <c r="H37" s="11"/>
      <c r="I37" s="11"/>
      <c r="J37" s="11"/>
      <c r="K37" s="11"/>
    </row>
    <row r="38" spans="2:14" ht="17.25" customHeight="1" x14ac:dyDescent="0.25">
      <c r="B38" s="7" t="s">
        <v>29</v>
      </c>
      <c r="C38" s="11"/>
      <c r="D38" s="11"/>
      <c r="E38" s="11"/>
      <c r="F38" s="11"/>
      <c r="G38" s="11"/>
      <c r="H38" s="11"/>
      <c r="I38" s="11"/>
      <c r="J38" s="11"/>
      <c r="K38" s="11"/>
    </row>
    <row r="39" spans="2:14" ht="17.25" customHeight="1" x14ac:dyDescent="0.25">
      <c r="B39" s="7" t="s">
        <v>30</v>
      </c>
      <c r="C39" s="11"/>
      <c r="D39" s="11"/>
      <c r="E39" s="11"/>
      <c r="F39" s="11"/>
      <c r="G39" s="11"/>
      <c r="H39" s="11"/>
      <c r="I39" s="11"/>
      <c r="J39" s="11"/>
      <c r="K39" s="11"/>
    </row>
    <row r="40" spans="2:14" ht="17.25" customHeight="1" x14ac:dyDescent="0.25">
      <c r="B40" s="7" t="s">
        <v>31</v>
      </c>
      <c r="C40" s="11"/>
      <c r="D40" s="11"/>
      <c r="E40" s="11"/>
      <c r="F40" s="11"/>
      <c r="G40" s="11"/>
      <c r="H40" s="11"/>
      <c r="I40" s="11"/>
      <c r="J40" s="11"/>
      <c r="K40" s="11"/>
    </row>
    <row r="41" spans="2:14" ht="17.25" customHeight="1" x14ac:dyDescent="0.25">
      <c r="B41" s="7" t="s">
        <v>94</v>
      </c>
      <c r="C41" s="11"/>
      <c r="D41" s="11"/>
      <c r="E41" s="11"/>
      <c r="F41" s="11"/>
      <c r="G41" s="11"/>
      <c r="H41" s="11"/>
      <c r="I41" s="11"/>
      <c r="J41" s="11"/>
      <c r="K41" s="11"/>
    </row>
    <row r="42" spans="2:14" ht="17.25" customHeight="1" x14ac:dyDescent="0.25">
      <c r="B42" s="7" t="s">
        <v>95</v>
      </c>
      <c r="C42" s="11"/>
      <c r="D42" s="11"/>
      <c r="E42" s="11"/>
      <c r="F42" s="11"/>
      <c r="G42" s="11"/>
      <c r="H42" s="11"/>
      <c r="I42" s="11"/>
      <c r="J42" s="11"/>
      <c r="K42" s="11"/>
    </row>
    <row r="43" spans="2:14" ht="17.25" customHeight="1" x14ac:dyDescent="0.25">
      <c r="B43" s="7" t="s">
        <v>96</v>
      </c>
      <c r="C43" s="11"/>
      <c r="D43" s="11"/>
      <c r="E43" s="11"/>
      <c r="F43" s="11"/>
      <c r="G43" s="11"/>
      <c r="H43" s="11"/>
      <c r="I43" s="11"/>
      <c r="J43" s="11"/>
      <c r="K43" s="11"/>
    </row>
    <row r="44" spans="2:14" ht="17.25" customHeight="1" x14ac:dyDescent="0.25">
      <c r="B44" s="8" t="s">
        <v>97</v>
      </c>
      <c r="C44" s="12"/>
      <c r="D44" s="12"/>
      <c r="E44" s="12"/>
      <c r="F44" s="12"/>
      <c r="G44" s="12"/>
      <c r="H44" s="12"/>
      <c r="I44" s="12"/>
      <c r="J44" s="12"/>
      <c r="K44" s="12"/>
    </row>
    <row r="46" spans="2:14" ht="17.25" customHeight="1" x14ac:dyDescent="0.25">
      <c r="B46" s="4" t="s">
        <v>108</v>
      </c>
    </row>
    <row r="47" spans="2:14" ht="17.25" customHeight="1" x14ac:dyDescent="0.25">
      <c r="B47" s="301" t="s">
        <v>70</v>
      </c>
      <c r="C47" s="299" t="s">
        <v>0</v>
      </c>
      <c r="D47" s="299"/>
      <c r="E47" s="299" t="s">
        <v>1</v>
      </c>
      <c r="F47" s="299"/>
      <c r="G47" s="299" t="s">
        <v>2</v>
      </c>
      <c r="H47" s="299"/>
      <c r="I47" s="299" t="s">
        <v>3</v>
      </c>
      <c r="J47" s="299"/>
      <c r="K47" s="299" t="s">
        <v>4</v>
      </c>
      <c r="L47" s="299"/>
      <c r="M47" s="299" t="s">
        <v>71</v>
      </c>
      <c r="N47" s="299"/>
    </row>
    <row r="48" spans="2:14" ht="17.25" customHeight="1" x14ac:dyDescent="0.25">
      <c r="B48" s="302"/>
      <c r="C48" s="5" t="s">
        <v>72</v>
      </c>
      <c r="D48" s="5" t="s">
        <v>73</v>
      </c>
      <c r="E48" s="5" t="s">
        <v>72</v>
      </c>
      <c r="F48" s="5" t="s">
        <v>73</v>
      </c>
      <c r="G48" s="5" t="s">
        <v>72</v>
      </c>
      <c r="H48" s="5" t="s">
        <v>73</v>
      </c>
      <c r="I48" s="5" t="s">
        <v>72</v>
      </c>
      <c r="J48" s="5" t="s">
        <v>73</v>
      </c>
      <c r="K48" s="5" t="s">
        <v>72</v>
      </c>
      <c r="L48" s="5" t="s">
        <v>73</v>
      </c>
      <c r="M48" s="5" t="s">
        <v>72</v>
      </c>
      <c r="N48" s="5" t="s">
        <v>73</v>
      </c>
    </row>
    <row r="49" spans="2:14" ht="17.25" customHeight="1" x14ac:dyDescent="0.25">
      <c r="B49" s="7" t="s">
        <v>32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2:14" ht="17.25" customHeight="1" x14ac:dyDescent="0.25">
      <c r="B50" s="7" t="s">
        <v>33</v>
      </c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2:14" ht="17.25" customHeight="1" x14ac:dyDescent="0.25">
      <c r="B51" s="7" t="s">
        <v>98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2:14" ht="17.25" customHeight="1" x14ac:dyDescent="0.25">
      <c r="B52" s="8" t="s">
        <v>99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4" spans="2:14" ht="17.25" customHeight="1" x14ac:dyDescent="0.25">
      <c r="B54" s="4" t="s">
        <v>109</v>
      </c>
    </row>
    <row r="55" spans="2:14" ht="17.25" customHeight="1" x14ac:dyDescent="0.25">
      <c r="B55" s="5" t="s">
        <v>74</v>
      </c>
      <c r="C55" s="5" t="s">
        <v>8</v>
      </c>
      <c r="D55" s="5" t="s">
        <v>9</v>
      </c>
      <c r="E55" s="5" t="s">
        <v>0</v>
      </c>
      <c r="F55" s="5" t="s">
        <v>1</v>
      </c>
      <c r="G55" s="5" t="s">
        <v>2</v>
      </c>
      <c r="H55" s="5" t="s">
        <v>3</v>
      </c>
      <c r="I55" s="5" t="s">
        <v>4</v>
      </c>
      <c r="J55" s="5" t="s">
        <v>5</v>
      </c>
      <c r="K55" s="5" t="s">
        <v>6</v>
      </c>
    </row>
    <row r="56" spans="2:14" ht="17.25" customHeight="1" x14ac:dyDescent="0.25">
      <c r="B56" s="7" t="s">
        <v>34</v>
      </c>
      <c r="C56" s="13"/>
      <c r="D56" s="13"/>
      <c r="E56" s="11"/>
      <c r="F56" s="11"/>
      <c r="G56" s="11"/>
      <c r="H56" s="11"/>
      <c r="I56" s="11"/>
      <c r="J56" s="11"/>
      <c r="K56" s="11"/>
    </row>
    <row r="57" spans="2:14" ht="17.25" customHeight="1" x14ac:dyDescent="0.25">
      <c r="B57" s="7" t="s">
        <v>35</v>
      </c>
      <c r="C57" s="13"/>
      <c r="D57" s="13"/>
      <c r="E57" s="11"/>
      <c r="F57" s="11"/>
      <c r="G57" s="11"/>
      <c r="H57" s="11"/>
      <c r="I57" s="11"/>
      <c r="J57" s="11"/>
      <c r="K57" s="11"/>
    </row>
    <row r="58" spans="2:14" ht="17.25" customHeight="1" x14ac:dyDescent="0.25">
      <c r="B58" s="7" t="s">
        <v>100</v>
      </c>
      <c r="C58" s="13"/>
      <c r="D58" s="13"/>
      <c r="E58" s="11"/>
      <c r="F58" s="11"/>
      <c r="G58" s="11"/>
      <c r="H58" s="11"/>
      <c r="I58" s="11"/>
      <c r="J58" s="11"/>
      <c r="K58" s="11"/>
    </row>
    <row r="59" spans="2:14" s="17" customFormat="1" ht="17.25" customHeight="1" x14ac:dyDescent="0.25">
      <c r="B59" s="15" t="s">
        <v>36</v>
      </c>
      <c r="C59" s="16"/>
      <c r="D59" s="16"/>
      <c r="E59" s="16"/>
      <c r="F59" s="16"/>
      <c r="G59" s="16"/>
      <c r="H59" s="16"/>
      <c r="I59" s="16"/>
      <c r="J59" s="16"/>
      <c r="K59" s="16"/>
    </row>
    <row r="60" spans="2:14" s="17" customFormat="1" ht="17.25" customHeight="1" x14ac:dyDescent="0.25">
      <c r="B60" s="15" t="s">
        <v>37</v>
      </c>
      <c r="C60" s="16"/>
      <c r="D60" s="16"/>
      <c r="E60" s="16"/>
      <c r="F60" s="16"/>
      <c r="G60" s="16"/>
      <c r="H60" s="16"/>
      <c r="I60" s="16"/>
      <c r="J60" s="16"/>
      <c r="K60" s="16"/>
    </row>
    <row r="61" spans="2:14" s="17" customFormat="1" ht="17.25" customHeight="1" x14ac:dyDescent="0.25">
      <c r="B61" s="15" t="s">
        <v>38</v>
      </c>
      <c r="C61" s="16"/>
      <c r="D61" s="16"/>
      <c r="E61" s="16"/>
      <c r="F61" s="16"/>
      <c r="G61" s="16"/>
      <c r="H61" s="16"/>
      <c r="I61" s="16"/>
      <c r="J61" s="16"/>
      <c r="K61" s="16"/>
    </row>
    <row r="62" spans="2:14" s="17" customFormat="1" ht="17.25" customHeight="1" x14ac:dyDescent="0.25">
      <c r="B62" s="15" t="s">
        <v>10</v>
      </c>
      <c r="C62" s="16"/>
      <c r="D62" s="16"/>
      <c r="E62" s="16"/>
      <c r="F62" s="16"/>
      <c r="G62" s="16"/>
      <c r="H62" s="16"/>
      <c r="I62" s="16"/>
      <c r="J62" s="16"/>
      <c r="K62" s="16"/>
    </row>
    <row r="63" spans="2:14" s="17" customFormat="1" ht="17.25" customHeight="1" x14ac:dyDescent="0.25">
      <c r="B63" s="15" t="s">
        <v>39</v>
      </c>
      <c r="C63" s="16"/>
      <c r="D63" s="16"/>
      <c r="E63" s="16"/>
      <c r="F63" s="16"/>
      <c r="G63" s="16"/>
      <c r="H63" s="16"/>
      <c r="I63" s="16"/>
      <c r="J63" s="16"/>
      <c r="K63" s="16"/>
    </row>
    <row r="64" spans="2:14" s="17" customFormat="1" ht="17.25" customHeight="1" x14ac:dyDescent="0.25">
      <c r="B64" s="15" t="s">
        <v>40</v>
      </c>
      <c r="C64" s="16"/>
      <c r="D64" s="16"/>
      <c r="E64" s="16"/>
      <c r="F64" s="16"/>
      <c r="G64" s="16"/>
      <c r="H64" s="16"/>
      <c r="I64" s="16"/>
      <c r="J64" s="16"/>
      <c r="K64" s="16"/>
    </row>
    <row r="65" spans="2:11" s="17" customFormat="1" ht="17.25" customHeight="1" x14ac:dyDescent="0.25">
      <c r="B65" s="15" t="s">
        <v>101</v>
      </c>
      <c r="C65" s="16"/>
      <c r="D65" s="16"/>
      <c r="E65" s="16"/>
      <c r="F65" s="16"/>
      <c r="G65" s="16"/>
      <c r="H65" s="16"/>
      <c r="I65" s="16"/>
      <c r="J65" s="16"/>
      <c r="K65" s="16"/>
    </row>
    <row r="66" spans="2:11" s="17" customFormat="1" ht="17.25" customHeight="1" x14ac:dyDescent="0.25">
      <c r="B66" s="15" t="s">
        <v>278</v>
      </c>
      <c r="C66" s="16"/>
      <c r="D66" s="16"/>
      <c r="E66" s="16"/>
      <c r="F66" s="16"/>
      <c r="G66" s="16"/>
      <c r="H66" s="16"/>
      <c r="I66" s="16"/>
      <c r="J66" s="16"/>
      <c r="K66" s="16"/>
    </row>
    <row r="67" spans="2:11" s="17" customFormat="1" ht="17.25" customHeight="1" x14ac:dyDescent="0.25">
      <c r="B67" s="15" t="s">
        <v>41</v>
      </c>
      <c r="C67" s="16"/>
      <c r="D67" s="16"/>
      <c r="E67" s="16"/>
      <c r="F67" s="16"/>
      <c r="G67" s="16"/>
      <c r="H67" s="16"/>
      <c r="I67" s="16"/>
      <c r="J67" s="16"/>
      <c r="K67" s="16"/>
    </row>
    <row r="68" spans="2:11" s="17" customFormat="1" ht="17.25" customHeight="1" x14ac:dyDescent="0.25">
      <c r="B68" s="15" t="s">
        <v>42</v>
      </c>
      <c r="C68" s="16"/>
      <c r="D68" s="16"/>
      <c r="E68" s="16"/>
      <c r="F68" s="16"/>
      <c r="G68" s="16"/>
      <c r="H68" s="16"/>
      <c r="I68" s="16"/>
      <c r="J68" s="16"/>
      <c r="K68" s="16"/>
    </row>
    <row r="69" spans="2:11" s="17" customFormat="1" ht="17.25" customHeight="1" x14ac:dyDescent="0.25">
      <c r="B69" s="15" t="s">
        <v>102</v>
      </c>
      <c r="C69" s="16"/>
      <c r="D69" s="16"/>
      <c r="E69" s="16"/>
      <c r="F69" s="16"/>
      <c r="G69" s="16"/>
      <c r="H69" s="16"/>
      <c r="I69" s="16"/>
      <c r="J69" s="16"/>
      <c r="K69" s="16"/>
    </row>
    <row r="70" spans="2:11" s="17" customFormat="1" ht="17.25" customHeight="1" x14ac:dyDescent="0.25">
      <c r="B70" s="15" t="s">
        <v>43</v>
      </c>
      <c r="C70" s="16"/>
      <c r="D70" s="16"/>
      <c r="E70" s="16"/>
      <c r="F70" s="16"/>
      <c r="G70" s="16"/>
      <c r="H70" s="16"/>
      <c r="I70" s="16"/>
      <c r="J70" s="16"/>
      <c r="K70" s="16"/>
    </row>
    <row r="71" spans="2:11" s="17" customFormat="1" ht="17.25" customHeight="1" x14ac:dyDescent="0.25">
      <c r="B71" s="15" t="s">
        <v>44</v>
      </c>
      <c r="C71" s="16"/>
      <c r="D71" s="16"/>
      <c r="E71" s="16"/>
      <c r="F71" s="16"/>
      <c r="G71" s="16"/>
      <c r="H71" s="16"/>
      <c r="I71" s="16"/>
      <c r="J71" s="16"/>
      <c r="K71" s="16"/>
    </row>
    <row r="72" spans="2:11" s="17" customFormat="1" ht="17.25" customHeight="1" x14ac:dyDescent="0.25">
      <c r="B72" s="15" t="s">
        <v>45</v>
      </c>
      <c r="C72" s="16"/>
      <c r="D72" s="16"/>
      <c r="E72" s="16"/>
      <c r="F72" s="16"/>
      <c r="G72" s="16"/>
      <c r="H72" s="16"/>
      <c r="I72" s="16"/>
      <c r="J72" s="16"/>
      <c r="K72" s="16"/>
    </row>
    <row r="73" spans="2:11" s="17" customFormat="1" ht="17.25" customHeight="1" x14ac:dyDescent="0.25">
      <c r="B73" s="15" t="s">
        <v>46</v>
      </c>
      <c r="C73" s="16"/>
      <c r="D73" s="16"/>
      <c r="E73" s="16"/>
      <c r="F73" s="16"/>
      <c r="G73" s="16"/>
      <c r="H73" s="16"/>
      <c r="I73" s="16"/>
      <c r="J73" s="16"/>
      <c r="K73" s="16"/>
    </row>
    <row r="74" spans="2:11" s="17" customFormat="1" ht="17.25" customHeight="1" x14ac:dyDescent="0.25">
      <c r="B74" s="15" t="s">
        <v>47</v>
      </c>
      <c r="C74" s="16"/>
      <c r="D74" s="16"/>
      <c r="E74" s="16"/>
      <c r="F74" s="16"/>
      <c r="G74" s="16"/>
      <c r="H74" s="16"/>
      <c r="I74" s="16"/>
      <c r="J74" s="16"/>
      <c r="K74" s="16"/>
    </row>
    <row r="75" spans="2:11" s="17" customFormat="1" ht="17.25" customHeight="1" x14ac:dyDescent="0.25">
      <c r="B75" s="15" t="s">
        <v>48</v>
      </c>
      <c r="C75" s="16"/>
      <c r="D75" s="16"/>
      <c r="E75" s="16"/>
      <c r="F75" s="16"/>
      <c r="G75" s="16"/>
      <c r="H75" s="16"/>
      <c r="I75" s="16"/>
      <c r="J75" s="16"/>
      <c r="K75" s="16"/>
    </row>
    <row r="76" spans="2:11" s="17" customFormat="1" ht="17.25" customHeight="1" x14ac:dyDescent="0.25">
      <c r="B76" s="15" t="s">
        <v>49</v>
      </c>
      <c r="C76" s="16"/>
      <c r="D76" s="16"/>
      <c r="E76" s="16"/>
      <c r="F76" s="16"/>
      <c r="G76" s="16"/>
      <c r="H76" s="16"/>
      <c r="I76" s="16"/>
      <c r="J76" s="16"/>
      <c r="K76" s="16"/>
    </row>
    <row r="77" spans="2:11" s="17" customFormat="1" ht="17.25" customHeight="1" x14ac:dyDescent="0.25">
      <c r="B77" s="15" t="s">
        <v>103</v>
      </c>
      <c r="C77" s="16"/>
      <c r="D77" s="16"/>
      <c r="E77" s="16"/>
      <c r="F77" s="16"/>
      <c r="G77" s="16"/>
      <c r="H77" s="16"/>
      <c r="I77" s="16"/>
      <c r="J77" s="16"/>
      <c r="K77" s="16"/>
    </row>
    <row r="78" spans="2:11" s="17" customFormat="1" ht="17.25" customHeight="1" x14ac:dyDescent="0.25">
      <c r="B78" s="18" t="s">
        <v>104</v>
      </c>
      <c r="C78" s="19"/>
      <c r="D78" s="19"/>
      <c r="E78" s="19"/>
      <c r="F78" s="19"/>
      <c r="G78" s="19"/>
      <c r="H78" s="19"/>
      <c r="I78" s="19"/>
      <c r="J78" s="19"/>
      <c r="K78" s="19"/>
    </row>
    <row r="80" spans="2:11" ht="17.25" customHeight="1" x14ac:dyDescent="0.25">
      <c r="B80" s="4" t="s">
        <v>110</v>
      </c>
    </row>
    <row r="81" spans="2:10" ht="24" customHeight="1" x14ac:dyDescent="0.25">
      <c r="B81" s="5" t="s">
        <v>75</v>
      </c>
      <c r="C81" s="5" t="s">
        <v>0</v>
      </c>
      <c r="D81" s="5" t="s">
        <v>1</v>
      </c>
      <c r="E81" s="5" t="s">
        <v>2</v>
      </c>
      <c r="F81" s="5" t="s">
        <v>3</v>
      </c>
      <c r="G81" s="5" t="s">
        <v>4</v>
      </c>
      <c r="H81" s="5" t="s">
        <v>5</v>
      </c>
      <c r="I81" s="5" t="s">
        <v>6</v>
      </c>
      <c r="J81" s="9" t="s">
        <v>123</v>
      </c>
    </row>
    <row r="82" spans="2:10" ht="17.25" customHeight="1" x14ac:dyDescent="0.25">
      <c r="B82" s="7" t="s">
        <v>76</v>
      </c>
      <c r="C82" s="11"/>
      <c r="D82" s="11"/>
      <c r="E82" s="11"/>
      <c r="F82" s="11"/>
      <c r="G82" s="11"/>
      <c r="H82" s="11"/>
      <c r="I82" s="11"/>
      <c r="J82" s="11"/>
    </row>
    <row r="83" spans="2:10" ht="17.25" customHeight="1" x14ac:dyDescent="0.25">
      <c r="B83" s="7" t="s">
        <v>50</v>
      </c>
      <c r="C83" s="11"/>
      <c r="D83" s="11"/>
      <c r="E83" s="11"/>
      <c r="F83" s="11"/>
      <c r="G83" s="11"/>
      <c r="H83" s="11"/>
      <c r="I83" s="11"/>
      <c r="J83" s="11"/>
    </row>
    <row r="84" spans="2:10" ht="17.25" customHeight="1" x14ac:dyDescent="0.25">
      <c r="B84" s="7" t="s">
        <v>77</v>
      </c>
      <c r="C84" s="11"/>
      <c r="D84" s="11"/>
      <c r="E84" s="11"/>
      <c r="F84" s="11"/>
      <c r="G84" s="11"/>
      <c r="H84" s="11"/>
      <c r="I84" s="11"/>
      <c r="J84" s="11"/>
    </row>
    <row r="85" spans="2:10" ht="17.25" customHeight="1" x14ac:dyDescent="0.25">
      <c r="B85" s="7" t="s">
        <v>11</v>
      </c>
      <c r="C85" s="11"/>
      <c r="D85" s="11"/>
      <c r="E85" s="11"/>
      <c r="F85" s="11"/>
      <c r="G85" s="11"/>
      <c r="H85" s="11"/>
      <c r="I85" s="11"/>
      <c r="J85" s="11"/>
    </row>
    <row r="86" spans="2:10" ht="17.25" customHeight="1" x14ac:dyDescent="0.25">
      <c r="B86" s="7" t="s">
        <v>115</v>
      </c>
      <c r="C86" s="11"/>
      <c r="D86" s="11"/>
      <c r="E86" s="11"/>
      <c r="F86" s="11"/>
      <c r="G86" s="11"/>
      <c r="H86" s="11"/>
      <c r="I86" s="11"/>
      <c r="J86" s="11"/>
    </row>
    <row r="87" spans="2:10" ht="17.25" customHeight="1" x14ac:dyDescent="0.25">
      <c r="B87" s="7" t="s">
        <v>116</v>
      </c>
      <c r="C87" s="11"/>
      <c r="D87" s="11"/>
      <c r="E87" s="11"/>
      <c r="F87" s="11"/>
      <c r="G87" s="11"/>
      <c r="H87" s="11"/>
      <c r="I87" s="11"/>
      <c r="J87" s="11"/>
    </row>
    <row r="88" spans="2:10" ht="17.25" customHeight="1" x14ac:dyDescent="0.25">
      <c r="B88" s="7" t="s">
        <v>51</v>
      </c>
      <c r="C88" s="11"/>
      <c r="D88" s="11"/>
      <c r="E88" s="11"/>
      <c r="F88" s="11"/>
      <c r="G88" s="11"/>
      <c r="H88" s="11"/>
      <c r="I88" s="11"/>
      <c r="J88" s="13"/>
    </row>
    <row r="89" spans="2:10" ht="17.25" customHeight="1" x14ac:dyDescent="0.25">
      <c r="B89" s="7" t="s">
        <v>52</v>
      </c>
      <c r="C89" s="11"/>
      <c r="D89" s="11"/>
      <c r="E89" s="11"/>
      <c r="F89" s="11"/>
      <c r="G89" s="11"/>
      <c r="H89" s="11"/>
      <c r="I89" s="11"/>
      <c r="J89" s="13"/>
    </row>
    <row r="90" spans="2:10" ht="17.25" customHeight="1" x14ac:dyDescent="0.25">
      <c r="B90" s="7" t="s">
        <v>53</v>
      </c>
      <c r="C90" s="11"/>
      <c r="D90" s="11"/>
      <c r="E90" s="11"/>
      <c r="F90" s="11"/>
      <c r="G90" s="11"/>
      <c r="H90" s="11"/>
      <c r="I90" s="11"/>
      <c r="J90" s="13"/>
    </row>
    <row r="91" spans="2:10" ht="17.25" customHeight="1" x14ac:dyDescent="0.25">
      <c r="B91" s="8" t="s">
        <v>54</v>
      </c>
      <c r="C91" s="12"/>
      <c r="D91" s="12"/>
      <c r="E91" s="12"/>
      <c r="F91" s="12"/>
      <c r="G91" s="12"/>
      <c r="H91" s="12"/>
      <c r="I91" s="12"/>
      <c r="J91" s="14"/>
    </row>
    <row r="93" spans="2:10" ht="17.25" customHeight="1" x14ac:dyDescent="0.25">
      <c r="B93" s="4" t="s">
        <v>111</v>
      </c>
    </row>
    <row r="94" spans="2:10" ht="24" customHeight="1" x14ac:dyDescent="0.25">
      <c r="B94" s="5" t="s">
        <v>78</v>
      </c>
      <c r="C94" s="5" t="s">
        <v>0</v>
      </c>
      <c r="D94" s="5" t="s">
        <v>1</v>
      </c>
      <c r="E94" s="5" t="s">
        <v>2</v>
      </c>
      <c r="F94" s="5" t="s">
        <v>3</v>
      </c>
      <c r="G94" s="5" t="s">
        <v>4</v>
      </c>
      <c r="H94" s="5" t="s">
        <v>5</v>
      </c>
      <c r="I94" s="5" t="s">
        <v>6</v>
      </c>
      <c r="J94" s="9" t="s">
        <v>123</v>
      </c>
    </row>
    <row r="95" spans="2:10" ht="17.25" customHeight="1" x14ac:dyDescent="0.25">
      <c r="B95" s="7" t="s">
        <v>79</v>
      </c>
      <c r="C95" s="11"/>
      <c r="D95" s="11"/>
      <c r="E95" s="11"/>
      <c r="F95" s="11"/>
      <c r="G95" s="11"/>
      <c r="H95" s="11"/>
      <c r="I95" s="11"/>
      <c r="J95" s="11"/>
    </row>
    <row r="96" spans="2:10" ht="17.25" customHeight="1" x14ac:dyDescent="0.25">
      <c r="B96" s="7" t="s">
        <v>117</v>
      </c>
      <c r="C96" s="11"/>
      <c r="D96" s="11"/>
      <c r="E96" s="11"/>
      <c r="F96" s="11"/>
      <c r="G96" s="11"/>
      <c r="H96" s="11"/>
      <c r="I96" s="11"/>
      <c r="J96" s="11"/>
    </row>
    <row r="97" spans="2:10" ht="17.25" customHeight="1" x14ac:dyDescent="0.25">
      <c r="B97" s="7" t="s">
        <v>80</v>
      </c>
      <c r="C97" s="11"/>
      <c r="D97" s="11"/>
      <c r="E97" s="11"/>
      <c r="F97" s="11"/>
      <c r="G97" s="11"/>
      <c r="H97" s="11"/>
      <c r="I97" s="11"/>
      <c r="J97" s="11"/>
    </row>
    <row r="98" spans="2:10" ht="17.25" customHeight="1" x14ac:dyDescent="0.25">
      <c r="B98" s="7" t="s">
        <v>12</v>
      </c>
      <c r="C98" s="11"/>
      <c r="D98" s="11"/>
      <c r="E98" s="11"/>
      <c r="F98" s="11"/>
      <c r="G98" s="11"/>
      <c r="H98" s="11"/>
      <c r="I98" s="11"/>
      <c r="J98" s="11"/>
    </row>
    <row r="99" spans="2:10" ht="17.25" customHeight="1" x14ac:dyDescent="0.25">
      <c r="B99" s="7" t="s">
        <v>115</v>
      </c>
      <c r="C99" s="11"/>
      <c r="D99" s="11"/>
      <c r="E99" s="11"/>
      <c r="F99" s="11"/>
      <c r="G99" s="11"/>
      <c r="H99" s="11"/>
      <c r="I99" s="11"/>
      <c r="J99" s="11"/>
    </row>
    <row r="100" spans="2:10" ht="17.25" customHeight="1" x14ac:dyDescent="0.25">
      <c r="B100" s="7" t="s">
        <v>118</v>
      </c>
      <c r="C100" s="11"/>
      <c r="D100" s="11"/>
      <c r="E100" s="11"/>
      <c r="F100" s="11"/>
      <c r="G100" s="11"/>
      <c r="H100" s="11"/>
      <c r="I100" s="11"/>
      <c r="J100" s="11"/>
    </row>
    <row r="101" spans="2:10" ht="17.25" customHeight="1" x14ac:dyDescent="0.25">
      <c r="B101" s="7" t="s">
        <v>55</v>
      </c>
      <c r="C101" s="11"/>
      <c r="D101" s="11"/>
      <c r="E101" s="11"/>
      <c r="F101" s="11"/>
      <c r="G101" s="11"/>
      <c r="H101" s="11"/>
      <c r="I101" s="11"/>
      <c r="J101" s="13"/>
    </row>
    <row r="102" spans="2:10" ht="17.25" customHeight="1" x14ac:dyDescent="0.25">
      <c r="B102" s="7" t="s">
        <v>53</v>
      </c>
      <c r="C102" s="11"/>
      <c r="D102" s="11"/>
      <c r="E102" s="11"/>
      <c r="F102" s="11"/>
      <c r="G102" s="11"/>
      <c r="H102" s="11"/>
      <c r="I102" s="11"/>
      <c r="J102" s="13"/>
    </row>
    <row r="103" spans="2:10" ht="17.25" customHeight="1" x14ac:dyDescent="0.25">
      <c r="B103" s="8" t="s">
        <v>54</v>
      </c>
      <c r="C103" s="12"/>
      <c r="D103" s="12"/>
      <c r="E103" s="12"/>
      <c r="F103" s="12"/>
      <c r="G103" s="12"/>
      <c r="H103" s="12"/>
      <c r="I103" s="12"/>
      <c r="J103" s="14"/>
    </row>
    <row r="105" spans="2:10" ht="17.25" customHeight="1" x14ac:dyDescent="0.25">
      <c r="B105" s="4" t="s">
        <v>112</v>
      </c>
    </row>
    <row r="106" spans="2:10" ht="17.25" customHeight="1" x14ac:dyDescent="0.25">
      <c r="B106" s="5" t="s">
        <v>81</v>
      </c>
      <c r="C106" s="5" t="s">
        <v>0</v>
      </c>
      <c r="D106" s="5" t="s">
        <v>1</v>
      </c>
      <c r="E106" s="5" t="s">
        <v>2</v>
      </c>
      <c r="F106" s="5" t="s">
        <v>3</v>
      </c>
      <c r="G106" s="5" t="s">
        <v>4</v>
      </c>
      <c r="H106" s="5" t="s">
        <v>5</v>
      </c>
      <c r="I106" s="5" t="s">
        <v>6</v>
      </c>
      <c r="J106" s="5" t="s">
        <v>7</v>
      </c>
    </row>
    <row r="107" spans="2:10" ht="17.25" customHeight="1" x14ac:dyDescent="0.25">
      <c r="B107" s="7" t="s">
        <v>13</v>
      </c>
      <c r="C107" s="11"/>
      <c r="D107" s="11"/>
      <c r="E107" s="11"/>
      <c r="F107" s="11"/>
      <c r="G107" s="11"/>
      <c r="H107" s="11"/>
      <c r="I107" s="11"/>
      <c r="J107" s="11"/>
    </row>
    <row r="108" spans="2:10" ht="17.25" customHeight="1" x14ac:dyDescent="0.25">
      <c r="B108" s="7" t="s">
        <v>56</v>
      </c>
      <c r="C108" s="11"/>
      <c r="D108" s="11"/>
      <c r="E108" s="11"/>
      <c r="F108" s="11"/>
      <c r="G108" s="11"/>
      <c r="H108" s="11"/>
      <c r="I108" s="11"/>
      <c r="J108" s="11"/>
    </row>
    <row r="109" spans="2:10" ht="17.25" customHeight="1" x14ac:dyDescent="0.25">
      <c r="B109" s="7" t="s">
        <v>57</v>
      </c>
      <c r="C109" s="11"/>
      <c r="D109" s="11"/>
      <c r="E109" s="11"/>
      <c r="F109" s="11"/>
      <c r="G109" s="11"/>
      <c r="H109" s="11"/>
      <c r="I109" s="11"/>
      <c r="J109" s="11"/>
    </row>
    <row r="110" spans="2:10" ht="17.25" customHeight="1" x14ac:dyDescent="0.25">
      <c r="B110" s="7" t="s">
        <v>58</v>
      </c>
      <c r="C110" s="11"/>
      <c r="D110" s="11"/>
      <c r="E110" s="11"/>
      <c r="F110" s="11"/>
      <c r="G110" s="11"/>
      <c r="H110" s="11"/>
      <c r="I110" s="11"/>
      <c r="J110" s="11"/>
    </row>
    <row r="111" spans="2:10" ht="17.25" customHeight="1" x14ac:dyDescent="0.25">
      <c r="B111" s="7" t="s">
        <v>59</v>
      </c>
      <c r="C111" s="11"/>
      <c r="D111" s="11"/>
      <c r="E111" s="11"/>
      <c r="F111" s="11"/>
      <c r="G111" s="11"/>
      <c r="H111" s="11"/>
      <c r="I111" s="11"/>
      <c r="J111" s="11"/>
    </row>
    <row r="112" spans="2:10" ht="17.25" customHeight="1" x14ac:dyDescent="0.25">
      <c r="B112" s="7" t="s">
        <v>60</v>
      </c>
      <c r="C112" s="11"/>
      <c r="D112" s="11"/>
      <c r="E112" s="11"/>
      <c r="F112" s="11"/>
      <c r="G112" s="11"/>
      <c r="H112" s="11"/>
      <c r="I112" s="11"/>
      <c r="J112" s="11"/>
    </row>
    <row r="113" spans="2:10" ht="17.25" customHeight="1" x14ac:dyDescent="0.25">
      <c r="B113" s="8" t="s">
        <v>61</v>
      </c>
      <c r="C113" s="12"/>
      <c r="D113" s="12"/>
      <c r="E113" s="12"/>
      <c r="F113" s="12"/>
      <c r="G113" s="12"/>
      <c r="H113" s="12"/>
      <c r="I113" s="12"/>
      <c r="J113" s="12"/>
    </row>
    <row r="115" spans="2:10" ht="17.25" customHeight="1" x14ac:dyDescent="0.25">
      <c r="B115" s="4" t="s">
        <v>113</v>
      </c>
    </row>
    <row r="116" spans="2:10" ht="17.25" customHeight="1" x14ac:dyDescent="0.25">
      <c r="B116" s="5" t="s">
        <v>82</v>
      </c>
      <c r="C116" s="5" t="s">
        <v>14</v>
      </c>
      <c r="D116" s="5" t="s">
        <v>15</v>
      </c>
      <c r="E116" s="5" t="s">
        <v>16</v>
      </c>
      <c r="F116" s="5" t="s">
        <v>17</v>
      </c>
    </row>
    <row r="117" spans="2:10" ht="17.25" customHeight="1" x14ac:dyDescent="0.25">
      <c r="B117" s="8" t="s">
        <v>62</v>
      </c>
      <c r="C117" s="12"/>
      <c r="D117" s="12"/>
      <c r="E117" s="12"/>
      <c r="F117" s="12"/>
    </row>
    <row r="119" spans="2:10" ht="17.25" customHeight="1" x14ac:dyDescent="0.25">
      <c r="B119" s="4" t="s">
        <v>114</v>
      </c>
    </row>
    <row r="120" spans="2:10" ht="17.25" customHeight="1" x14ac:dyDescent="0.25">
      <c r="B120" s="5" t="s">
        <v>83</v>
      </c>
      <c r="C120" s="5" t="s">
        <v>6</v>
      </c>
    </row>
    <row r="121" spans="2:10" ht="17.25" customHeight="1" x14ac:dyDescent="0.25">
      <c r="B121" s="7" t="s">
        <v>119</v>
      </c>
      <c r="C121" s="11"/>
    </row>
    <row r="122" spans="2:10" ht="17.25" customHeight="1" x14ac:dyDescent="0.25">
      <c r="B122" s="7" t="s">
        <v>120</v>
      </c>
      <c r="C122" s="11"/>
    </row>
    <row r="123" spans="2:10" ht="17.25" customHeight="1" x14ac:dyDescent="0.25">
      <c r="B123" s="7" t="s">
        <v>121</v>
      </c>
      <c r="C123" s="11"/>
    </row>
    <row r="124" spans="2:10" ht="17.25" customHeight="1" x14ac:dyDescent="0.25">
      <c r="B124" s="8" t="s">
        <v>63</v>
      </c>
      <c r="C124" s="12"/>
    </row>
  </sheetData>
  <mergeCells count="8">
    <mergeCell ref="K47:L47"/>
    <mergeCell ref="M47:N47"/>
    <mergeCell ref="B6:J6"/>
    <mergeCell ref="B47:B48"/>
    <mergeCell ref="C47:D47"/>
    <mergeCell ref="E47:F47"/>
    <mergeCell ref="G47:H47"/>
    <mergeCell ref="I47:J47"/>
  </mergeCells>
  <printOptions horizontalCentered="1"/>
  <pageMargins left="0" right="0" top="0.39370078740157483" bottom="0.59055118110236227" header="0.31496062992125984" footer="0.31496062992125984"/>
  <pageSetup paperSize="9" scale="74" orientation="landscape" verticalDpi="0" r:id="rId1"/>
  <rowBreaks count="3" manualBreakCount="3">
    <brk id="44" max="13" man="1"/>
    <brk id="79" max="13" man="1"/>
    <brk id="104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85"/>
  <sheetViews>
    <sheetView showGridLines="0" zoomScaleNormal="100" workbookViewId="0"/>
  </sheetViews>
  <sheetFormatPr baseColWidth="10" defaultColWidth="11.42578125" defaultRowHeight="10.5" x14ac:dyDescent="0.25"/>
  <cols>
    <col min="1" max="1" width="6.85546875" style="40" customWidth="1"/>
    <col min="2" max="2" width="61.28515625" style="21" customWidth="1"/>
    <col min="3" max="3" width="12" style="21" customWidth="1"/>
    <col min="4" max="4" width="12.85546875" style="21" customWidth="1"/>
    <col min="5" max="5" width="9.85546875" style="21" customWidth="1"/>
    <col min="6" max="6" width="11.28515625" style="21" customWidth="1"/>
    <col min="7" max="7" width="9.7109375" style="21" customWidth="1"/>
    <col min="8" max="8" width="11.5703125" style="21" customWidth="1"/>
    <col min="9" max="9" width="12.5703125" style="21" customWidth="1"/>
    <col min="10" max="10" width="13.42578125" style="21" customWidth="1"/>
    <col min="11" max="11" width="12.85546875" style="21" customWidth="1"/>
    <col min="12" max="12" width="15.5703125" style="21" customWidth="1"/>
    <col min="13" max="13" width="17.28515625" style="21" customWidth="1"/>
    <col min="14" max="14" width="10.7109375" style="21" customWidth="1"/>
    <col min="15" max="16384" width="11.42578125" style="21"/>
  </cols>
  <sheetData>
    <row r="1" spans="1:13" x14ac:dyDescent="0.25">
      <c r="A1" s="20"/>
    </row>
    <row r="2" spans="1:13" ht="12.75" x14ac:dyDescent="0.25">
      <c r="A2" s="353" t="s">
        <v>124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</row>
    <row r="4" spans="1:13" x14ac:dyDescent="0.25">
      <c r="A4" s="22"/>
      <c r="B4" s="21" t="s">
        <v>279</v>
      </c>
      <c r="C4" s="23"/>
    </row>
    <row r="5" spans="1:13" x14ac:dyDescent="0.25">
      <c r="A5" s="24"/>
      <c r="B5" s="21" t="str">
        <f>'ITS - VIH SIDA'!B2</f>
        <v>ESTABLECIMIENTO:</v>
      </c>
    </row>
    <row r="6" spans="1:13" x14ac:dyDescent="0.25">
      <c r="A6" s="24"/>
      <c r="B6" s="21" t="str">
        <f>'ITS - VIH SIDA'!B3</f>
        <v>DESDE:</v>
      </c>
      <c r="C6" s="23"/>
    </row>
    <row r="7" spans="1:13" x14ac:dyDescent="0.25">
      <c r="A7" s="24"/>
      <c r="B7" s="21" t="str">
        <f>'ITS - VIH SIDA'!B4</f>
        <v>HASTA:</v>
      </c>
      <c r="C7" s="23"/>
    </row>
    <row r="8" spans="1:13" ht="11.25" thickBot="1" x14ac:dyDescent="0.3">
      <c r="A8" s="24"/>
      <c r="C8" s="23"/>
    </row>
    <row r="9" spans="1:13" ht="11.25" thickBot="1" x14ac:dyDescent="0.3">
      <c r="A9" s="24"/>
      <c r="C9" s="25" t="s">
        <v>125</v>
      </c>
      <c r="D9" s="26" t="s">
        <v>126</v>
      </c>
      <c r="E9" s="27" t="s">
        <v>127</v>
      </c>
      <c r="F9" s="28" t="s">
        <v>128</v>
      </c>
      <c r="G9" s="29" t="s">
        <v>129</v>
      </c>
    </row>
    <row r="10" spans="1:13" ht="11.25" thickBot="1" x14ac:dyDescent="0.3">
      <c r="A10" s="30"/>
      <c r="B10" s="31" t="s">
        <v>130</v>
      </c>
      <c r="C10" s="32"/>
      <c r="D10" s="33"/>
      <c r="E10" s="34"/>
      <c r="F10" s="35"/>
      <c r="G10" s="36"/>
      <c r="H10" s="37"/>
      <c r="I10" s="37"/>
      <c r="J10" s="38"/>
      <c r="K10" s="39"/>
      <c r="L10" s="39"/>
      <c r="M10" s="39"/>
    </row>
    <row r="11" spans="1:13" ht="11.25" thickBot="1" x14ac:dyDescent="0.3"/>
    <row r="12" spans="1:13" x14ac:dyDescent="0.25">
      <c r="A12" s="354" t="s">
        <v>131</v>
      </c>
      <c r="B12" s="355"/>
      <c r="C12" s="350" t="s">
        <v>132</v>
      </c>
      <c r="D12" s="351"/>
      <c r="E12" s="351"/>
      <c r="F12" s="351"/>
      <c r="G12" s="351"/>
      <c r="H12" s="351"/>
      <c r="I12" s="352"/>
      <c r="J12" s="333" t="s">
        <v>129</v>
      </c>
      <c r="K12" s="333" t="s">
        <v>133</v>
      </c>
      <c r="L12" s="335" t="s">
        <v>134</v>
      </c>
      <c r="M12" s="335" t="s">
        <v>135</v>
      </c>
    </row>
    <row r="13" spans="1:13" ht="11.25" thickBot="1" x14ac:dyDescent="0.3">
      <c r="A13" s="356"/>
      <c r="B13" s="357"/>
      <c r="C13" s="41" t="s">
        <v>125</v>
      </c>
      <c r="D13" s="42" t="s">
        <v>136</v>
      </c>
      <c r="E13" s="43" t="s">
        <v>137</v>
      </c>
      <c r="F13" s="43" t="s">
        <v>138</v>
      </c>
      <c r="G13" s="43" t="s">
        <v>139</v>
      </c>
      <c r="H13" s="43" t="s">
        <v>140</v>
      </c>
      <c r="I13" s="44" t="s">
        <v>128</v>
      </c>
      <c r="J13" s="358"/>
      <c r="K13" s="358"/>
      <c r="L13" s="359"/>
      <c r="M13" s="359"/>
    </row>
    <row r="14" spans="1:13" ht="11.25" thickBot="1" x14ac:dyDescent="0.3">
      <c r="A14" s="45">
        <v>1.1000000000000001</v>
      </c>
      <c r="B14" s="46" t="s">
        <v>141</v>
      </c>
      <c r="C14" s="47">
        <f>SUM('ITS - VIH SIDA'!C59:D78)</f>
        <v>0</v>
      </c>
      <c r="D14" s="48">
        <f>SUM('ITS - VIH SIDA'!E59:E78)</f>
        <v>0</v>
      </c>
      <c r="E14" s="48">
        <f>SUM('ITS - VIH SIDA'!F59:F78)</f>
        <v>0</v>
      </c>
      <c r="F14" s="48">
        <f>SUM('ITS - VIH SIDA'!G59:G78)</f>
        <v>0</v>
      </c>
      <c r="G14" s="48">
        <f>SUM('ITS - VIH SIDA'!H59:H78)</f>
        <v>0</v>
      </c>
      <c r="H14" s="48">
        <f>SUM('ITS - VIH SIDA'!I59:I78)</f>
        <v>0</v>
      </c>
      <c r="I14" s="49">
        <f>SUM('ITS - VIH SIDA'!J59:J78)</f>
        <v>0</v>
      </c>
      <c r="J14" s="50">
        <f>SUM('ITS - VIH SIDA'!K59:K78)</f>
        <v>0</v>
      </c>
      <c r="K14" s="51"/>
      <c r="L14" s="52"/>
      <c r="M14" s="53"/>
    </row>
    <row r="15" spans="1:13" x14ac:dyDescent="0.25">
      <c r="A15" s="54">
        <v>1.2</v>
      </c>
      <c r="B15" s="55" t="s">
        <v>142</v>
      </c>
      <c r="C15" s="56"/>
      <c r="D15" s="57"/>
      <c r="E15" s="57"/>
      <c r="F15" s="57"/>
      <c r="G15" s="57"/>
      <c r="H15" s="57"/>
      <c r="I15" s="58"/>
      <c r="J15" s="59"/>
      <c r="K15" s="60"/>
      <c r="L15" s="61">
        <f>'ITS - VIH SIDA'!I19+'ITS - VIH SIDA'!I20</f>
        <v>0</v>
      </c>
      <c r="M15" s="62">
        <f>'ITS - VIH SIDA'!J19+'ITS - VIH SIDA'!J20</f>
        <v>0</v>
      </c>
    </row>
    <row r="16" spans="1:13" x14ac:dyDescent="0.25">
      <c r="A16" s="54">
        <v>1.3</v>
      </c>
      <c r="B16" s="63" t="s">
        <v>143</v>
      </c>
      <c r="C16" s="64"/>
      <c r="D16" s="65">
        <f>'ITS - VIH SIDA'!C10</f>
        <v>0</v>
      </c>
      <c r="E16" s="65">
        <f>'ITS - VIH SIDA'!D10</f>
        <v>0</v>
      </c>
      <c r="F16" s="65">
        <f>'ITS - VIH SIDA'!E10</f>
        <v>0</v>
      </c>
      <c r="G16" s="65">
        <f>'ITS - VIH SIDA'!F10</f>
        <v>0</v>
      </c>
      <c r="H16" s="65">
        <f>'ITS - VIH SIDA'!G10</f>
        <v>0</v>
      </c>
      <c r="I16" s="66">
        <f>'ITS - VIH SIDA'!H10</f>
        <v>0</v>
      </c>
      <c r="J16" s="67">
        <f>'ITS - VIH SIDA'!I10</f>
        <v>0</v>
      </c>
      <c r="K16" s="67">
        <f>'ITS - VIH SIDA'!J10</f>
        <v>0</v>
      </c>
      <c r="L16" s="68"/>
      <c r="M16" s="69"/>
    </row>
    <row r="17" spans="1:13" x14ac:dyDescent="0.25">
      <c r="A17" s="70">
        <v>1.4</v>
      </c>
      <c r="B17" s="71" t="s">
        <v>144</v>
      </c>
      <c r="C17" s="64"/>
      <c r="D17" s="72">
        <f>'ITS - VIH SIDA'!C11</f>
        <v>0</v>
      </c>
      <c r="E17" s="72">
        <f>'ITS - VIH SIDA'!D11</f>
        <v>0</v>
      </c>
      <c r="F17" s="72">
        <f>'ITS - VIH SIDA'!E11</f>
        <v>0</v>
      </c>
      <c r="G17" s="72">
        <f>'ITS - VIH SIDA'!F11</f>
        <v>0</v>
      </c>
      <c r="H17" s="72">
        <f>'ITS - VIH SIDA'!G11</f>
        <v>0</v>
      </c>
      <c r="I17" s="73">
        <f>'ITS - VIH SIDA'!H11</f>
        <v>0</v>
      </c>
      <c r="J17" s="67">
        <f>'ITS - VIH SIDA'!I11</f>
        <v>0</v>
      </c>
      <c r="K17" s="67">
        <f>'ITS - VIH SIDA'!J11</f>
        <v>0</v>
      </c>
      <c r="L17" s="74"/>
      <c r="M17" s="75"/>
    </row>
    <row r="18" spans="1:13" x14ac:dyDescent="0.25">
      <c r="A18" s="54">
        <v>1.5</v>
      </c>
      <c r="B18" s="71" t="s">
        <v>145</v>
      </c>
      <c r="C18" s="64"/>
      <c r="D18" s="72">
        <f>'ITS - VIH SIDA'!C13</f>
        <v>0</v>
      </c>
      <c r="E18" s="72">
        <f>'ITS - VIH SIDA'!D13</f>
        <v>0</v>
      </c>
      <c r="F18" s="72">
        <f>'ITS - VIH SIDA'!E13</f>
        <v>0</v>
      </c>
      <c r="G18" s="72">
        <f>'ITS - VIH SIDA'!F13</f>
        <v>0</v>
      </c>
      <c r="H18" s="72">
        <f>'ITS - VIH SIDA'!G13</f>
        <v>0</v>
      </c>
      <c r="I18" s="73">
        <f>'ITS - VIH SIDA'!H13</f>
        <v>0</v>
      </c>
      <c r="J18" s="67">
        <f>'ITS - VIH SIDA'!I13</f>
        <v>0</v>
      </c>
      <c r="K18" s="67">
        <f>'ITS - VIH SIDA'!J13</f>
        <v>0</v>
      </c>
      <c r="L18" s="74"/>
      <c r="M18" s="75"/>
    </row>
    <row r="19" spans="1:13" x14ac:dyDescent="0.25">
      <c r="A19" s="54">
        <v>1.6</v>
      </c>
      <c r="B19" s="71" t="s">
        <v>146</v>
      </c>
      <c r="C19" s="64"/>
      <c r="D19" s="72">
        <f>'ITS - VIH SIDA'!C12</f>
        <v>0</v>
      </c>
      <c r="E19" s="72">
        <f>'ITS - VIH SIDA'!D12</f>
        <v>0</v>
      </c>
      <c r="F19" s="72">
        <f>'ITS - VIH SIDA'!E12</f>
        <v>0</v>
      </c>
      <c r="G19" s="72">
        <f>'ITS - VIH SIDA'!F12</f>
        <v>0</v>
      </c>
      <c r="H19" s="72">
        <f>'ITS - VIH SIDA'!G12</f>
        <v>0</v>
      </c>
      <c r="I19" s="73">
        <f>'ITS - VIH SIDA'!H12</f>
        <v>0</v>
      </c>
      <c r="J19" s="67">
        <f>'ITS - VIH SIDA'!I12</f>
        <v>0</v>
      </c>
      <c r="K19" s="67">
        <f>'ITS - VIH SIDA'!J12</f>
        <v>0</v>
      </c>
      <c r="L19" s="74"/>
      <c r="M19" s="75"/>
    </row>
    <row r="20" spans="1:13" ht="21" x14ac:dyDescent="0.25">
      <c r="A20" s="54">
        <v>1.7</v>
      </c>
      <c r="B20" s="76" t="s">
        <v>147</v>
      </c>
      <c r="C20" s="64"/>
      <c r="D20" s="72">
        <f>'ITS - VIH SIDA'!C15</f>
        <v>0</v>
      </c>
      <c r="E20" s="72">
        <f>'ITS - VIH SIDA'!D15</f>
        <v>0</v>
      </c>
      <c r="F20" s="72">
        <f>'ITS - VIH SIDA'!E15</f>
        <v>0</v>
      </c>
      <c r="G20" s="72">
        <f>'ITS - VIH SIDA'!F15</f>
        <v>0</v>
      </c>
      <c r="H20" s="72">
        <f>'ITS - VIH SIDA'!G15</f>
        <v>0</v>
      </c>
      <c r="I20" s="73">
        <f>'ITS - VIH SIDA'!H15</f>
        <v>0</v>
      </c>
      <c r="J20" s="67">
        <f>'ITS - VIH SIDA'!I15</f>
        <v>0</v>
      </c>
      <c r="K20" s="67">
        <f>'ITS - VIH SIDA'!J15</f>
        <v>0</v>
      </c>
      <c r="L20" s="74"/>
      <c r="M20" s="75"/>
    </row>
    <row r="21" spans="1:13" ht="21" x14ac:dyDescent="0.25">
      <c r="A21" s="54">
        <v>1.8</v>
      </c>
      <c r="B21" s="76" t="s">
        <v>148</v>
      </c>
      <c r="C21" s="64"/>
      <c r="D21" s="72">
        <f>'ITS - VIH SIDA'!C14</f>
        <v>0</v>
      </c>
      <c r="E21" s="72">
        <f>'ITS - VIH SIDA'!D14</f>
        <v>0</v>
      </c>
      <c r="F21" s="72">
        <f>'ITS - VIH SIDA'!E14</f>
        <v>0</v>
      </c>
      <c r="G21" s="72">
        <f>'ITS - VIH SIDA'!F14</f>
        <v>0</v>
      </c>
      <c r="H21" s="72">
        <f>'ITS - VIH SIDA'!G14</f>
        <v>0</v>
      </c>
      <c r="I21" s="73">
        <f>'ITS - VIH SIDA'!H14</f>
        <v>0</v>
      </c>
      <c r="J21" s="67">
        <f>'ITS - VIH SIDA'!I14</f>
        <v>0</v>
      </c>
      <c r="K21" s="67">
        <f>'ITS - VIH SIDA'!J14</f>
        <v>0</v>
      </c>
      <c r="L21" s="74"/>
      <c r="M21" s="75"/>
    </row>
    <row r="22" spans="1:13" x14ac:dyDescent="0.25">
      <c r="A22" s="54">
        <v>1.9</v>
      </c>
      <c r="B22" s="71" t="s">
        <v>149</v>
      </c>
      <c r="C22" s="64"/>
      <c r="D22" s="72">
        <f>'ITS - VIH SIDA'!C17</f>
        <v>0</v>
      </c>
      <c r="E22" s="72">
        <f>'ITS - VIH SIDA'!D17</f>
        <v>0</v>
      </c>
      <c r="F22" s="72">
        <f>'ITS - VIH SIDA'!E17</f>
        <v>0</v>
      </c>
      <c r="G22" s="72">
        <f>'ITS - VIH SIDA'!F17</f>
        <v>0</v>
      </c>
      <c r="H22" s="72">
        <f>'ITS - VIH SIDA'!G17</f>
        <v>0</v>
      </c>
      <c r="I22" s="73">
        <f>'ITS - VIH SIDA'!H17</f>
        <v>0</v>
      </c>
      <c r="J22" s="67">
        <f>'ITS - VIH SIDA'!I17</f>
        <v>0</v>
      </c>
      <c r="K22" s="67">
        <f>'ITS - VIH SIDA'!J17</f>
        <v>0</v>
      </c>
      <c r="L22" s="74"/>
      <c r="M22" s="75"/>
    </row>
    <row r="23" spans="1:13" x14ac:dyDescent="0.25">
      <c r="A23" s="77">
        <v>1.1000000000000001</v>
      </c>
      <c r="B23" s="71" t="s">
        <v>150</v>
      </c>
      <c r="C23" s="64"/>
      <c r="D23" s="72">
        <f>'ITS - VIH SIDA'!C16</f>
        <v>0</v>
      </c>
      <c r="E23" s="72">
        <f>'ITS - VIH SIDA'!D16</f>
        <v>0</v>
      </c>
      <c r="F23" s="72">
        <f>'ITS - VIH SIDA'!E16</f>
        <v>0</v>
      </c>
      <c r="G23" s="72">
        <f>'ITS - VIH SIDA'!F16</f>
        <v>0</v>
      </c>
      <c r="H23" s="72">
        <f>'ITS - VIH SIDA'!G16</f>
        <v>0</v>
      </c>
      <c r="I23" s="73">
        <f>'ITS - VIH SIDA'!H16</f>
        <v>0</v>
      </c>
      <c r="J23" s="67">
        <f>'ITS - VIH SIDA'!I16</f>
        <v>0</v>
      </c>
      <c r="K23" s="67">
        <f>'ITS - VIH SIDA'!J16</f>
        <v>0</v>
      </c>
      <c r="L23" s="74"/>
      <c r="M23" s="75"/>
    </row>
    <row r="24" spans="1:13" ht="11.25" thickBot="1" x14ac:dyDescent="0.3">
      <c r="A24" s="78">
        <v>1.1100000000000001</v>
      </c>
      <c r="B24" s="79" t="s">
        <v>151</v>
      </c>
      <c r="C24" s="80"/>
      <c r="D24" s="81">
        <f>'ITS - VIH SIDA'!C18</f>
        <v>0</v>
      </c>
      <c r="E24" s="81">
        <f>'ITS - VIH SIDA'!D18</f>
        <v>0</v>
      </c>
      <c r="F24" s="81">
        <f>'ITS - VIH SIDA'!E18</f>
        <v>0</v>
      </c>
      <c r="G24" s="81">
        <f>'ITS - VIH SIDA'!F18</f>
        <v>0</v>
      </c>
      <c r="H24" s="81">
        <f>'ITS - VIH SIDA'!G18</f>
        <v>0</v>
      </c>
      <c r="I24" s="82">
        <f>'ITS - VIH SIDA'!H18</f>
        <v>0</v>
      </c>
      <c r="J24" s="83">
        <f>'ITS - VIH SIDA'!I18</f>
        <v>0</v>
      </c>
      <c r="K24" s="83">
        <f>'ITS - VIH SIDA'!J18</f>
        <v>0</v>
      </c>
      <c r="L24" s="84"/>
      <c r="M24" s="85"/>
    </row>
    <row r="25" spans="1:13" ht="11.25" thickBot="1" x14ac:dyDescent="0.3">
      <c r="A25" s="86"/>
      <c r="B25" s="87" t="s">
        <v>152</v>
      </c>
      <c r="C25" s="88"/>
      <c r="D25" s="89"/>
      <c r="E25" s="89"/>
      <c r="F25" s="89"/>
      <c r="G25" s="89"/>
      <c r="H25" s="89"/>
      <c r="I25" s="89"/>
      <c r="J25" s="89"/>
      <c r="K25" s="89"/>
      <c r="L25" s="89"/>
      <c r="M25" s="90"/>
    </row>
    <row r="26" spans="1:13" x14ac:dyDescent="0.25">
      <c r="A26" s="91">
        <v>1.1200000000000001</v>
      </c>
      <c r="B26" s="92" t="s">
        <v>153</v>
      </c>
      <c r="C26" s="93"/>
      <c r="D26" s="94"/>
      <c r="E26" s="94"/>
      <c r="F26" s="94"/>
      <c r="G26" s="94"/>
      <c r="H26" s="94"/>
      <c r="I26" s="95"/>
      <c r="J26" s="96"/>
      <c r="K26" s="60"/>
      <c r="L26" s="97"/>
      <c r="M26" s="60"/>
    </row>
    <row r="27" spans="1:13" x14ac:dyDescent="0.25">
      <c r="A27" s="77">
        <v>1.1299999999999999</v>
      </c>
      <c r="B27" s="98" t="s">
        <v>154</v>
      </c>
      <c r="C27" s="99"/>
      <c r="D27" s="72">
        <f>'ITS - VIH SIDA'!C108</f>
        <v>0</v>
      </c>
      <c r="E27" s="72">
        <f>'ITS - VIH SIDA'!D108</f>
        <v>0</v>
      </c>
      <c r="F27" s="72">
        <f>'ITS - VIH SIDA'!E108</f>
        <v>0</v>
      </c>
      <c r="G27" s="72">
        <f>'ITS - VIH SIDA'!F108</f>
        <v>0</v>
      </c>
      <c r="H27" s="72">
        <f>'ITS - VIH SIDA'!G108</f>
        <v>0</v>
      </c>
      <c r="I27" s="73">
        <f>'ITS - VIH SIDA'!H108</f>
        <v>0</v>
      </c>
      <c r="J27" s="67">
        <f>'ITS - VIH SIDA'!I108</f>
        <v>0</v>
      </c>
      <c r="K27" s="67">
        <f>'ITS - VIH SIDA'!J108</f>
        <v>0</v>
      </c>
      <c r="L27" s="100"/>
      <c r="M27" s="101"/>
    </row>
    <row r="28" spans="1:13" x14ac:dyDescent="0.25">
      <c r="A28" s="77">
        <v>1.1399999999999999</v>
      </c>
      <c r="B28" s="98" t="s">
        <v>155</v>
      </c>
      <c r="C28" s="99"/>
      <c r="D28" s="72">
        <f>'ITS - VIH SIDA'!C109</f>
        <v>0</v>
      </c>
      <c r="E28" s="72">
        <f>'ITS - VIH SIDA'!D109</f>
        <v>0</v>
      </c>
      <c r="F28" s="72">
        <f>'ITS - VIH SIDA'!E109</f>
        <v>0</v>
      </c>
      <c r="G28" s="72">
        <f>'ITS - VIH SIDA'!F109</f>
        <v>0</v>
      </c>
      <c r="H28" s="72">
        <f>'ITS - VIH SIDA'!G109</f>
        <v>0</v>
      </c>
      <c r="I28" s="73">
        <f>'ITS - VIH SIDA'!H109</f>
        <v>0</v>
      </c>
      <c r="J28" s="67">
        <f>'ITS - VIH SIDA'!I109</f>
        <v>0</v>
      </c>
      <c r="K28" s="67">
        <f>'ITS - VIH SIDA'!J109</f>
        <v>0</v>
      </c>
      <c r="L28" s="100"/>
      <c r="M28" s="101"/>
    </row>
    <row r="29" spans="1:13" x14ac:dyDescent="0.25">
      <c r="A29" s="77">
        <v>1.1499999999999999</v>
      </c>
      <c r="B29" s="98" t="s">
        <v>156</v>
      </c>
      <c r="C29" s="99"/>
      <c r="D29" s="72">
        <f>'ITS - VIH SIDA'!C110</f>
        <v>0</v>
      </c>
      <c r="E29" s="72">
        <f>'ITS - VIH SIDA'!D110</f>
        <v>0</v>
      </c>
      <c r="F29" s="72">
        <f>'ITS - VIH SIDA'!E110</f>
        <v>0</v>
      </c>
      <c r="G29" s="72">
        <f>'ITS - VIH SIDA'!F110</f>
        <v>0</v>
      </c>
      <c r="H29" s="72">
        <f>'ITS - VIH SIDA'!G110</f>
        <v>0</v>
      </c>
      <c r="I29" s="73">
        <f>'ITS - VIH SIDA'!H110</f>
        <v>0</v>
      </c>
      <c r="J29" s="67">
        <f>'ITS - VIH SIDA'!I110</f>
        <v>0</v>
      </c>
      <c r="K29" s="67">
        <f>'ITS - VIH SIDA'!J110</f>
        <v>0</v>
      </c>
      <c r="L29" s="100"/>
      <c r="M29" s="101"/>
    </row>
    <row r="30" spans="1:13" x14ac:dyDescent="0.25">
      <c r="A30" s="77">
        <v>1.1599999999999999</v>
      </c>
      <c r="B30" s="98" t="s">
        <v>157</v>
      </c>
      <c r="C30" s="99"/>
      <c r="D30" s="72">
        <f>'ITS - VIH SIDA'!C111</f>
        <v>0</v>
      </c>
      <c r="E30" s="72">
        <f>'ITS - VIH SIDA'!D111</f>
        <v>0</v>
      </c>
      <c r="F30" s="72">
        <f>'ITS - VIH SIDA'!E111</f>
        <v>0</v>
      </c>
      <c r="G30" s="72">
        <f>'ITS - VIH SIDA'!F111</f>
        <v>0</v>
      </c>
      <c r="H30" s="72">
        <f>'ITS - VIH SIDA'!G111</f>
        <v>0</v>
      </c>
      <c r="I30" s="73">
        <f>'ITS - VIH SIDA'!H111</f>
        <v>0</v>
      </c>
      <c r="J30" s="67">
        <f>'ITS - VIH SIDA'!I111</f>
        <v>0</v>
      </c>
      <c r="K30" s="67">
        <f>'ITS - VIH SIDA'!J111</f>
        <v>0</v>
      </c>
      <c r="L30" s="100"/>
      <c r="M30" s="101"/>
    </row>
    <row r="31" spans="1:13" x14ac:dyDescent="0.25">
      <c r="A31" s="77">
        <v>1.17</v>
      </c>
      <c r="B31" s="98" t="s">
        <v>158</v>
      </c>
      <c r="C31" s="99"/>
      <c r="D31" s="72">
        <f>'ITS - VIH SIDA'!C112</f>
        <v>0</v>
      </c>
      <c r="E31" s="72">
        <f>'ITS - VIH SIDA'!D112</f>
        <v>0</v>
      </c>
      <c r="F31" s="72">
        <f>'ITS - VIH SIDA'!E112</f>
        <v>0</v>
      </c>
      <c r="G31" s="72">
        <f>'ITS - VIH SIDA'!F112</f>
        <v>0</v>
      </c>
      <c r="H31" s="72">
        <f>'ITS - VIH SIDA'!G112</f>
        <v>0</v>
      </c>
      <c r="I31" s="73">
        <f>'ITS - VIH SIDA'!H112</f>
        <v>0</v>
      </c>
      <c r="J31" s="67">
        <f>'ITS - VIH SIDA'!I112</f>
        <v>0</v>
      </c>
      <c r="K31" s="67">
        <f>'ITS - VIH SIDA'!J112</f>
        <v>0</v>
      </c>
      <c r="L31" s="100"/>
      <c r="M31" s="101"/>
    </row>
    <row r="32" spans="1:13" x14ac:dyDescent="0.25">
      <c r="A32" s="77">
        <v>1.18</v>
      </c>
      <c r="B32" s="98" t="s">
        <v>159</v>
      </c>
      <c r="C32" s="99"/>
      <c r="D32" s="72">
        <f>'ITS - VIH SIDA'!C113</f>
        <v>0</v>
      </c>
      <c r="E32" s="72">
        <f>'ITS - VIH SIDA'!D113</f>
        <v>0</v>
      </c>
      <c r="F32" s="72">
        <f>'ITS - VIH SIDA'!E113</f>
        <v>0</v>
      </c>
      <c r="G32" s="72">
        <f>'ITS - VIH SIDA'!F113</f>
        <v>0</v>
      </c>
      <c r="H32" s="72">
        <f>'ITS - VIH SIDA'!G113</f>
        <v>0</v>
      </c>
      <c r="I32" s="73">
        <f>'ITS - VIH SIDA'!H113</f>
        <v>0</v>
      </c>
      <c r="J32" s="67">
        <f>'ITS - VIH SIDA'!I113</f>
        <v>0</v>
      </c>
      <c r="K32" s="67">
        <f>'ITS - VIH SIDA'!J113</f>
        <v>0</v>
      </c>
      <c r="L32" s="100"/>
      <c r="M32" s="101"/>
    </row>
    <row r="33" spans="1:13" ht="11.25" thickBot="1" x14ac:dyDescent="0.3">
      <c r="A33" s="78">
        <v>1.19</v>
      </c>
      <c r="B33" s="102" t="s">
        <v>160</v>
      </c>
      <c r="C33" s="103"/>
      <c r="D33" s="104"/>
      <c r="E33" s="104"/>
      <c r="F33" s="104"/>
      <c r="G33" s="104"/>
      <c r="H33" s="104"/>
      <c r="I33" s="105"/>
      <c r="J33" s="106"/>
      <c r="K33" s="107"/>
      <c r="L33" s="108"/>
      <c r="M33" s="107"/>
    </row>
    <row r="34" spans="1:13" ht="11.25" thickBot="1" x14ac:dyDescent="0.3">
      <c r="A34" s="109"/>
      <c r="B34" s="110"/>
      <c r="C34" s="111"/>
      <c r="D34" s="111"/>
      <c r="E34" s="111"/>
      <c r="F34" s="111"/>
      <c r="G34" s="112"/>
      <c r="H34" s="111"/>
      <c r="I34" s="111"/>
      <c r="J34" s="113"/>
    </row>
    <row r="35" spans="1:13" x14ac:dyDescent="0.25">
      <c r="A35" s="346" t="s">
        <v>161</v>
      </c>
      <c r="B35" s="347"/>
      <c r="C35" s="350" t="s">
        <v>132</v>
      </c>
      <c r="D35" s="351"/>
      <c r="E35" s="351"/>
      <c r="F35" s="351"/>
      <c r="G35" s="351"/>
      <c r="H35" s="351"/>
      <c r="I35" s="352"/>
      <c r="J35" s="333" t="s">
        <v>162</v>
      </c>
      <c r="K35" s="335" t="s">
        <v>163</v>
      </c>
      <c r="L35" s="333" t="s">
        <v>164</v>
      </c>
    </row>
    <row r="36" spans="1:13" ht="11.25" thickBot="1" x14ac:dyDescent="0.3">
      <c r="A36" s="348"/>
      <c r="B36" s="349"/>
      <c r="C36" s="114" t="s">
        <v>125</v>
      </c>
      <c r="D36" s="115" t="s">
        <v>136</v>
      </c>
      <c r="E36" s="116" t="s">
        <v>137</v>
      </c>
      <c r="F36" s="116" t="s">
        <v>138</v>
      </c>
      <c r="G36" s="116" t="s">
        <v>139</v>
      </c>
      <c r="H36" s="116" t="s">
        <v>140</v>
      </c>
      <c r="I36" s="117" t="s">
        <v>128</v>
      </c>
      <c r="J36" s="334"/>
      <c r="K36" s="336"/>
      <c r="L36" s="334"/>
    </row>
    <row r="37" spans="1:13" x14ac:dyDescent="0.25">
      <c r="A37" s="45">
        <v>2.1</v>
      </c>
      <c r="B37" s="118" t="s">
        <v>165</v>
      </c>
      <c r="C37" s="119"/>
      <c r="D37" s="120">
        <f>'ITS - VIH SIDA'!E56</f>
        <v>0</v>
      </c>
      <c r="E37" s="121">
        <f>'ITS - VIH SIDA'!F56</f>
        <v>0</v>
      </c>
      <c r="F37" s="121">
        <f>'ITS - VIH SIDA'!G56</f>
        <v>0</v>
      </c>
      <c r="G37" s="121">
        <f>'ITS - VIH SIDA'!H56</f>
        <v>0</v>
      </c>
      <c r="H37" s="121">
        <f>'ITS - VIH SIDA'!I56</f>
        <v>0</v>
      </c>
      <c r="I37" s="122">
        <f>'ITS - VIH SIDA'!J56</f>
        <v>0</v>
      </c>
      <c r="J37" s="123">
        <f>'ITS - VIH SIDA'!K56</f>
        <v>0</v>
      </c>
      <c r="K37" s="124"/>
      <c r="L37" s="124"/>
    </row>
    <row r="38" spans="1:13" x14ac:dyDescent="0.25">
      <c r="A38" s="54">
        <v>2.2000000000000002</v>
      </c>
      <c r="B38" s="125" t="s">
        <v>166</v>
      </c>
      <c r="C38" s="126"/>
      <c r="D38" s="65">
        <f>'ITS - VIH SIDA'!E58</f>
        <v>0</v>
      </c>
      <c r="E38" s="127">
        <f>'ITS - VIH SIDA'!F58</f>
        <v>0</v>
      </c>
      <c r="F38" s="127">
        <f>'ITS - VIH SIDA'!G58</f>
        <v>0</v>
      </c>
      <c r="G38" s="127">
        <f>'ITS - VIH SIDA'!H58</f>
        <v>0</v>
      </c>
      <c r="H38" s="127">
        <f>'ITS - VIH SIDA'!I58</f>
        <v>0</v>
      </c>
      <c r="I38" s="128">
        <f>'ITS - VIH SIDA'!J58</f>
        <v>0</v>
      </c>
      <c r="J38" s="129">
        <f>'ITS - VIH SIDA'!K58</f>
        <v>0</v>
      </c>
      <c r="K38" s="130"/>
      <c r="L38" s="130"/>
    </row>
    <row r="39" spans="1:13" x14ac:dyDescent="0.25">
      <c r="A39" s="54">
        <v>2.2999999999999998</v>
      </c>
      <c r="B39" s="125" t="s">
        <v>167</v>
      </c>
      <c r="C39" s="126"/>
      <c r="D39" s="131"/>
      <c r="E39" s="127"/>
      <c r="F39" s="127"/>
      <c r="G39" s="127"/>
      <c r="H39" s="127"/>
      <c r="I39" s="128"/>
      <c r="J39" s="129"/>
      <c r="K39" s="130"/>
      <c r="L39" s="130"/>
    </row>
    <row r="40" spans="1:13" x14ac:dyDescent="0.25">
      <c r="A40" s="54">
        <v>2.4</v>
      </c>
      <c r="B40" s="132" t="s">
        <v>168</v>
      </c>
      <c r="C40" s="133"/>
      <c r="D40" s="134"/>
      <c r="E40" s="135"/>
      <c r="F40" s="136"/>
      <c r="G40" s="136"/>
      <c r="H40" s="136"/>
      <c r="I40" s="137"/>
      <c r="J40" s="138"/>
      <c r="K40" s="139"/>
      <c r="L40" s="139"/>
    </row>
    <row r="41" spans="1:13" ht="21" x14ac:dyDescent="0.25">
      <c r="A41" s="54">
        <v>2.5</v>
      </c>
      <c r="B41" s="132" t="s">
        <v>169</v>
      </c>
      <c r="C41" s="133"/>
      <c r="D41" s="134"/>
      <c r="E41" s="135"/>
      <c r="F41" s="136"/>
      <c r="G41" s="136"/>
      <c r="H41" s="136"/>
      <c r="I41" s="137"/>
      <c r="J41" s="138"/>
      <c r="K41" s="139"/>
      <c r="L41" s="139"/>
    </row>
    <row r="42" spans="1:13" x14ac:dyDescent="0.25">
      <c r="A42" s="54">
        <v>2.6</v>
      </c>
      <c r="B42" s="140" t="s">
        <v>170</v>
      </c>
      <c r="C42" s="126"/>
      <c r="D42" s="131"/>
      <c r="E42" s="136"/>
      <c r="F42" s="136"/>
      <c r="G42" s="136"/>
      <c r="H42" s="136"/>
      <c r="I42" s="137"/>
      <c r="J42" s="138"/>
      <c r="K42" s="139"/>
      <c r="L42" s="139"/>
    </row>
    <row r="43" spans="1:13" x14ac:dyDescent="0.25">
      <c r="A43" s="54">
        <v>2.7</v>
      </c>
      <c r="B43" s="141" t="s">
        <v>171</v>
      </c>
      <c r="C43" s="142">
        <f>SUM('ITS - VIH SIDA'!C63:D64)+SUM('ITS - VIH SIDA'!C70:D71)+SUM('ITS - VIH SIDA'!C76:D76)</f>
        <v>0</v>
      </c>
      <c r="D43" s="127">
        <f>SUM('ITS - VIH SIDA'!D63:E64)+SUM('ITS - VIH SIDA'!D70:E71)+SUM('ITS - VIH SIDA'!D76:E76)</f>
        <v>0</v>
      </c>
      <c r="E43" s="127">
        <f>SUM('ITS - VIH SIDA'!E63:F64)+SUM('ITS - VIH SIDA'!E70:F71)+SUM('ITS - VIH SIDA'!E76:F76)</f>
        <v>0</v>
      </c>
      <c r="F43" s="127">
        <f>SUM('ITS - VIH SIDA'!F63:G64)+SUM('ITS - VIH SIDA'!F70:G71)+SUM('ITS - VIH SIDA'!F76:G76)</f>
        <v>0</v>
      </c>
      <c r="G43" s="127">
        <f>SUM('ITS - VIH SIDA'!G63:H64)+SUM('ITS - VIH SIDA'!G70:H71)+SUM('ITS - VIH SIDA'!G76:H76)</f>
        <v>0</v>
      </c>
      <c r="H43" s="65">
        <f>SUM('ITS - VIH SIDA'!H63:I64)+SUM('ITS - VIH SIDA'!H70:I71)+SUM('ITS - VIH SIDA'!H76:I76)</f>
        <v>0</v>
      </c>
      <c r="I43" s="66">
        <f>SUM('ITS - VIH SIDA'!I63:J64)+SUM('ITS - VIH SIDA'!I70:J71)+SUM('ITS - VIH SIDA'!I76:J76)</f>
        <v>0</v>
      </c>
      <c r="J43" s="143">
        <f>SUM('ITS - VIH SIDA'!J63:K64)+SUM('ITS - VIH SIDA'!J70:K71)+SUM('ITS - VIH SIDA'!J76:K76)</f>
        <v>0</v>
      </c>
      <c r="K43" s="144">
        <f>'ITS - VIH SIDA'!K63</f>
        <v>0</v>
      </c>
      <c r="L43" s="130">
        <f>'ITS - VIH SIDA'!K64+'ITS - VIH SIDA'!K70+'ITS - VIH SIDA'!K76</f>
        <v>0</v>
      </c>
    </row>
    <row r="44" spans="1:13" x14ac:dyDescent="0.25">
      <c r="A44" s="54">
        <v>2.8</v>
      </c>
      <c r="B44" s="141" t="s">
        <v>172</v>
      </c>
      <c r="C44" s="142">
        <f>SUM('ITS - VIH SIDA'!C60:D61)+SUM('ITS - VIH SIDA'!C65:D68)+SUM('ITS - VIH SIDA'!C72:D75)+SUM('ITS - VIH SIDA'!C77:D78)</f>
        <v>0</v>
      </c>
      <c r="D44" s="127">
        <f>SUM('ITS - VIH SIDA'!E60:E61)+SUM('ITS - VIH SIDA'!E65:E68)+SUM('ITS - VIH SIDA'!E72:E75)+SUM('ITS - VIH SIDA'!E77:E78)</f>
        <v>0</v>
      </c>
      <c r="E44" s="127">
        <f>SUM('ITS - VIH SIDA'!F60:F61)+SUM('ITS - VIH SIDA'!F65:F68)+SUM('ITS - VIH SIDA'!F72:F75)+SUM('ITS - VIH SIDA'!F77:F78)</f>
        <v>0</v>
      </c>
      <c r="F44" s="127">
        <f>SUM('ITS - VIH SIDA'!G60:G61)+SUM('ITS - VIH SIDA'!G65:G68)+SUM('ITS - VIH SIDA'!G72:G75)+SUM('ITS - VIH SIDA'!G77:G78)</f>
        <v>0</v>
      </c>
      <c r="G44" s="127">
        <f>SUM('ITS - VIH SIDA'!H60:H61)+SUM('ITS - VIH SIDA'!H65:H68)+SUM('ITS - VIH SIDA'!H72:H75)+SUM('ITS - VIH SIDA'!H77:H78)</f>
        <v>0</v>
      </c>
      <c r="H44" s="65">
        <f>SUM('ITS - VIH SIDA'!I60:I61)+SUM('ITS - VIH SIDA'!I65:I68)+SUM('ITS - VIH SIDA'!I72:I75)+SUM('ITS - VIH SIDA'!I77:I78)</f>
        <v>0</v>
      </c>
      <c r="I44" s="66">
        <f>SUM('ITS - VIH SIDA'!J60:J61)+SUM('ITS - VIH SIDA'!J65:J68)+SUM('ITS - VIH SIDA'!J72:J75)+SUM('ITS - VIH SIDA'!J77:J78)</f>
        <v>0</v>
      </c>
      <c r="J44" s="143">
        <f>SUM('ITS - VIH SIDA'!K60:K61)+SUM('ITS - VIH SIDA'!K65:K68)+SUM('ITS - VIH SIDA'!K72:K75)+SUM('ITS - VIH SIDA'!K77:K78)</f>
        <v>0</v>
      </c>
      <c r="K44" s="144">
        <f>'ITS - VIH SIDA'!K65+'ITS - VIH SIDA'!K66</f>
        <v>0</v>
      </c>
      <c r="L44" s="130">
        <f>'ITS - VIH SIDA'!K67+'ITS - VIH SIDA'!K68+'ITS - VIH SIDA'!K72+'ITS - VIH SIDA'!K73+'ITS - VIH SIDA'!K77+'ITS - VIH SIDA'!K78</f>
        <v>0</v>
      </c>
    </row>
    <row r="45" spans="1:13" ht="11.25" thickBot="1" x14ac:dyDescent="0.3">
      <c r="A45" s="145">
        <v>2.9</v>
      </c>
      <c r="B45" s="146" t="s">
        <v>173</v>
      </c>
      <c r="C45" s="147"/>
      <c r="D45" s="148"/>
      <c r="E45" s="148"/>
      <c r="F45" s="148"/>
      <c r="G45" s="148"/>
      <c r="H45" s="148"/>
      <c r="I45" s="148"/>
      <c r="J45" s="149"/>
      <c r="K45" s="148"/>
      <c r="L45" s="148"/>
    </row>
    <row r="46" spans="1:13" ht="11.25" thickBot="1" x14ac:dyDescent="0.3">
      <c r="A46" s="150"/>
      <c r="B46" s="151"/>
      <c r="C46" s="152"/>
      <c r="D46" s="152"/>
      <c r="E46" s="153"/>
      <c r="F46" s="154"/>
      <c r="G46" s="154"/>
      <c r="H46" s="154"/>
      <c r="I46" s="155"/>
      <c r="J46" s="154"/>
    </row>
    <row r="47" spans="1:13" x14ac:dyDescent="0.15">
      <c r="A47" s="337" t="s">
        <v>174</v>
      </c>
      <c r="B47" s="338"/>
      <c r="C47" s="341" t="s">
        <v>132</v>
      </c>
      <c r="D47" s="342"/>
      <c r="E47" s="342"/>
      <c r="F47" s="343"/>
      <c r="G47" s="344" t="s">
        <v>162</v>
      </c>
      <c r="H47" s="156"/>
      <c r="I47" s="156"/>
      <c r="J47" s="155"/>
    </row>
    <row r="48" spans="1:13" ht="11.25" thickBot="1" x14ac:dyDescent="0.3">
      <c r="A48" s="339"/>
      <c r="B48" s="340"/>
      <c r="C48" s="157" t="s">
        <v>125</v>
      </c>
      <c r="D48" s="158" t="s">
        <v>126</v>
      </c>
      <c r="E48" s="159" t="s">
        <v>127</v>
      </c>
      <c r="F48" s="160" t="s">
        <v>128</v>
      </c>
      <c r="G48" s="345"/>
    </row>
    <row r="49" spans="1:10" x14ac:dyDescent="0.25">
      <c r="A49" s="161">
        <v>3.1</v>
      </c>
      <c r="B49" s="162" t="s">
        <v>175</v>
      </c>
      <c r="C49" s="163">
        <f>SUM('ITS - VIH SIDA'!C33:D33)</f>
        <v>0</v>
      </c>
      <c r="D49" s="164">
        <f>SUM('ITS - VIH SIDA'!E33:F33)</f>
        <v>0</v>
      </c>
      <c r="E49" s="121">
        <f>SUM('ITS - VIH SIDA'!G33:I33)</f>
        <v>0</v>
      </c>
      <c r="F49" s="165">
        <f>'ITS - VIH SIDA'!J33</f>
        <v>0</v>
      </c>
      <c r="G49" s="124">
        <f>'ITS - VIH SIDA'!K33</f>
        <v>0</v>
      </c>
    </row>
    <row r="50" spans="1:10" x14ac:dyDescent="0.25">
      <c r="A50" s="161">
        <v>3.2</v>
      </c>
      <c r="B50" s="162" t="s">
        <v>176</v>
      </c>
      <c r="C50" s="166">
        <f>SUM('ITS - VIH SIDA'!C34)</f>
        <v>0</v>
      </c>
      <c r="D50" s="167">
        <f>SUM('ITS - VIH SIDA'!E34:F34)</f>
        <v>0</v>
      </c>
      <c r="E50" s="168">
        <f>SUM('ITS - VIH SIDA'!G34:I34)</f>
        <v>0</v>
      </c>
      <c r="F50" s="169">
        <f>'ITS - VIH SIDA'!J34</f>
        <v>0</v>
      </c>
      <c r="G50" s="170">
        <f>'ITS - VIH SIDA'!K34</f>
        <v>0</v>
      </c>
    </row>
    <row r="51" spans="1:10" x14ac:dyDescent="0.25">
      <c r="A51" s="171">
        <v>3.3</v>
      </c>
      <c r="B51" s="172" t="s">
        <v>177</v>
      </c>
      <c r="C51" s="142">
        <f>SUM('ITS - VIH SIDA'!C33:D34)</f>
        <v>0</v>
      </c>
      <c r="D51" s="72">
        <f>SUM('ITS - VIH SIDA'!E33:F34)</f>
        <v>0</v>
      </c>
      <c r="E51" s="127">
        <f>SUM('ITS - VIH SIDA'!G33:I34)</f>
        <v>0</v>
      </c>
      <c r="F51" s="173">
        <f>SUM('ITS - VIH SIDA'!J33:J34)</f>
        <v>0</v>
      </c>
      <c r="G51" s="130">
        <f>SUM('ITS - VIH SIDA'!K33:K34)</f>
        <v>0</v>
      </c>
    </row>
    <row r="52" spans="1:10" x14ac:dyDescent="0.25">
      <c r="A52" s="171">
        <v>3.4</v>
      </c>
      <c r="B52" s="172" t="s">
        <v>178</v>
      </c>
      <c r="C52" s="142">
        <f>SUM('ITS - VIH SIDA'!C35:D36)</f>
        <v>0</v>
      </c>
      <c r="D52" s="72">
        <f>SUM('ITS - VIH SIDA'!E35:F36)</f>
        <v>0</v>
      </c>
      <c r="E52" s="127">
        <f>SUM('ITS - VIH SIDA'!G35:I36)</f>
        <v>0</v>
      </c>
      <c r="F52" s="173">
        <f>SUM('ITS - VIH SIDA'!I35:I36)</f>
        <v>0</v>
      </c>
      <c r="G52" s="130">
        <f>SUM('ITS - VIH SIDA'!K35:K36)</f>
        <v>0</v>
      </c>
    </row>
    <row r="53" spans="1:10" x14ac:dyDescent="0.25">
      <c r="A53" s="171">
        <v>3.5</v>
      </c>
      <c r="B53" s="172" t="s">
        <v>179</v>
      </c>
      <c r="C53" s="174"/>
      <c r="D53" s="175"/>
      <c r="E53" s="176"/>
      <c r="F53" s="177"/>
      <c r="G53" s="130">
        <f>SUM('ITS - VIH SIDA'!K37:K38)</f>
        <v>0</v>
      </c>
    </row>
    <row r="54" spans="1:10" ht="11.25" thickBot="1" x14ac:dyDescent="0.3">
      <c r="A54" s="171">
        <v>3.6</v>
      </c>
      <c r="B54" s="172" t="s">
        <v>180</v>
      </c>
      <c r="C54" s="178"/>
      <c r="D54" s="179"/>
      <c r="E54" s="176"/>
      <c r="F54" s="177"/>
      <c r="G54" s="130">
        <f>SUM('ITS - VIH SIDA'!K39:K40)</f>
        <v>0</v>
      </c>
    </row>
    <row r="55" spans="1:10" ht="11.25" thickBot="1" x14ac:dyDescent="0.3">
      <c r="A55" s="180"/>
      <c r="B55" s="181"/>
      <c r="C55" s="182" t="s">
        <v>181</v>
      </c>
      <c r="D55" s="183" t="s">
        <v>182</v>
      </c>
      <c r="E55" s="37"/>
      <c r="F55" s="37"/>
    </row>
    <row r="56" spans="1:10" x14ac:dyDescent="0.25">
      <c r="A56" s="184">
        <v>3.7</v>
      </c>
      <c r="B56" s="118" t="s">
        <v>183</v>
      </c>
      <c r="C56" s="185">
        <f>'ITS - VIH SIDA'!C42</f>
        <v>0</v>
      </c>
      <c r="D56" s="186"/>
      <c r="E56" s="37"/>
      <c r="F56" s="37"/>
    </row>
    <row r="57" spans="1:10" x14ac:dyDescent="0.25">
      <c r="A57" s="171">
        <v>3.8</v>
      </c>
      <c r="B57" s="125" t="s">
        <v>184</v>
      </c>
      <c r="C57" s="187">
        <f>'ITS - VIH SIDA'!C41</f>
        <v>0</v>
      </c>
      <c r="D57" s="188"/>
      <c r="E57" s="37"/>
      <c r="F57" s="37"/>
    </row>
    <row r="58" spans="1:10" x14ac:dyDescent="0.25">
      <c r="A58" s="171">
        <v>3.9</v>
      </c>
      <c r="B58" s="125" t="s">
        <v>185</v>
      </c>
      <c r="C58" s="189"/>
      <c r="D58" s="190"/>
      <c r="E58" s="37"/>
      <c r="F58" s="37"/>
    </row>
    <row r="59" spans="1:10" x14ac:dyDescent="0.25">
      <c r="A59" s="191">
        <v>3.1</v>
      </c>
      <c r="B59" s="125" t="s">
        <v>186</v>
      </c>
      <c r="C59" s="189"/>
      <c r="D59" s="190"/>
      <c r="E59" s="37"/>
      <c r="F59" s="37"/>
    </row>
    <row r="60" spans="1:10" x14ac:dyDescent="0.25">
      <c r="A60" s="191">
        <v>3.11</v>
      </c>
      <c r="B60" s="125" t="s">
        <v>187</v>
      </c>
      <c r="C60" s="189"/>
      <c r="D60" s="190"/>
      <c r="E60" s="37"/>
      <c r="F60" s="37"/>
    </row>
    <row r="61" spans="1:10" x14ac:dyDescent="0.25">
      <c r="A61" s="191">
        <v>3.12</v>
      </c>
      <c r="B61" s="125" t="s">
        <v>188</v>
      </c>
      <c r="C61" s="189"/>
      <c r="D61" s="190"/>
      <c r="E61" s="37"/>
      <c r="F61" s="37"/>
    </row>
    <row r="62" spans="1:10" x14ac:dyDescent="0.25">
      <c r="A62" s="191">
        <v>3.13</v>
      </c>
      <c r="B62" s="125" t="s">
        <v>189</v>
      </c>
      <c r="C62" s="189"/>
      <c r="D62" s="192"/>
      <c r="E62" s="37"/>
      <c r="F62" s="37"/>
      <c r="G62" s="193"/>
      <c r="H62" s="193"/>
      <c r="I62" s="193"/>
      <c r="J62" s="193"/>
    </row>
    <row r="63" spans="1:10" x14ac:dyDescent="0.25">
      <c r="A63" s="191">
        <v>3.14</v>
      </c>
      <c r="B63" s="125" t="s">
        <v>190</v>
      </c>
      <c r="C63" s="189"/>
      <c r="D63" s="192"/>
      <c r="E63" s="37"/>
      <c r="F63" s="37"/>
      <c r="G63" s="193"/>
      <c r="H63" s="193"/>
      <c r="I63" s="193"/>
      <c r="J63" s="193"/>
    </row>
    <row r="64" spans="1:10" x14ac:dyDescent="0.25">
      <c r="A64" s="191">
        <v>3.15</v>
      </c>
      <c r="B64" s="125" t="s">
        <v>191</v>
      </c>
      <c r="C64" s="189"/>
      <c r="D64" s="190"/>
      <c r="E64" s="37"/>
      <c r="F64" s="37"/>
      <c r="G64" s="193"/>
      <c r="H64" s="193"/>
      <c r="I64" s="193"/>
      <c r="J64" s="193"/>
    </row>
    <row r="65" spans="1:10" x14ac:dyDescent="0.25">
      <c r="A65" s="191">
        <v>3.16</v>
      </c>
      <c r="B65" s="194" t="s">
        <v>192</v>
      </c>
      <c r="C65" s="195"/>
      <c r="D65" s="59"/>
      <c r="E65" s="39"/>
      <c r="F65" s="193"/>
      <c r="G65" s="193"/>
      <c r="H65" s="193"/>
      <c r="I65" s="193"/>
      <c r="J65" s="193"/>
    </row>
    <row r="66" spans="1:10" x14ac:dyDescent="0.25">
      <c r="A66" s="191">
        <v>3.17</v>
      </c>
      <c r="B66" s="125" t="s">
        <v>193</v>
      </c>
      <c r="C66" s="195"/>
      <c r="D66" s="59"/>
      <c r="E66" s="39"/>
      <c r="F66" s="193"/>
      <c r="G66" s="193"/>
      <c r="H66" s="193"/>
      <c r="I66" s="193"/>
      <c r="J66" s="193"/>
    </row>
    <row r="67" spans="1:10" ht="11.25" thickBot="1" x14ac:dyDescent="0.3">
      <c r="A67" s="196">
        <v>3.18</v>
      </c>
      <c r="B67" s="197" t="s">
        <v>194</v>
      </c>
      <c r="C67" s="198"/>
      <c r="D67" s="149"/>
      <c r="H67" s="154"/>
      <c r="I67" s="155"/>
      <c r="J67" s="154"/>
    </row>
    <row r="68" spans="1:10" x14ac:dyDescent="0.25">
      <c r="A68" s="109"/>
      <c r="B68" s="193"/>
      <c r="C68" s="37"/>
      <c r="D68" s="37"/>
      <c r="E68" s="37"/>
      <c r="F68" s="37"/>
    </row>
    <row r="69" spans="1:10" ht="11.25" thickBot="1" x14ac:dyDescent="0.3">
      <c r="A69" s="109"/>
      <c r="B69" s="199"/>
      <c r="C69" s="37"/>
      <c r="E69" s="155"/>
      <c r="F69" s="155"/>
    </row>
    <row r="70" spans="1:10" ht="11.25" thickBot="1" x14ac:dyDescent="0.3">
      <c r="A70" s="326" t="s">
        <v>195</v>
      </c>
      <c r="B70" s="327"/>
      <c r="C70" s="309" t="s">
        <v>196</v>
      </c>
      <c r="D70" s="310"/>
      <c r="E70" s="310"/>
      <c r="F70" s="311"/>
      <c r="G70" s="330" t="s">
        <v>129</v>
      </c>
    </row>
    <row r="71" spans="1:10" ht="11.25" thickBot="1" x14ac:dyDescent="0.3">
      <c r="A71" s="328"/>
      <c r="B71" s="329"/>
      <c r="C71" s="200" t="s">
        <v>136</v>
      </c>
      <c r="D71" s="201" t="s">
        <v>137</v>
      </c>
      <c r="E71" s="201" t="s">
        <v>138</v>
      </c>
      <c r="F71" s="201" t="s">
        <v>139</v>
      </c>
      <c r="G71" s="331"/>
    </row>
    <row r="72" spans="1:10" x14ac:dyDescent="0.25">
      <c r="A72" s="202">
        <v>4.0999999999999996</v>
      </c>
      <c r="B72" s="203" t="s">
        <v>197</v>
      </c>
      <c r="C72" s="204"/>
      <c r="D72" s="205"/>
      <c r="E72" s="205"/>
      <c r="F72" s="205"/>
      <c r="G72" s="206"/>
    </row>
    <row r="73" spans="1:10" x14ac:dyDescent="0.25">
      <c r="A73" s="207">
        <v>4.2</v>
      </c>
      <c r="B73" s="208" t="s">
        <v>198</v>
      </c>
      <c r="C73" s="209"/>
      <c r="D73" s="210"/>
      <c r="E73" s="210"/>
      <c r="F73" s="210"/>
      <c r="G73" s="211"/>
    </row>
    <row r="74" spans="1:10" ht="11.25" thickBot="1" x14ac:dyDescent="0.3">
      <c r="A74" s="212">
        <v>4.3</v>
      </c>
      <c r="B74" s="213" t="s">
        <v>199</v>
      </c>
      <c r="C74" s="214"/>
      <c r="D74" s="104"/>
      <c r="E74" s="104"/>
      <c r="F74" s="104"/>
      <c r="G74" s="149"/>
    </row>
    <row r="75" spans="1:10" ht="11.25" thickBot="1" x14ac:dyDescent="0.3">
      <c r="B75" s="155"/>
      <c r="C75" s="155"/>
      <c r="D75" s="155"/>
      <c r="E75" s="155"/>
      <c r="F75" s="155"/>
    </row>
    <row r="76" spans="1:10" ht="11.25" thickBot="1" x14ac:dyDescent="0.3">
      <c r="A76" s="326" t="s">
        <v>200</v>
      </c>
      <c r="B76" s="327"/>
      <c r="C76" s="309" t="s">
        <v>196</v>
      </c>
      <c r="D76" s="310"/>
      <c r="E76" s="310"/>
      <c r="F76" s="311"/>
      <c r="G76" s="312" t="s">
        <v>129</v>
      </c>
      <c r="H76" s="305" t="s">
        <v>133</v>
      </c>
    </row>
    <row r="77" spans="1:10" ht="11.25" thickBot="1" x14ac:dyDescent="0.3">
      <c r="A77" s="328"/>
      <c r="B77" s="332"/>
      <c r="C77" s="215" t="s">
        <v>136</v>
      </c>
      <c r="D77" s="216" t="s">
        <v>137</v>
      </c>
      <c r="E77" s="216" t="s">
        <v>138</v>
      </c>
      <c r="F77" s="216" t="s">
        <v>139</v>
      </c>
      <c r="G77" s="306"/>
      <c r="H77" s="306"/>
    </row>
    <row r="78" spans="1:10" x14ac:dyDescent="0.25">
      <c r="A78" s="217">
        <v>5.0999999999999996</v>
      </c>
      <c r="B78" s="118" t="s">
        <v>201</v>
      </c>
      <c r="C78" s="218"/>
      <c r="D78" s="219"/>
      <c r="E78" s="220"/>
      <c r="F78" s="220"/>
      <c r="G78" s="221"/>
      <c r="H78" s="222"/>
    </row>
    <row r="79" spans="1:10" x14ac:dyDescent="0.25">
      <c r="A79" s="217">
        <v>5.2</v>
      </c>
      <c r="B79" s="125" t="s">
        <v>202</v>
      </c>
      <c r="C79" s="223"/>
      <c r="D79" s="57"/>
      <c r="E79" s="224"/>
      <c r="F79" s="224"/>
      <c r="G79" s="225"/>
      <c r="H79" s="226"/>
    </row>
    <row r="80" spans="1:10" x14ac:dyDescent="0.25">
      <c r="A80" s="227">
        <v>5.3</v>
      </c>
      <c r="B80" s="125" t="s">
        <v>203</v>
      </c>
      <c r="C80" s="223"/>
      <c r="D80" s="57"/>
      <c r="E80" s="228"/>
      <c r="F80" s="228"/>
      <c r="G80" s="225"/>
      <c r="H80" s="229"/>
    </row>
    <row r="81" spans="1:8" x14ac:dyDescent="0.25">
      <c r="A81" s="230">
        <v>5.4</v>
      </c>
      <c r="B81" s="125" t="s">
        <v>204</v>
      </c>
      <c r="C81" s="223"/>
      <c r="D81" s="57"/>
      <c r="E81" s="228"/>
      <c r="F81" s="228"/>
      <c r="G81" s="225"/>
      <c r="H81" s="226"/>
    </row>
    <row r="82" spans="1:8" x14ac:dyDescent="0.25">
      <c r="A82" s="230">
        <v>5.5</v>
      </c>
      <c r="B82" s="125" t="s">
        <v>205</v>
      </c>
      <c r="C82" s="223"/>
      <c r="D82" s="57"/>
      <c r="E82" s="228"/>
      <c r="F82" s="228"/>
      <c r="G82" s="225"/>
      <c r="H82" s="229"/>
    </row>
    <row r="83" spans="1:8" x14ac:dyDescent="0.25">
      <c r="A83" s="230">
        <v>5.6</v>
      </c>
      <c r="B83" s="125" t="s">
        <v>206</v>
      </c>
      <c r="C83" s="223"/>
      <c r="D83" s="57"/>
      <c r="E83" s="228"/>
      <c r="F83" s="228"/>
      <c r="G83" s="225"/>
      <c r="H83" s="226"/>
    </row>
    <row r="84" spans="1:8" ht="11.25" thickBot="1" x14ac:dyDescent="0.3">
      <c r="A84" s="231">
        <v>5.7</v>
      </c>
      <c r="B84" s="232" t="s">
        <v>207</v>
      </c>
      <c r="C84" s="233"/>
      <c r="D84" s="233"/>
      <c r="E84" s="233"/>
      <c r="F84" s="233"/>
      <c r="G84" s="234"/>
      <c r="H84" s="235"/>
    </row>
    <row r="85" spans="1:8" ht="11.25" thickBot="1" x14ac:dyDescent="0.3"/>
    <row r="86" spans="1:8" ht="11.25" thickBot="1" x14ac:dyDescent="0.3">
      <c r="A86" s="307" t="s">
        <v>208</v>
      </c>
      <c r="B86" s="305"/>
      <c r="C86" s="309" t="s">
        <v>196</v>
      </c>
      <c r="D86" s="310"/>
      <c r="E86" s="310"/>
      <c r="F86" s="311"/>
      <c r="G86" s="312" t="s">
        <v>129</v>
      </c>
    </row>
    <row r="87" spans="1:8" ht="11.25" thickBot="1" x14ac:dyDescent="0.3">
      <c r="A87" s="308"/>
      <c r="B87" s="306"/>
      <c r="C87" s="215" t="s">
        <v>136</v>
      </c>
      <c r="D87" s="216" t="s">
        <v>137</v>
      </c>
      <c r="E87" s="216" t="s">
        <v>138</v>
      </c>
      <c r="F87" s="236" t="s">
        <v>139</v>
      </c>
      <c r="G87" s="306"/>
    </row>
    <row r="88" spans="1:8" x14ac:dyDescent="0.25">
      <c r="A88" s="202">
        <v>6.1</v>
      </c>
      <c r="B88" s="237" t="s">
        <v>209</v>
      </c>
      <c r="C88" s="163">
        <f>'ITS - VIH SIDA'!E56</f>
        <v>0</v>
      </c>
      <c r="D88" s="164">
        <f>'ITS - VIH SIDA'!F56</f>
        <v>0</v>
      </c>
      <c r="E88" s="164">
        <f>'ITS - VIH SIDA'!G56</f>
        <v>0</v>
      </c>
      <c r="F88" s="164">
        <f>'ITS - VIH SIDA'!H56</f>
        <v>0</v>
      </c>
      <c r="G88" s="238">
        <f>SUM(C88:F88)</f>
        <v>0</v>
      </c>
    </row>
    <row r="89" spans="1:8" x14ac:dyDescent="0.25">
      <c r="A89" s="239">
        <v>6.2</v>
      </c>
      <c r="B89" s="194" t="s">
        <v>210</v>
      </c>
      <c r="C89" s="142">
        <f>'ITS - VIH SIDA'!E58</f>
        <v>0</v>
      </c>
      <c r="D89" s="72">
        <f>'ITS - VIH SIDA'!F58</f>
        <v>0</v>
      </c>
      <c r="E89" s="72">
        <f>'ITS - VIH SIDA'!G58</f>
        <v>0</v>
      </c>
      <c r="F89" s="72">
        <f>'ITS - VIH SIDA'!H58</f>
        <v>0</v>
      </c>
      <c r="G89" s="62">
        <f t="shared" ref="G89:G98" si="0">SUM(C89:F89)</f>
        <v>0</v>
      </c>
    </row>
    <row r="90" spans="1:8" x14ac:dyDescent="0.25">
      <c r="A90" s="239">
        <v>6.3</v>
      </c>
      <c r="B90" s="194" t="s">
        <v>211</v>
      </c>
      <c r="C90" s="240"/>
      <c r="D90" s="224"/>
      <c r="E90" s="224"/>
      <c r="F90" s="224"/>
      <c r="G90" s="62">
        <f t="shared" si="0"/>
        <v>0</v>
      </c>
    </row>
    <row r="91" spans="1:8" x14ac:dyDescent="0.25">
      <c r="A91" s="239">
        <v>6.4</v>
      </c>
      <c r="B91" s="194" t="s">
        <v>212</v>
      </c>
      <c r="C91" s="240"/>
      <c r="D91" s="224"/>
      <c r="E91" s="224"/>
      <c r="F91" s="224"/>
      <c r="G91" s="62">
        <f t="shared" si="0"/>
        <v>0</v>
      </c>
    </row>
    <row r="92" spans="1:8" x14ac:dyDescent="0.25">
      <c r="A92" s="239">
        <v>6.5</v>
      </c>
      <c r="B92" s="194" t="s">
        <v>213</v>
      </c>
      <c r="C92" s="142">
        <f>'ITS - VIH SIDA'!E57</f>
        <v>0</v>
      </c>
      <c r="D92" s="72">
        <f>'ITS - VIH SIDA'!F57</f>
        <v>0</v>
      </c>
      <c r="E92" s="72">
        <f>'ITS - VIH SIDA'!G57</f>
        <v>0</v>
      </c>
      <c r="F92" s="72">
        <f>'ITS - VIH SIDA'!H57</f>
        <v>0</v>
      </c>
      <c r="G92" s="62">
        <f t="shared" si="0"/>
        <v>0</v>
      </c>
    </row>
    <row r="93" spans="1:8" x14ac:dyDescent="0.25">
      <c r="A93" s="239">
        <v>6.6</v>
      </c>
      <c r="B93" s="194" t="s">
        <v>214</v>
      </c>
      <c r="C93" s="142">
        <f>'ITS - VIH SIDA'!E58</f>
        <v>0</v>
      </c>
      <c r="D93" s="72">
        <f>'ITS - VIH SIDA'!F58</f>
        <v>0</v>
      </c>
      <c r="E93" s="72">
        <f>'ITS - VIH SIDA'!G58</f>
        <v>0</v>
      </c>
      <c r="F93" s="72">
        <f>'ITS - VIH SIDA'!H58</f>
        <v>0</v>
      </c>
      <c r="G93" s="62">
        <f t="shared" si="0"/>
        <v>0</v>
      </c>
    </row>
    <row r="94" spans="1:8" x14ac:dyDescent="0.25">
      <c r="A94" s="239">
        <v>6.7</v>
      </c>
      <c r="B94" s="241" t="s">
        <v>215</v>
      </c>
      <c r="C94" s="142"/>
      <c r="D94" s="72"/>
      <c r="E94" s="72"/>
      <c r="F94" s="72"/>
      <c r="G94" s="62">
        <f t="shared" si="0"/>
        <v>0</v>
      </c>
    </row>
    <row r="95" spans="1:8" x14ac:dyDescent="0.25">
      <c r="A95" s="239">
        <v>6.8</v>
      </c>
      <c r="B95" s="125" t="s">
        <v>216</v>
      </c>
      <c r="C95" s="142"/>
      <c r="D95" s="72"/>
      <c r="E95" s="72"/>
      <c r="F95" s="72"/>
      <c r="G95" s="62">
        <f t="shared" si="0"/>
        <v>0</v>
      </c>
    </row>
    <row r="96" spans="1:8" x14ac:dyDescent="0.25">
      <c r="A96" s="239">
        <v>6.9</v>
      </c>
      <c r="B96" s="125" t="s">
        <v>217</v>
      </c>
      <c r="C96" s="142"/>
      <c r="D96" s="72"/>
      <c r="E96" s="72"/>
      <c r="F96" s="72"/>
      <c r="G96" s="62">
        <f t="shared" si="0"/>
        <v>0</v>
      </c>
    </row>
    <row r="97" spans="1:11" x14ac:dyDescent="0.25">
      <c r="A97" s="242">
        <v>6.1</v>
      </c>
      <c r="B97" s="194" t="s">
        <v>218</v>
      </c>
      <c r="C97" s="243"/>
      <c r="D97" s="224"/>
      <c r="E97" s="224"/>
      <c r="F97" s="224"/>
      <c r="G97" s="190">
        <f t="shared" si="0"/>
        <v>0</v>
      </c>
    </row>
    <row r="98" spans="1:11" ht="21.75" thickBot="1" x14ac:dyDescent="0.3">
      <c r="A98" s="244">
        <v>6.11</v>
      </c>
      <c r="B98" s="146" t="s">
        <v>219</v>
      </c>
      <c r="C98" s="245"/>
      <c r="D98" s="104"/>
      <c r="E98" s="104"/>
      <c r="F98" s="104"/>
      <c r="G98" s="246">
        <f t="shared" si="0"/>
        <v>0</v>
      </c>
    </row>
    <row r="99" spans="1:11" ht="11.25" thickBot="1" x14ac:dyDescent="0.3">
      <c r="A99" s="247"/>
      <c r="B99" s="248"/>
      <c r="C99" s="37"/>
      <c r="D99" s="37"/>
      <c r="E99" s="37"/>
      <c r="F99" s="37"/>
      <c r="G99" s="37"/>
      <c r="H99" s="37"/>
      <c r="I99" s="155"/>
    </row>
    <row r="100" spans="1:11" ht="11.25" thickBot="1" x14ac:dyDescent="0.3">
      <c r="A100" s="307" t="s">
        <v>220</v>
      </c>
      <c r="B100" s="305"/>
      <c r="C100" s="309" t="s">
        <v>196</v>
      </c>
      <c r="D100" s="310"/>
      <c r="E100" s="310"/>
      <c r="F100" s="311"/>
      <c r="G100" s="312" t="s">
        <v>129</v>
      </c>
    </row>
    <row r="101" spans="1:11" ht="11.25" thickBot="1" x14ac:dyDescent="0.3">
      <c r="A101" s="308"/>
      <c r="B101" s="306"/>
      <c r="C101" s="200" t="s">
        <v>136</v>
      </c>
      <c r="D101" s="201" t="s">
        <v>137</v>
      </c>
      <c r="E101" s="201" t="s">
        <v>138</v>
      </c>
      <c r="F101" s="201" t="s">
        <v>139</v>
      </c>
      <c r="G101" s="313"/>
    </row>
    <row r="102" spans="1:11" ht="15" x14ac:dyDescent="0.25">
      <c r="A102" s="202">
        <v>7.1</v>
      </c>
      <c r="B102" s="249" t="s">
        <v>221</v>
      </c>
      <c r="C102" s="204"/>
      <c r="D102" s="120"/>
      <c r="E102" s="205"/>
      <c r="F102" s="205"/>
      <c r="G102" s="250">
        <f>SUM(C102:F102)</f>
        <v>0</v>
      </c>
      <c r="J102"/>
      <c r="K102"/>
    </row>
    <row r="103" spans="1:11" ht="15" x14ac:dyDescent="0.25">
      <c r="A103" s="239">
        <v>7.2</v>
      </c>
      <c r="B103" s="251" t="s">
        <v>222</v>
      </c>
      <c r="C103" s="243"/>
      <c r="D103" s="65"/>
      <c r="E103" s="65"/>
      <c r="F103" s="224"/>
      <c r="G103" s="130">
        <f t="shared" ref="G103:G112" si="1">SUM(C103:F103)</f>
        <v>0</v>
      </c>
      <c r="J103"/>
      <c r="K103"/>
    </row>
    <row r="104" spans="1:11" ht="15" x14ac:dyDescent="0.25">
      <c r="A104" s="239">
        <v>7.3</v>
      </c>
      <c r="B104" s="251" t="s">
        <v>223</v>
      </c>
      <c r="C104" s="243"/>
      <c r="D104" s="65"/>
      <c r="E104" s="65"/>
      <c r="F104" s="224"/>
      <c r="G104" s="130">
        <f t="shared" si="1"/>
        <v>0</v>
      </c>
      <c r="J104"/>
      <c r="K104"/>
    </row>
    <row r="105" spans="1:11" ht="15" x14ac:dyDescent="0.25">
      <c r="A105" s="239">
        <v>7.4</v>
      </c>
      <c r="B105" s="252" t="s">
        <v>224</v>
      </c>
      <c r="C105" s="243"/>
      <c r="D105" s="65"/>
      <c r="E105" s="65"/>
      <c r="F105" s="224"/>
      <c r="G105" s="130">
        <f t="shared" si="1"/>
        <v>0</v>
      </c>
      <c r="J105"/>
      <c r="K105"/>
    </row>
    <row r="106" spans="1:11" ht="15" x14ac:dyDescent="0.25">
      <c r="A106" s="239">
        <v>7.5</v>
      </c>
      <c r="B106" s="252" t="s">
        <v>225</v>
      </c>
      <c r="C106" s="243"/>
      <c r="D106" s="224"/>
      <c r="E106" s="65"/>
      <c r="F106" s="131"/>
      <c r="G106" s="130">
        <f t="shared" si="1"/>
        <v>0</v>
      </c>
      <c r="J106"/>
      <c r="K106"/>
    </row>
    <row r="107" spans="1:11" ht="15" x14ac:dyDescent="0.25">
      <c r="A107" s="239">
        <v>7.6</v>
      </c>
      <c r="B107" s="252" t="s">
        <v>226</v>
      </c>
      <c r="C107" s="243"/>
      <c r="D107" s="224"/>
      <c r="E107" s="224"/>
      <c r="F107" s="224"/>
      <c r="G107" s="130">
        <f t="shared" si="1"/>
        <v>0</v>
      </c>
      <c r="J107"/>
      <c r="K107"/>
    </row>
    <row r="108" spans="1:11" ht="15" x14ac:dyDescent="0.25">
      <c r="A108" s="239">
        <v>7.7</v>
      </c>
      <c r="B108" s="252" t="s">
        <v>227</v>
      </c>
      <c r="C108" s="243"/>
      <c r="D108" s="224"/>
      <c r="E108" s="224"/>
      <c r="F108" s="224"/>
      <c r="G108" s="130">
        <f t="shared" si="1"/>
        <v>0</v>
      </c>
      <c r="J108"/>
      <c r="K108"/>
    </row>
    <row r="109" spans="1:11" ht="15" x14ac:dyDescent="0.25">
      <c r="A109" s="54">
        <v>7.8</v>
      </c>
      <c r="B109" s="252" t="s">
        <v>228</v>
      </c>
      <c r="C109" s="243"/>
      <c r="D109" s="224"/>
      <c r="E109" s="224"/>
      <c r="F109" s="224"/>
      <c r="G109" s="130">
        <f t="shared" si="1"/>
        <v>0</v>
      </c>
      <c r="J109"/>
      <c r="K109"/>
    </row>
    <row r="110" spans="1:11" ht="15" x14ac:dyDescent="0.25">
      <c r="A110" s="54">
        <v>7.9</v>
      </c>
      <c r="B110" s="253" t="s">
        <v>229</v>
      </c>
      <c r="C110" s="243">
        <f>'ITS - VIH SIDA'!E59</f>
        <v>0</v>
      </c>
      <c r="D110" s="224">
        <f>'ITS - VIH SIDA'!F59</f>
        <v>0</v>
      </c>
      <c r="E110" s="224">
        <f>'ITS - VIH SIDA'!G59</f>
        <v>0</v>
      </c>
      <c r="F110" s="224">
        <f>'ITS - VIH SIDA'!H59</f>
        <v>0</v>
      </c>
      <c r="G110" s="130">
        <f t="shared" si="1"/>
        <v>0</v>
      </c>
      <c r="J110"/>
      <c r="K110"/>
    </row>
    <row r="111" spans="1:11" ht="15" x14ac:dyDescent="0.25">
      <c r="A111" s="77">
        <v>7.1</v>
      </c>
      <c r="B111" s="253" t="s">
        <v>230</v>
      </c>
      <c r="C111" s="243">
        <f>'ITS - VIH SIDA'!E60+'ITS - VIH SIDA'!E61</f>
        <v>0</v>
      </c>
      <c r="D111" s="224">
        <f>'ITS - VIH SIDA'!F60+'ITS - VIH SIDA'!F61</f>
        <v>0</v>
      </c>
      <c r="E111" s="224">
        <f>'ITS - VIH SIDA'!G60+'ITS - VIH SIDA'!G61</f>
        <v>0</v>
      </c>
      <c r="F111" s="224">
        <f>'ITS - VIH SIDA'!H60+'ITS - VIH SIDA'!H61</f>
        <v>0</v>
      </c>
      <c r="G111" s="130">
        <f t="shared" si="1"/>
        <v>0</v>
      </c>
      <c r="J111"/>
      <c r="K111"/>
    </row>
    <row r="112" spans="1:11" s="258" customFormat="1" ht="15.75" thickBot="1" x14ac:dyDescent="0.3">
      <c r="A112" s="78">
        <v>7.11</v>
      </c>
      <c r="B112" s="254" t="s">
        <v>231</v>
      </c>
      <c r="C112" s="255"/>
      <c r="D112" s="256"/>
      <c r="E112" s="256"/>
      <c r="F112" s="256"/>
      <c r="G112" s="257">
        <f t="shared" si="1"/>
        <v>0</v>
      </c>
      <c r="H112" s="21"/>
      <c r="J112"/>
      <c r="K112"/>
    </row>
    <row r="113" spans="1:14" ht="11.25" thickBot="1" x14ac:dyDescent="0.3"/>
    <row r="114" spans="1:14" ht="11.25" thickBot="1" x14ac:dyDescent="0.3">
      <c r="A114" s="314" t="s">
        <v>232</v>
      </c>
      <c r="B114" s="315"/>
      <c r="C114" s="259" t="s">
        <v>129</v>
      </c>
    </row>
    <row r="115" spans="1:14" x14ac:dyDescent="0.25">
      <c r="A115" s="202">
        <v>8.1</v>
      </c>
      <c r="B115" s="260" t="s">
        <v>233</v>
      </c>
      <c r="C115" s="261"/>
    </row>
    <row r="116" spans="1:14" x14ac:dyDescent="0.25">
      <c r="A116" s="239">
        <v>8.1999999999999993</v>
      </c>
      <c r="B116" s="252" t="s">
        <v>234</v>
      </c>
      <c r="C116" s="262">
        <f>'ITS - VIH SIDA'!C122</f>
        <v>0</v>
      </c>
    </row>
    <row r="117" spans="1:14" ht="21" x14ac:dyDescent="0.25">
      <c r="A117" s="239">
        <v>8.3000000000000007</v>
      </c>
      <c r="B117" s="252" t="s">
        <v>235</v>
      </c>
      <c r="C117" s="262">
        <f>'ITS - VIH SIDA'!C123</f>
        <v>0</v>
      </c>
    </row>
    <row r="118" spans="1:14" x14ac:dyDescent="0.25">
      <c r="A118" s="239">
        <v>8.4</v>
      </c>
      <c r="B118" s="252" t="s">
        <v>236</v>
      </c>
      <c r="C118" s="262">
        <f>'ITS - VIH SIDA'!C124</f>
        <v>0</v>
      </c>
    </row>
    <row r="119" spans="1:14" x14ac:dyDescent="0.25">
      <c r="A119" s="239">
        <v>8.5</v>
      </c>
      <c r="B119" s="252" t="s">
        <v>237</v>
      </c>
      <c r="C119" s="262"/>
    </row>
    <row r="120" spans="1:14" x14ac:dyDescent="0.25">
      <c r="A120" s="239">
        <v>8.6</v>
      </c>
      <c r="B120" s="252" t="s">
        <v>238</v>
      </c>
      <c r="C120" s="262"/>
    </row>
    <row r="121" spans="1:14" ht="21" x14ac:dyDescent="0.25">
      <c r="A121" s="239">
        <v>8.6999999999999993</v>
      </c>
      <c r="B121" s="252" t="s">
        <v>239</v>
      </c>
      <c r="C121" s="262"/>
    </row>
    <row r="122" spans="1:14" ht="11.25" thickBot="1" x14ac:dyDescent="0.3">
      <c r="A122" s="212">
        <v>8.8000000000000007</v>
      </c>
      <c r="B122" s="263" t="s">
        <v>240</v>
      </c>
      <c r="C122" s="83"/>
    </row>
    <row r="126" spans="1:14" x14ac:dyDescent="0.25">
      <c r="A126" s="264"/>
      <c r="B126" s="87" t="s">
        <v>241</v>
      </c>
      <c r="C126" s="88"/>
      <c r="D126" s="89"/>
      <c r="E126" s="89"/>
      <c r="F126" s="89"/>
      <c r="G126" s="89"/>
      <c r="H126" s="89"/>
      <c r="I126" s="39"/>
      <c r="J126" s="39"/>
      <c r="K126" s="39"/>
      <c r="L126" s="39"/>
      <c r="M126" s="39"/>
      <c r="N126" s="193"/>
    </row>
    <row r="127" spans="1:14" s="193" customFormat="1" ht="11.25" thickBot="1" x14ac:dyDescent="0.3">
      <c r="A127" s="265"/>
      <c r="B127" s="154"/>
      <c r="D127" s="39"/>
      <c r="E127" s="39"/>
      <c r="F127" s="39"/>
      <c r="G127" s="39"/>
      <c r="H127" s="39"/>
      <c r="I127" s="39"/>
      <c r="J127" s="39"/>
      <c r="K127" s="39"/>
      <c r="L127" s="39"/>
      <c r="M127" s="39"/>
    </row>
    <row r="128" spans="1:14" ht="11.25" thickBot="1" x14ac:dyDescent="0.3">
      <c r="A128" s="316" t="s">
        <v>242</v>
      </c>
      <c r="B128" s="317"/>
      <c r="C128" s="266" t="s">
        <v>137</v>
      </c>
      <c r="D128" s="267" t="s">
        <v>138</v>
      </c>
      <c r="E128" s="267" t="s">
        <v>139</v>
      </c>
      <c r="F128" s="267" t="s">
        <v>140</v>
      </c>
      <c r="G128" s="268" t="s">
        <v>128</v>
      </c>
      <c r="H128" s="269" t="s">
        <v>129</v>
      </c>
      <c r="I128" s="155"/>
      <c r="J128" s="155"/>
      <c r="K128" s="155"/>
      <c r="L128" s="155"/>
      <c r="M128" s="155"/>
      <c r="N128" s="155"/>
    </row>
    <row r="129" spans="1:14" x14ac:dyDescent="0.25">
      <c r="A129" s="184">
        <v>9.1</v>
      </c>
      <c r="B129" s="270" t="s">
        <v>243</v>
      </c>
      <c r="C129" s="163">
        <f>'ITS - VIH SIDA'!D82</f>
        <v>0</v>
      </c>
      <c r="D129" s="164">
        <f>'ITS - VIH SIDA'!E82</f>
        <v>0</v>
      </c>
      <c r="E129" s="121">
        <f>'ITS - VIH SIDA'!F82</f>
        <v>0</v>
      </c>
      <c r="F129" s="121">
        <f>'ITS - VIH SIDA'!G82</f>
        <v>0</v>
      </c>
      <c r="G129" s="121">
        <f>'ITS - VIH SIDA'!H82</f>
        <v>0</v>
      </c>
      <c r="H129" s="122">
        <f>'ITS - VIH SIDA'!I82</f>
        <v>0</v>
      </c>
      <c r="I129" s="193"/>
      <c r="J129" s="193"/>
      <c r="K129" s="193"/>
      <c r="L129" s="193"/>
      <c r="M129" s="193"/>
      <c r="N129" s="193"/>
    </row>
    <row r="130" spans="1:14" x14ac:dyDescent="0.25">
      <c r="A130" s="171">
        <v>9.1999999999999993</v>
      </c>
      <c r="B130" s="271" t="s">
        <v>244</v>
      </c>
      <c r="C130" s="142">
        <f>'ITS - VIH SIDA'!D83</f>
        <v>0</v>
      </c>
      <c r="D130" s="72">
        <f>'ITS - VIH SIDA'!E83</f>
        <v>0</v>
      </c>
      <c r="E130" s="127">
        <f>'ITS - VIH SIDA'!F83</f>
        <v>0</v>
      </c>
      <c r="F130" s="127">
        <f>'ITS - VIH SIDA'!G83</f>
        <v>0</v>
      </c>
      <c r="G130" s="127">
        <f>'ITS - VIH SIDA'!H83</f>
        <v>0</v>
      </c>
      <c r="H130" s="128">
        <f>'ITS - VIH SIDA'!I83</f>
        <v>0</v>
      </c>
      <c r="I130" s="193"/>
      <c r="J130" s="193"/>
      <c r="K130" s="193"/>
      <c r="L130" s="193"/>
      <c r="M130" s="193"/>
      <c r="N130" s="193"/>
    </row>
    <row r="131" spans="1:14" x14ac:dyDescent="0.25">
      <c r="A131" s="171">
        <v>9.3000000000000007</v>
      </c>
      <c r="B131" s="271" t="s">
        <v>245</v>
      </c>
      <c r="C131" s="142">
        <f>'ITS - VIH SIDA'!D84</f>
        <v>0</v>
      </c>
      <c r="D131" s="72">
        <f>'ITS - VIH SIDA'!E84</f>
        <v>0</v>
      </c>
      <c r="E131" s="127">
        <f>'ITS - VIH SIDA'!F84</f>
        <v>0</v>
      </c>
      <c r="F131" s="127">
        <f>'ITS - VIH SIDA'!G84</f>
        <v>0</v>
      </c>
      <c r="G131" s="127">
        <f>'ITS - VIH SIDA'!H84</f>
        <v>0</v>
      </c>
      <c r="H131" s="128">
        <f>'ITS - VIH SIDA'!I84</f>
        <v>0</v>
      </c>
      <c r="I131" s="193"/>
      <c r="J131" s="193"/>
      <c r="K131" s="193"/>
      <c r="L131" s="193"/>
      <c r="M131" s="193"/>
      <c r="N131" s="193"/>
    </row>
    <row r="132" spans="1:14" x14ac:dyDescent="0.25">
      <c r="A132" s="171">
        <v>9.4</v>
      </c>
      <c r="B132" s="125" t="s">
        <v>246</v>
      </c>
      <c r="C132" s="142">
        <f>'ITS - VIH SIDA'!D85</f>
        <v>0</v>
      </c>
      <c r="D132" s="72">
        <f>'ITS - VIH SIDA'!E85</f>
        <v>0</v>
      </c>
      <c r="E132" s="127">
        <f>'ITS - VIH SIDA'!F85</f>
        <v>0</v>
      </c>
      <c r="F132" s="127">
        <f>'ITS - VIH SIDA'!G85</f>
        <v>0</v>
      </c>
      <c r="G132" s="127">
        <f>'ITS - VIH SIDA'!H85</f>
        <v>0</v>
      </c>
      <c r="H132" s="128">
        <f>'ITS - VIH SIDA'!I85</f>
        <v>0</v>
      </c>
      <c r="I132" s="193"/>
      <c r="J132" s="193"/>
      <c r="K132" s="193"/>
      <c r="L132" s="193"/>
      <c r="M132" s="193"/>
      <c r="N132" s="193"/>
    </row>
    <row r="133" spans="1:14" x14ac:dyDescent="0.25">
      <c r="A133" s="171">
        <v>9.5</v>
      </c>
      <c r="B133" s="125" t="s">
        <v>247</v>
      </c>
      <c r="C133" s="142">
        <f>'ITS - VIH SIDA'!D89</f>
        <v>0</v>
      </c>
      <c r="D133" s="72">
        <f>'ITS - VIH SIDA'!E89</f>
        <v>0</v>
      </c>
      <c r="E133" s="127">
        <f>'ITS - VIH SIDA'!F89</f>
        <v>0</v>
      </c>
      <c r="F133" s="127">
        <f>'ITS - VIH SIDA'!G89</f>
        <v>0</v>
      </c>
      <c r="G133" s="127">
        <f>'ITS - VIH SIDA'!H89</f>
        <v>0</v>
      </c>
      <c r="H133" s="128">
        <f>'ITS - VIH SIDA'!I89</f>
        <v>0</v>
      </c>
      <c r="I133" s="193"/>
      <c r="J133" s="193"/>
      <c r="K133" s="193"/>
      <c r="L133" s="193"/>
      <c r="M133" s="193"/>
      <c r="N133" s="193"/>
    </row>
    <row r="134" spans="1:14" x14ac:dyDescent="0.25">
      <c r="A134" s="171">
        <v>9.6</v>
      </c>
      <c r="B134" s="271" t="s">
        <v>248</v>
      </c>
      <c r="C134" s="272"/>
      <c r="D134" s="57"/>
      <c r="E134" s="136"/>
      <c r="F134" s="136"/>
      <c r="G134" s="136"/>
      <c r="H134" s="137"/>
      <c r="I134" s="193"/>
      <c r="J134" s="193"/>
      <c r="K134" s="193"/>
      <c r="L134" s="193"/>
      <c r="M134" s="193"/>
      <c r="N134" s="193"/>
    </row>
    <row r="135" spans="1:14" x14ac:dyDescent="0.25">
      <c r="A135" s="171">
        <v>9.6999999999999993</v>
      </c>
      <c r="B135" s="271" t="s">
        <v>249</v>
      </c>
      <c r="C135" s="243"/>
      <c r="D135" s="224"/>
      <c r="E135" s="136"/>
      <c r="F135" s="136"/>
      <c r="G135" s="136"/>
      <c r="H135" s="137"/>
      <c r="I135" s="193"/>
      <c r="J135" s="193"/>
      <c r="K135" s="193"/>
      <c r="L135" s="193"/>
      <c r="M135" s="193"/>
      <c r="N135" s="193"/>
    </row>
    <row r="136" spans="1:14" x14ac:dyDescent="0.25">
      <c r="A136" s="273">
        <v>9.8000000000000007</v>
      </c>
      <c r="B136" s="271" t="s">
        <v>250</v>
      </c>
      <c r="C136" s="142">
        <f>'ITS - VIH SIDA'!D90</f>
        <v>0</v>
      </c>
      <c r="D136" s="72">
        <f>'ITS - VIH SIDA'!E90</f>
        <v>0</v>
      </c>
      <c r="E136" s="127">
        <f>'ITS - VIH SIDA'!F90</f>
        <v>0</v>
      </c>
      <c r="F136" s="127">
        <f>'ITS - VIH SIDA'!G90</f>
        <v>0</v>
      </c>
      <c r="G136" s="127">
        <f>'ITS - VIH SIDA'!H90</f>
        <v>0</v>
      </c>
      <c r="H136" s="128">
        <f>'ITS - VIH SIDA'!I90</f>
        <v>0</v>
      </c>
      <c r="I136" s="193"/>
      <c r="J136" s="193"/>
      <c r="K136" s="193"/>
      <c r="L136" s="193"/>
      <c r="M136" s="193"/>
      <c r="N136" s="193"/>
    </row>
    <row r="137" spans="1:14" x14ac:dyDescent="0.25">
      <c r="A137" s="273">
        <v>9.9</v>
      </c>
      <c r="B137" s="271" t="s">
        <v>251</v>
      </c>
      <c r="C137" s="243"/>
      <c r="D137" s="224"/>
      <c r="E137" s="136"/>
      <c r="F137" s="136"/>
      <c r="G137" s="136"/>
      <c r="H137" s="137"/>
      <c r="I137" s="193"/>
      <c r="J137" s="193"/>
      <c r="K137" s="193"/>
      <c r="L137" s="193"/>
      <c r="M137" s="193"/>
      <c r="N137" s="193"/>
    </row>
    <row r="138" spans="1:14" ht="21" x14ac:dyDescent="0.25">
      <c r="A138" s="274">
        <v>9.1</v>
      </c>
      <c r="B138" s="141" t="s">
        <v>252</v>
      </c>
      <c r="C138" s="142">
        <f>'ITS - VIH SIDA'!D87</f>
        <v>0</v>
      </c>
      <c r="D138" s="72">
        <f>'ITS - VIH SIDA'!E87</f>
        <v>0</v>
      </c>
      <c r="E138" s="127">
        <f>'ITS - VIH SIDA'!F87</f>
        <v>0</v>
      </c>
      <c r="F138" s="127">
        <f>'ITS - VIH SIDA'!G87</f>
        <v>0</v>
      </c>
      <c r="G138" s="127">
        <f>'ITS - VIH SIDA'!H87</f>
        <v>0</v>
      </c>
      <c r="H138" s="128">
        <f>'ITS - VIH SIDA'!I87</f>
        <v>0</v>
      </c>
      <c r="I138" s="193"/>
      <c r="J138" s="193"/>
      <c r="K138" s="193"/>
      <c r="L138" s="193"/>
      <c r="M138" s="193"/>
      <c r="N138" s="193"/>
    </row>
    <row r="139" spans="1:14" ht="21" x14ac:dyDescent="0.25">
      <c r="A139" s="274">
        <v>9.11</v>
      </c>
      <c r="B139" s="141" t="s">
        <v>253</v>
      </c>
      <c r="C139" s="142">
        <f>'ITS - VIH SIDA'!D87</f>
        <v>0</v>
      </c>
      <c r="D139" s="72">
        <f>'ITS - VIH SIDA'!E87</f>
        <v>0</v>
      </c>
      <c r="E139" s="127">
        <f>'ITS - VIH SIDA'!F87</f>
        <v>0</v>
      </c>
      <c r="F139" s="127">
        <f>'ITS - VIH SIDA'!G87</f>
        <v>0</v>
      </c>
      <c r="G139" s="127">
        <f>'ITS - VIH SIDA'!H87</f>
        <v>0</v>
      </c>
      <c r="H139" s="128">
        <f>'ITS - VIH SIDA'!I87</f>
        <v>0</v>
      </c>
      <c r="I139" s="193"/>
      <c r="J139" s="193"/>
      <c r="K139" s="193"/>
      <c r="L139" s="193"/>
      <c r="M139" s="193"/>
      <c r="N139" s="193"/>
    </row>
    <row r="140" spans="1:14" x14ac:dyDescent="0.25">
      <c r="A140" s="191">
        <v>9.1199999999999992</v>
      </c>
      <c r="B140" s="271" t="s">
        <v>254</v>
      </c>
      <c r="C140" s="142">
        <f>'ITS - VIH SIDA'!F71</f>
        <v>0</v>
      </c>
      <c r="D140" s="72">
        <f>'ITS - VIH SIDA'!G71</f>
        <v>0</v>
      </c>
      <c r="E140" s="127">
        <f>'ITS - VIH SIDA'!H71</f>
        <v>0</v>
      </c>
      <c r="F140" s="127">
        <f>'ITS - VIH SIDA'!I71</f>
        <v>0</v>
      </c>
      <c r="G140" s="127">
        <f>'ITS - VIH SIDA'!J71</f>
        <v>0</v>
      </c>
      <c r="H140" s="128">
        <f>'ITS - VIH SIDA'!K71</f>
        <v>0</v>
      </c>
      <c r="I140" s="193"/>
      <c r="J140" s="193"/>
      <c r="K140" s="193"/>
      <c r="L140" s="193"/>
      <c r="M140" s="193"/>
      <c r="N140" s="193"/>
    </row>
    <row r="141" spans="1:14" x14ac:dyDescent="0.25">
      <c r="A141" s="191">
        <v>9.1300000000000008</v>
      </c>
      <c r="B141" s="271" t="s">
        <v>255</v>
      </c>
      <c r="C141" s="142">
        <f>'ITS - VIH SIDA'!F74+'ITS - VIH SIDA'!F75</f>
        <v>0</v>
      </c>
      <c r="D141" s="72">
        <f>'ITS - VIH SIDA'!G74+'ITS - VIH SIDA'!G75</f>
        <v>0</v>
      </c>
      <c r="E141" s="127">
        <f>'ITS - VIH SIDA'!H74+'ITS - VIH SIDA'!H75</f>
        <v>0</v>
      </c>
      <c r="F141" s="127">
        <f>'ITS - VIH SIDA'!I74+'ITS - VIH SIDA'!I75</f>
        <v>0</v>
      </c>
      <c r="G141" s="127">
        <f>'ITS - VIH SIDA'!J74+'ITS - VIH SIDA'!J75</f>
        <v>0</v>
      </c>
      <c r="H141" s="128">
        <f>'ITS - VIH SIDA'!K74+'ITS - VIH SIDA'!K75</f>
        <v>0</v>
      </c>
      <c r="I141" s="193"/>
      <c r="J141" s="193"/>
      <c r="K141" s="193"/>
      <c r="L141" s="193"/>
      <c r="M141" s="193"/>
      <c r="N141" s="193"/>
    </row>
    <row r="142" spans="1:14" ht="21" x14ac:dyDescent="0.25">
      <c r="A142" s="274">
        <v>9.14</v>
      </c>
      <c r="B142" s="194" t="s">
        <v>256</v>
      </c>
      <c r="C142" s="142">
        <f>'ITS - VIH SIDA'!D86</f>
        <v>0</v>
      </c>
      <c r="D142" s="72">
        <f>'ITS - VIH SIDA'!E86</f>
        <v>0</v>
      </c>
      <c r="E142" s="127">
        <f>'ITS - VIH SIDA'!F86</f>
        <v>0</v>
      </c>
      <c r="F142" s="127">
        <f>'ITS - VIH SIDA'!G86</f>
        <v>0</v>
      </c>
      <c r="G142" s="127">
        <f>'ITS - VIH SIDA'!H86</f>
        <v>0</v>
      </c>
      <c r="H142" s="128">
        <f>'ITS - VIH SIDA'!I86</f>
        <v>0</v>
      </c>
      <c r="I142" s="193"/>
      <c r="J142" s="193"/>
      <c r="K142" s="193"/>
      <c r="L142" s="193"/>
      <c r="M142" s="193"/>
      <c r="N142" s="193"/>
    </row>
    <row r="143" spans="1:14" x14ac:dyDescent="0.25">
      <c r="A143" s="274">
        <v>9.15</v>
      </c>
      <c r="B143" s="271" t="s">
        <v>257</v>
      </c>
      <c r="C143" s="243"/>
      <c r="D143" s="224"/>
      <c r="E143" s="136"/>
      <c r="F143" s="136"/>
      <c r="G143" s="136"/>
      <c r="H143" s="137"/>
      <c r="I143" s="193"/>
      <c r="J143" s="193"/>
      <c r="K143" s="193"/>
      <c r="L143" s="193"/>
      <c r="M143" s="193"/>
      <c r="N143" s="193"/>
    </row>
    <row r="144" spans="1:14" x14ac:dyDescent="0.25">
      <c r="A144" s="274">
        <v>9.16</v>
      </c>
      <c r="B144" s="271" t="s">
        <v>258</v>
      </c>
      <c r="C144" s="275"/>
      <c r="D144" s="57"/>
      <c r="E144" s="136"/>
      <c r="F144" s="136"/>
      <c r="G144" s="136"/>
      <c r="H144" s="128">
        <f>'ITS - VIH SIDA'!J82+'ITS - VIH SIDA'!J83+'ITS - VIH SIDA'!J84+'ITS - VIH SIDA'!J85+'ITS - VIH SIDA'!J86+'ITS - VIH SIDA'!J87</f>
        <v>0</v>
      </c>
      <c r="I144" s="193"/>
      <c r="J144" s="193"/>
      <c r="K144" s="193"/>
      <c r="L144" s="193"/>
      <c r="M144" s="193"/>
      <c r="N144" s="193"/>
    </row>
    <row r="145" spans="1:14" ht="11.25" thickBot="1" x14ac:dyDescent="0.3">
      <c r="A145" s="78">
        <v>9.17</v>
      </c>
      <c r="B145" s="276" t="s">
        <v>259</v>
      </c>
      <c r="C145" s="245"/>
      <c r="D145" s="104"/>
      <c r="E145" s="277"/>
      <c r="F145" s="278"/>
      <c r="G145" s="278"/>
      <c r="H145" s="279"/>
      <c r="I145" s="193"/>
      <c r="J145" s="193"/>
      <c r="K145" s="193"/>
      <c r="L145" s="193"/>
      <c r="M145" s="193"/>
      <c r="N145" s="193"/>
    </row>
    <row r="146" spans="1:14" ht="11.25" thickBot="1" x14ac:dyDescent="0.3">
      <c r="A146" s="109"/>
      <c r="B146" s="280"/>
      <c r="C146" s="37"/>
      <c r="D146" s="37"/>
      <c r="E146" s="155"/>
    </row>
    <row r="147" spans="1:14" ht="11.25" thickBot="1" x14ac:dyDescent="0.3">
      <c r="A147" s="318" t="s">
        <v>260</v>
      </c>
      <c r="B147" s="319"/>
      <c r="C147" s="281" t="s">
        <v>137</v>
      </c>
      <c r="D147" s="282" t="s">
        <v>138</v>
      </c>
      <c r="E147" s="282" t="s">
        <v>139</v>
      </c>
      <c r="F147" s="282" t="s">
        <v>140</v>
      </c>
      <c r="G147" s="283" t="s">
        <v>128</v>
      </c>
      <c r="H147" s="284" t="s">
        <v>129</v>
      </c>
    </row>
    <row r="148" spans="1:14" x14ac:dyDescent="0.25">
      <c r="A148" s="45">
        <v>10.1</v>
      </c>
      <c r="B148" s="270" t="s">
        <v>243</v>
      </c>
      <c r="C148" s="204"/>
      <c r="D148" s="285"/>
      <c r="E148" s="285"/>
      <c r="F148" s="285"/>
      <c r="G148" s="286"/>
      <c r="H148" s="206"/>
    </row>
    <row r="149" spans="1:14" x14ac:dyDescent="0.25">
      <c r="A149" s="54">
        <v>10.199999999999999</v>
      </c>
      <c r="B149" s="271" t="s">
        <v>244</v>
      </c>
      <c r="C149" s="243"/>
      <c r="D149" s="136"/>
      <c r="E149" s="136"/>
      <c r="F149" s="136"/>
      <c r="G149" s="287"/>
      <c r="H149" s="139"/>
    </row>
    <row r="150" spans="1:14" x14ac:dyDescent="0.25">
      <c r="A150" s="54">
        <v>10.3</v>
      </c>
      <c r="B150" s="271" t="s">
        <v>245</v>
      </c>
      <c r="C150" s="243"/>
      <c r="D150" s="136"/>
      <c r="E150" s="136"/>
      <c r="F150" s="136"/>
      <c r="G150" s="287"/>
      <c r="H150" s="139"/>
    </row>
    <row r="151" spans="1:14" x14ac:dyDescent="0.25">
      <c r="A151" s="54">
        <v>10.4</v>
      </c>
      <c r="B151" s="125" t="s">
        <v>246</v>
      </c>
      <c r="C151" s="243"/>
      <c r="D151" s="136"/>
      <c r="E151" s="136"/>
      <c r="F151" s="136"/>
      <c r="G151" s="287"/>
      <c r="H151" s="139"/>
    </row>
    <row r="152" spans="1:14" x14ac:dyDescent="0.25">
      <c r="A152" s="54">
        <v>10.5</v>
      </c>
      <c r="B152" s="125" t="s">
        <v>247</v>
      </c>
      <c r="C152" s="243"/>
      <c r="D152" s="136"/>
      <c r="E152" s="136"/>
      <c r="F152" s="136"/>
      <c r="G152" s="287"/>
      <c r="H152" s="139"/>
    </row>
    <row r="153" spans="1:14" x14ac:dyDescent="0.25">
      <c r="A153" s="54">
        <v>10.6</v>
      </c>
      <c r="B153" s="271" t="s">
        <v>248</v>
      </c>
      <c r="C153" s="243"/>
      <c r="D153" s="136"/>
      <c r="E153" s="136"/>
      <c r="F153" s="136"/>
      <c r="G153" s="287"/>
      <c r="H153" s="139"/>
    </row>
    <row r="154" spans="1:14" x14ac:dyDescent="0.25">
      <c r="A154" s="54">
        <v>10.7</v>
      </c>
      <c r="B154" s="271" t="s">
        <v>249</v>
      </c>
      <c r="C154" s="243"/>
      <c r="D154" s="136"/>
      <c r="E154" s="136"/>
      <c r="F154" s="136"/>
      <c r="G154" s="287"/>
      <c r="H154" s="139"/>
    </row>
    <row r="155" spans="1:14" x14ac:dyDescent="0.25">
      <c r="A155" s="54">
        <v>10.8</v>
      </c>
      <c r="B155" s="271" t="s">
        <v>250</v>
      </c>
      <c r="C155" s="275"/>
      <c r="D155" s="136"/>
      <c r="E155" s="136"/>
      <c r="F155" s="136"/>
      <c r="G155" s="287"/>
      <c r="H155" s="139"/>
    </row>
    <row r="156" spans="1:14" x14ac:dyDescent="0.25">
      <c r="A156" s="54">
        <v>10.9</v>
      </c>
      <c r="B156" s="271" t="s">
        <v>251</v>
      </c>
      <c r="C156" s="243"/>
      <c r="D156" s="136"/>
      <c r="E156" s="136"/>
      <c r="F156" s="136"/>
      <c r="G156" s="287"/>
      <c r="H156" s="139"/>
    </row>
    <row r="157" spans="1:14" ht="21" x14ac:dyDescent="0.25">
      <c r="A157" s="77">
        <v>10.1</v>
      </c>
      <c r="B157" s="141" t="s">
        <v>252</v>
      </c>
      <c r="C157" s="243"/>
      <c r="D157" s="136"/>
      <c r="E157" s="136"/>
      <c r="F157" s="136"/>
      <c r="G157" s="287"/>
      <c r="H157" s="139"/>
    </row>
    <row r="158" spans="1:14" ht="21" x14ac:dyDescent="0.25">
      <c r="A158" s="77">
        <v>10.11</v>
      </c>
      <c r="B158" s="141" t="s">
        <v>253</v>
      </c>
      <c r="C158" s="243"/>
      <c r="D158" s="136"/>
      <c r="E158" s="136"/>
      <c r="F158" s="136"/>
      <c r="G158" s="287"/>
      <c r="H158" s="139"/>
    </row>
    <row r="159" spans="1:14" x14ac:dyDescent="0.25">
      <c r="A159" s="77">
        <v>10.119999999999999</v>
      </c>
      <c r="B159" s="271" t="s">
        <v>254</v>
      </c>
      <c r="C159" s="243"/>
      <c r="D159" s="136"/>
      <c r="E159" s="136"/>
      <c r="F159" s="136"/>
      <c r="G159" s="287"/>
      <c r="H159" s="139"/>
    </row>
    <row r="160" spans="1:14" x14ac:dyDescent="0.25">
      <c r="A160" s="77">
        <v>10.130000000000001</v>
      </c>
      <c r="B160" s="271" t="s">
        <v>255</v>
      </c>
      <c r="C160" s="243"/>
      <c r="D160" s="136"/>
      <c r="E160" s="136"/>
      <c r="F160" s="136"/>
      <c r="G160" s="287"/>
      <c r="H160" s="139"/>
    </row>
    <row r="161" spans="1:8" ht="21" x14ac:dyDescent="0.25">
      <c r="A161" s="77">
        <v>10.14</v>
      </c>
      <c r="B161" s="141" t="s">
        <v>256</v>
      </c>
      <c r="C161" s="275"/>
      <c r="D161" s="136"/>
      <c r="E161" s="136"/>
      <c r="F161" s="136"/>
      <c r="G161" s="287"/>
      <c r="H161" s="139"/>
    </row>
    <row r="162" spans="1:8" x14ac:dyDescent="0.25">
      <c r="A162" s="77">
        <v>10.15</v>
      </c>
      <c r="B162" s="271" t="s">
        <v>257</v>
      </c>
      <c r="C162" s="243"/>
      <c r="D162" s="136"/>
      <c r="E162" s="136"/>
      <c r="F162" s="136"/>
      <c r="G162" s="287"/>
      <c r="H162" s="139"/>
    </row>
    <row r="163" spans="1:8" x14ac:dyDescent="0.25">
      <c r="A163" s="77">
        <v>10.16</v>
      </c>
      <c r="B163" s="271" t="s">
        <v>258</v>
      </c>
      <c r="C163" s="243"/>
      <c r="D163" s="136"/>
      <c r="E163" s="136"/>
      <c r="F163" s="136"/>
      <c r="G163" s="287"/>
      <c r="H163" s="139"/>
    </row>
    <row r="164" spans="1:8" ht="11.25" thickBot="1" x14ac:dyDescent="0.3">
      <c r="A164" s="78">
        <v>10.17</v>
      </c>
      <c r="B164" s="288" t="s">
        <v>259</v>
      </c>
      <c r="C164" s="245"/>
      <c r="D164" s="278"/>
      <c r="E164" s="277"/>
      <c r="F164" s="277"/>
      <c r="G164" s="289"/>
      <c r="H164" s="149"/>
    </row>
    <row r="165" spans="1:8" x14ac:dyDescent="0.25">
      <c r="A165" s="109"/>
      <c r="B165" s="280"/>
      <c r="C165" s="37"/>
      <c r="D165" s="37"/>
      <c r="E165" s="155"/>
    </row>
    <row r="166" spans="1:8" ht="11.25" thickBot="1" x14ac:dyDescent="0.3">
      <c r="A166" s="22"/>
      <c r="B166" s="290"/>
      <c r="C166" s="291"/>
    </row>
    <row r="167" spans="1:8" ht="11.25" thickBot="1" x14ac:dyDescent="0.3">
      <c r="A167" s="320" t="s">
        <v>261</v>
      </c>
      <c r="B167" s="321"/>
      <c r="C167" s="324" t="s">
        <v>196</v>
      </c>
      <c r="D167" s="325"/>
      <c r="E167" s="325"/>
      <c r="F167" s="325"/>
      <c r="G167" s="325"/>
      <c r="H167" s="303" t="s">
        <v>129</v>
      </c>
    </row>
    <row r="168" spans="1:8" ht="11.25" thickBot="1" x14ac:dyDescent="0.3">
      <c r="A168" s="322"/>
      <c r="B168" s="323"/>
      <c r="C168" s="292" t="s">
        <v>137</v>
      </c>
      <c r="D168" s="293" t="s">
        <v>138</v>
      </c>
      <c r="E168" s="293" t="s">
        <v>139</v>
      </c>
      <c r="F168" s="293" t="s">
        <v>140</v>
      </c>
      <c r="G168" s="294" t="s">
        <v>128</v>
      </c>
      <c r="H168" s="304"/>
    </row>
    <row r="169" spans="1:8" x14ac:dyDescent="0.25">
      <c r="A169" s="45">
        <v>11.1</v>
      </c>
      <c r="B169" s="295" t="s">
        <v>262</v>
      </c>
      <c r="C169" s="163">
        <f>'ITS - VIH SIDA'!D95</f>
        <v>0</v>
      </c>
      <c r="D169" s="121">
        <f>'ITS - VIH SIDA'!E95</f>
        <v>0</v>
      </c>
      <c r="E169" s="121">
        <f>'ITS - VIH SIDA'!F95</f>
        <v>0</v>
      </c>
      <c r="F169" s="121">
        <f>'ITS - VIH SIDA'!G95</f>
        <v>0</v>
      </c>
      <c r="G169" s="165">
        <f>'ITS - VIH SIDA'!H95</f>
        <v>0</v>
      </c>
      <c r="H169" s="124">
        <f>'ITS - VIH SIDA'!I95</f>
        <v>0</v>
      </c>
    </row>
    <row r="170" spans="1:8" x14ac:dyDescent="0.25">
      <c r="A170" s="54">
        <v>11.2</v>
      </c>
      <c r="B170" s="296" t="s">
        <v>263</v>
      </c>
      <c r="C170" s="142">
        <f>'ITS - VIH SIDA'!D96</f>
        <v>0</v>
      </c>
      <c r="D170" s="127">
        <f>'ITS - VIH SIDA'!E96</f>
        <v>0</v>
      </c>
      <c r="E170" s="127">
        <f>'ITS - VIH SIDA'!F96</f>
        <v>0</v>
      </c>
      <c r="F170" s="127">
        <f>'ITS - VIH SIDA'!G96</f>
        <v>0</v>
      </c>
      <c r="G170" s="173">
        <f>'ITS - VIH SIDA'!H96</f>
        <v>0</v>
      </c>
      <c r="H170" s="130">
        <f>'ITS - VIH SIDA'!I96</f>
        <v>0</v>
      </c>
    </row>
    <row r="171" spans="1:8" x14ac:dyDescent="0.25">
      <c r="A171" s="54">
        <v>11.3</v>
      </c>
      <c r="B171" s="296" t="s">
        <v>264</v>
      </c>
      <c r="C171" s="142">
        <f>'ITS - VIH SIDA'!D97</f>
        <v>0</v>
      </c>
      <c r="D171" s="127">
        <f>'ITS - VIH SIDA'!E97</f>
        <v>0</v>
      </c>
      <c r="E171" s="127">
        <f>'ITS - VIH SIDA'!F97</f>
        <v>0</v>
      </c>
      <c r="F171" s="127">
        <f>'ITS - VIH SIDA'!G97</f>
        <v>0</v>
      </c>
      <c r="G171" s="173">
        <f>'ITS - VIH SIDA'!H97</f>
        <v>0</v>
      </c>
      <c r="H171" s="130">
        <f>'ITS - VIH SIDA'!I97</f>
        <v>0</v>
      </c>
    </row>
    <row r="172" spans="1:8" x14ac:dyDescent="0.25">
      <c r="A172" s="54">
        <v>11.4</v>
      </c>
      <c r="B172" s="172" t="s">
        <v>265</v>
      </c>
      <c r="C172" s="142">
        <f>'ITS - VIH SIDA'!D98</f>
        <v>0</v>
      </c>
      <c r="D172" s="127">
        <f>'ITS - VIH SIDA'!E98</f>
        <v>0</v>
      </c>
      <c r="E172" s="127">
        <f>'ITS - VIH SIDA'!F98</f>
        <v>0</v>
      </c>
      <c r="F172" s="127">
        <f>'ITS - VIH SIDA'!G98</f>
        <v>0</v>
      </c>
      <c r="G172" s="173">
        <f>'ITS - VIH SIDA'!H98</f>
        <v>0</v>
      </c>
      <c r="H172" s="130">
        <f>'ITS - VIH SIDA'!I98</f>
        <v>0</v>
      </c>
    </row>
    <row r="173" spans="1:8" x14ac:dyDescent="0.25">
      <c r="A173" s="54">
        <v>11.5</v>
      </c>
      <c r="B173" s="172" t="s">
        <v>266</v>
      </c>
      <c r="C173" s="142">
        <f>'ITS - VIH SIDA'!D101</f>
        <v>0</v>
      </c>
      <c r="D173" s="127">
        <f>'ITS - VIH SIDA'!E101</f>
        <v>0</v>
      </c>
      <c r="E173" s="127">
        <f>'ITS - VIH SIDA'!F101</f>
        <v>0</v>
      </c>
      <c r="F173" s="127">
        <f>'ITS - VIH SIDA'!G101</f>
        <v>0</v>
      </c>
      <c r="G173" s="173">
        <f>'ITS - VIH SIDA'!H101</f>
        <v>0</v>
      </c>
      <c r="H173" s="130">
        <f>'ITS - VIH SIDA'!I101</f>
        <v>0</v>
      </c>
    </row>
    <row r="174" spans="1:8" x14ac:dyDescent="0.25">
      <c r="A174" s="54">
        <v>11.6</v>
      </c>
      <c r="B174" s="296" t="s">
        <v>267</v>
      </c>
      <c r="C174" s="142"/>
      <c r="D174" s="127"/>
      <c r="E174" s="127"/>
      <c r="F174" s="127"/>
      <c r="G174" s="173"/>
      <c r="H174" s="130"/>
    </row>
    <row r="175" spans="1:8" x14ac:dyDescent="0.25">
      <c r="A175" s="54">
        <v>11.7</v>
      </c>
      <c r="B175" s="296" t="s">
        <v>268</v>
      </c>
      <c r="C175" s="142"/>
      <c r="D175" s="127"/>
      <c r="E175" s="127"/>
      <c r="F175" s="127"/>
      <c r="G175" s="173"/>
      <c r="H175" s="130"/>
    </row>
    <row r="176" spans="1:8" x14ac:dyDescent="0.25">
      <c r="A176" s="54">
        <v>11.8</v>
      </c>
      <c r="B176" s="296" t="s">
        <v>269</v>
      </c>
      <c r="C176" s="142">
        <f>'ITS - VIH SIDA'!D102</f>
        <v>0</v>
      </c>
      <c r="D176" s="127">
        <f>'ITS - VIH SIDA'!E102</f>
        <v>0</v>
      </c>
      <c r="E176" s="127">
        <f>'ITS - VIH SIDA'!F102</f>
        <v>0</v>
      </c>
      <c r="F176" s="127">
        <f>'ITS - VIH SIDA'!G102</f>
        <v>0</v>
      </c>
      <c r="G176" s="173">
        <f>'ITS - VIH SIDA'!H102</f>
        <v>0</v>
      </c>
      <c r="H176" s="130">
        <f>'ITS - VIH SIDA'!I102</f>
        <v>0</v>
      </c>
    </row>
    <row r="177" spans="1:8" x14ac:dyDescent="0.25">
      <c r="A177" s="54">
        <v>11.9</v>
      </c>
      <c r="B177" s="296" t="s">
        <v>270</v>
      </c>
      <c r="C177" s="243"/>
      <c r="D177" s="136"/>
      <c r="E177" s="136"/>
      <c r="F177" s="136"/>
      <c r="G177" s="287"/>
      <c r="H177" s="139"/>
    </row>
    <row r="178" spans="1:8" ht="21" x14ac:dyDescent="0.25">
      <c r="A178" s="77">
        <v>11.1</v>
      </c>
      <c r="B178" s="297" t="s">
        <v>271</v>
      </c>
      <c r="C178" s="142">
        <f>'ITS - VIH SIDA'!D100</f>
        <v>0</v>
      </c>
      <c r="D178" s="127">
        <f>'ITS - VIH SIDA'!E100</f>
        <v>0</v>
      </c>
      <c r="E178" s="127">
        <f>'ITS - VIH SIDA'!F100</f>
        <v>0</v>
      </c>
      <c r="F178" s="127">
        <f>'ITS - VIH SIDA'!G100</f>
        <v>0</v>
      </c>
      <c r="G178" s="173">
        <f>'ITS - VIH SIDA'!H100</f>
        <v>0</v>
      </c>
      <c r="H178" s="130">
        <f>'ITS - VIH SIDA'!I100</f>
        <v>0</v>
      </c>
    </row>
    <row r="179" spans="1:8" ht="21" x14ac:dyDescent="0.25">
      <c r="A179" s="77">
        <v>11.11</v>
      </c>
      <c r="B179" s="297" t="s">
        <v>272</v>
      </c>
      <c r="C179" s="142">
        <f>'ITS - VIH SIDA'!D101</f>
        <v>0</v>
      </c>
      <c r="D179" s="127">
        <f>'ITS - VIH SIDA'!E101</f>
        <v>0</v>
      </c>
      <c r="E179" s="127">
        <f>'ITS - VIH SIDA'!F101</f>
        <v>0</v>
      </c>
      <c r="F179" s="127">
        <f>'ITS - VIH SIDA'!G101</f>
        <v>0</v>
      </c>
      <c r="G179" s="173">
        <f>'ITS - VIH SIDA'!H101</f>
        <v>0</v>
      </c>
      <c r="H179" s="130">
        <f>'ITS - VIH SIDA'!I101</f>
        <v>0</v>
      </c>
    </row>
    <row r="180" spans="1:8" x14ac:dyDescent="0.25">
      <c r="A180" s="77">
        <v>11.12</v>
      </c>
      <c r="B180" s="296" t="s">
        <v>273</v>
      </c>
      <c r="C180" s="142">
        <f>'ITS - VIH SIDA'!F76</f>
        <v>0</v>
      </c>
      <c r="D180" s="127">
        <f>'ITS - VIH SIDA'!G76</f>
        <v>0</v>
      </c>
      <c r="E180" s="127">
        <f>'ITS - VIH SIDA'!H76</f>
        <v>0</v>
      </c>
      <c r="F180" s="127">
        <f>'ITS - VIH SIDA'!I76</f>
        <v>0</v>
      </c>
      <c r="G180" s="173">
        <f>'ITS - VIH SIDA'!J76</f>
        <v>0</v>
      </c>
      <c r="H180" s="130">
        <f>'ITS - VIH SIDA'!K76</f>
        <v>0</v>
      </c>
    </row>
    <row r="181" spans="1:8" x14ac:dyDescent="0.25">
      <c r="A181" s="77">
        <v>11.13</v>
      </c>
      <c r="B181" s="296" t="s">
        <v>274</v>
      </c>
      <c r="C181" s="142">
        <f>'ITS - VIH SIDA'!F77+'ITS - VIH SIDA'!F78</f>
        <v>0</v>
      </c>
      <c r="D181" s="127">
        <f>'ITS - VIH SIDA'!G77+'ITS - VIH SIDA'!G78</f>
        <v>0</v>
      </c>
      <c r="E181" s="127">
        <f>'ITS - VIH SIDA'!H77+'ITS - VIH SIDA'!H78</f>
        <v>0</v>
      </c>
      <c r="F181" s="127">
        <f>'ITS - VIH SIDA'!I77+'ITS - VIH SIDA'!I78</f>
        <v>0</v>
      </c>
      <c r="G181" s="173">
        <f>'ITS - VIH SIDA'!J77+'ITS - VIH SIDA'!J78</f>
        <v>0</v>
      </c>
      <c r="H181" s="130">
        <f>'ITS - VIH SIDA'!K77+'ITS - VIH SIDA'!K78</f>
        <v>0</v>
      </c>
    </row>
    <row r="182" spans="1:8" ht="21" x14ac:dyDescent="0.25">
      <c r="A182" s="77">
        <v>11.14</v>
      </c>
      <c r="B182" s="141" t="s">
        <v>275</v>
      </c>
      <c r="C182" s="142">
        <f>'ITS - VIH SIDA'!D99</f>
        <v>0</v>
      </c>
      <c r="D182" s="127">
        <f>'ITS - VIH SIDA'!E99</f>
        <v>0</v>
      </c>
      <c r="E182" s="127">
        <f>'ITS - VIH SIDA'!F99</f>
        <v>0</v>
      </c>
      <c r="F182" s="127">
        <f>'ITS - VIH SIDA'!G99</f>
        <v>0</v>
      </c>
      <c r="G182" s="173">
        <f>'ITS - VIH SIDA'!H99</f>
        <v>0</v>
      </c>
      <c r="H182" s="130">
        <f>'ITS - VIH SIDA'!I99</f>
        <v>0</v>
      </c>
    </row>
    <row r="183" spans="1:8" x14ac:dyDescent="0.25">
      <c r="A183" s="77">
        <v>11.15</v>
      </c>
      <c r="B183" s="296" t="s">
        <v>276</v>
      </c>
      <c r="C183" s="243"/>
      <c r="D183" s="136"/>
      <c r="E183" s="136"/>
      <c r="F183" s="136"/>
      <c r="G183" s="287"/>
      <c r="H183" s="139"/>
    </row>
    <row r="184" spans="1:8" x14ac:dyDescent="0.25">
      <c r="A184" s="77">
        <v>11.16</v>
      </c>
      <c r="B184" s="296" t="s">
        <v>277</v>
      </c>
      <c r="C184" s="243"/>
      <c r="D184" s="136"/>
      <c r="E184" s="136"/>
      <c r="F184" s="136"/>
      <c r="G184" s="287"/>
      <c r="H184" s="130">
        <f>SUM('ITS - VIH SIDA'!J95:J100)</f>
        <v>0</v>
      </c>
    </row>
    <row r="185" spans="1:8" ht="11.25" thickBot="1" x14ac:dyDescent="0.3">
      <c r="A185" s="78">
        <v>11.17</v>
      </c>
      <c r="B185" s="298" t="s">
        <v>259</v>
      </c>
      <c r="C185" s="245"/>
      <c r="D185" s="278"/>
      <c r="E185" s="277"/>
      <c r="F185" s="277"/>
      <c r="G185" s="289"/>
      <c r="H185" s="149"/>
    </row>
  </sheetData>
  <mergeCells count="34">
    <mergeCell ref="A2:M2"/>
    <mergeCell ref="A12:B13"/>
    <mergeCell ref="C12:I12"/>
    <mergeCell ref="J12:J13"/>
    <mergeCell ref="K12:K13"/>
    <mergeCell ref="L12:L13"/>
    <mergeCell ref="M12:M13"/>
    <mergeCell ref="J35:J36"/>
    <mergeCell ref="K35:K36"/>
    <mergeCell ref="L35:L36"/>
    <mergeCell ref="A47:B48"/>
    <mergeCell ref="C47:F47"/>
    <mergeCell ref="G47:G48"/>
    <mergeCell ref="A35:B36"/>
    <mergeCell ref="C35:I35"/>
    <mergeCell ref="A70:B71"/>
    <mergeCell ref="C70:F70"/>
    <mergeCell ref="G70:G71"/>
    <mergeCell ref="A76:B77"/>
    <mergeCell ref="C76:F76"/>
    <mergeCell ref="G76:G77"/>
    <mergeCell ref="H167:H168"/>
    <mergeCell ref="H76:H77"/>
    <mergeCell ref="A86:B87"/>
    <mergeCell ref="C86:F86"/>
    <mergeCell ref="G86:G87"/>
    <mergeCell ref="A100:B101"/>
    <mergeCell ref="C100:F100"/>
    <mergeCell ref="G100:G101"/>
    <mergeCell ref="A114:B114"/>
    <mergeCell ref="A128:B128"/>
    <mergeCell ref="A147:B147"/>
    <mergeCell ref="A167:B168"/>
    <mergeCell ref="C167:G167"/>
  </mergeCells>
  <pageMargins left="0.17" right="0.11" top="0.78" bottom="0" header="0.25" footer="0"/>
  <pageSetup paperSize="9" scale="43" orientation="portrait" horizontalDpi="180" verticalDpi="180" r:id="rId1"/>
  <headerFooter alignWithMargins="0"/>
  <rowBreaks count="2" manualBreakCount="2">
    <brk id="69" max="12" man="1"/>
    <brk id="125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ITS - VIH SIDA</vt:lpstr>
      <vt:lpstr>formato</vt:lpstr>
      <vt:lpstr>formato!Área_de_impresión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Peña Villanes</dc:creator>
  <cp:lastModifiedBy>ESTADISTICA</cp:lastModifiedBy>
  <cp:lastPrinted>2008-01-10T20:01:07Z</cp:lastPrinted>
  <dcterms:created xsi:type="dcterms:W3CDTF">2007-12-07T16:25:55Z</dcterms:created>
  <dcterms:modified xsi:type="dcterms:W3CDTF">2020-05-15T16:37:05Z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4eef4be5-3a16-4647-8666-1b521cf61b89</vt:lpwstr>
  </property>
</Properties>
</file>