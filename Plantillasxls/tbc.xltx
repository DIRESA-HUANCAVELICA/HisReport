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0. Edgar\HisReport-2024\Plantillasxls\"/>
    </mc:Choice>
  </mc:AlternateContent>
  <xr:revisionPtr revIDLastSave="0" documentId="13_ncr:1_{ACB4D11B-D3CB-49CD-A9EB-E103F9ED113B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TBC" sheetId="1" r:id="rId1"/>
    <sheet name="Operacional" sheetId="3" r:id="rId2"/>
  </sheets>
  <definedNames>
    <definedName name="_xlnm.Print_Area" localSheetId="0">TBC!$A$1:$H$160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3" i="3" l="1"/>
  <c r="Y34" i="3"/>
  <c r="Y27" i="3"/>
  <c r="Y28" i="3"/>
  <c r="Y29" i="3"/>
  <c r="Y30" i="3"/>
  <c r="Y31" i="3"/>
  <c r="Y26" i="3"/>
  <c r="Y25" i="3"/>
  <c r="C22" i="1"/>
  <c r="Y32" i="3" s="1"/>
  <c r="C15" i="1"/>
  <c r="C114" i="1" l="1"/>
  <c r="D108" i="1"/>
  <c r="E108" i="1"/>
  <c r="F108" i="1"/>
  <c r="G108" i="1"/>
  <c r="H108" i="1"/>
  <c r="C108" i="1"/>
  <c r="C88" i="1"/>
  <c r="C91" i="1"/>
  <c r="C87" i="1" l="1"/>
  <c r="AC124" i="3"/>
  <c r="AB124" i="3"/>
  <c r="AC123" i="3"/>
  <c r="AB123" i="3"/>
  <c r="AC121" i="3"/>
  <c r="AB121" i="3"/>
  <c r="AC120" i="3"/>
  <c r="AB120" i="3"/>
  <c r="AC119" i="3"/>
  <c r="AB119" i="3"/>
  <c r="Z124" i="3"/>
  <c r="Y124" i="3"/>
  <c r="Z123" i="3"/>
  <c r="Y123" i="3"/>
  <c r="Z121" i="3"/>
  <c r="Y121" i="3"/>
  <c r="Z120" i="3"/>
  <c r="Y120" i="3"/>
  <c r="Z119" i="3"/>
  <c r="Y119" i="3"/>
  <c r="W124" i="3"/>
  <c r="V124" i="3"/>
  <c r="W123" i="3"/>
  <c r="V123" i="3"/>
  <c r="W121" i="3"/>
  <c r="V121" i="3"/>
  <c r="W120" i="3"/>
  <c r="V120" i="3"/>
  <c r="W119" i="3"/>
  <c r="V119" i="3"/>
  <c r="T124" i="3"/>
  <c r="S124" i="3"/>
  <c r="T123" i="3"/>
  <c r="S123" i="3"/>
  <c r="T121" i="3"/>
  <c r="S121" i="3"/>
  <c r="T120" i="3"/>
  <c r="S120" i="3"/>
  <c r="T119" i="3"/>
  <c r="S119" i="3"/>
  <c r="Q124" i="3"/>
  <c r="P124" i="3"/>
  <c r="Q123" i="3"/>
  <c r="P123" i="3"/>
  <c r="Q121" i="3"/>
  <c r="P121" i="3"/>
  <c r="Q120" i="3"/>
  <c r="P120" i="3"/>
  <c r="Q119" i="3"/>
  <c r="P119" i="3"/>
  <c r="N124" i="3"/>
  <c r="M124" i="3"/>
  <c r="N123" i="3"/>
  <c r="M123" i="3"/>
  <c r="N121" i="3"/>
  <c r="M121" i="3"/>
  <c r="N120" i="3"/>
  <c r="M120" i="3"/>
  <c r="N119" i="3"/>
  <c r="M119" i="3"/>
  <c r="K124" i="3"/>
  <c r="J124" i="3"/>
  <c r="K123" i="3"/>
  <c r="J123" i="3"/>
  <c r="K121" i="3"/>
  <c r="J121" i="3"/>
  <c r="K120" i="3"/>
  <c r="J120" i="3"/>
  <c r="K119" i="3"/>
  <c r="J119" i="3"/>
  <c r="H124" i="3"/>
  <c r="H123" i="3"/>
  <c r="H121" i="3"/>
  <c r="H120" i="3"/>
  <c r="H119" i="3"/>
  <c r="G124" i="3"/>
  <c r="G123" i="3"/>
  <c r="G121" i="3"/>
  <c r="G120" i="3"/>
  <c r="G119" i="3"/>
  <c r="R156" i="1"/>
  <c r="AC122" i="3" s="1"/>
  <c r="Q156" i="1"/>
  <c r="AB122" i="3" s="1"/>
  <c r="P156" i="1"/>
  <c r="Z122" i="3" s="1"/>
  <c r="O156" i="1"/>
  <c r="Y122" i="3" s="1"/>
  <c r="N156" i="1"/>
  <c r="W122" i="3" s="1"/>
  <c r="M156" i="1"/>
  <c r="V122" i="3" s="1"/>
  <c r="L156" i="1"/>
  <c r="T122" i="3" s="1"/>
  <c r="K156" i="1"/>
  <c r="S122" i="3" s="1"/>
  <c r="J156" i="1"/>
  <c r="Q122" i="3" s="1"/>
  <c r="I156" i="1"/>
  <c r="P122" i="3" s="1"/>
  <c r="H156" i="1"/>
  <c r="N122" i="3" s="1"/>
  <c r="G156" i="1"/>
  <c r="M122" i="3" s="1"/>
  <c r="F156" i="1"/>
  <c r="K122" i="3" s="1"/>
  <c r="E156" i="1"/>
  <c r="J122" i="3" s="1"/>
  <c r="D156" i="1"/>
  <c r="H122" i="3" s="1"/>
  <c r="C156" i="1"/>
  <c r="G122" i="3" s="1"/>
  <c r="R152" i="1"/>
  <c r="AC118" i="3" s="1"/>
  <c r="Q152" i="1"/>
  <c r="AB118" i="3" s="1"/>
  <c r="P152" i="1"/>
  <c r="Z118" i="3" s="1"/>
  <c r="O152" i="1"/>
  <c r="Y118" i="3" s="1"/>
  <c r="N152" i="1"/>
  <c r="W118" i="3" s="1"/>
  <c r="M152" i="1"/>
  <c r="V118" i="3" s="1"/>
  <c r="L152" i="1"/>
  <c r="T118" i="3" s="1"/>
  <c r="K152" i="1"/>
  <c r="S118" i="3" s="1"/>
  <c r="J152" i="1"/>
  <c r="Q118" i="3" s="1"/>
  <c r="I152" i="1"/>
  <c r="P118" i="3" s="1"/>
  <c r="H152" i="1"/>
  <c r="N118" i="3" s="1"/>
  <c r="G152" i="1"/>
  <c r="M118" i="3" s="1"/>
  <c r="F152" i="1"/>
  <c r="K118" i="3" s="1"/>
  <c r="E152" i="1"/>
  <c r="J118" i="3" s="1"/>
  <c r="D152" i="1"/>
  <c r="H118" i="3" s="1"/>
  <c r="C152" i="1"/>
  <c r="G118" i="3" s="1"/>
  <c r="V109" i="3"/>
  <c r="S109" i="3"/>
  <c r="P109" i="3"/>
  <c r="M109" i="3"/>
  <c r="J109" i="3"/>
  <c r="V107" i="3"/>
  <c r="S107" i="3"/>
  <c r="P107" i="3"/>
  <c r="M107" i="3"/>
  <c r="V106" i="3"/>
  <c r="V105" i="3" s="1"/>
  <c r="S106" i="3"/>
  <c r="S105" i="3" s="1"/>
  <c r="P106" i="3"/>
  <c r="P105" i="3" s="1"/>
  <c r="M106" i="3"/>
  <c r="M105" i="3" s="1"/>
  <c r="J107" i="3"/>
  <c r="J106" i="3"/>
  <c r="J105" i="3" s="1"/>
  <c r="V103" i="3"/>
  <c r="S103" i="3"/>
  <c r="P103" i="3"/>
  <c r="M103" i="3"/>
  <c r="J103" i="3"/>
  <c r="V102" i="3"/>
  <c r="S102" i="3"/>
  <c r="P102" i="3"/>
  <c r="M102" i="3"/>
  <c r="V101" i="3"/>
  <c r="S101" i="3"/>
  <c r="P101" i="3"/>
  <c r="P100" i="3" s="1"/>
  <c r="M101" i="3"/>
  <c r="J102" i="3"/>
  <c r="J101" i="3"/>
  <c r="J100" i="3" s="1"/>
  <c r="V98" i="3"/>
  <c r="S98" i="3"/>
  <c r="P98" i="3"/>
  <c r="M98" i="3"/>
  <c r="V97" i="3"/>
  <c r="S97" i="3"/>
  <c r="P97" i="3"/>
  <c r="M97" i="3"/>
  <c r="M96" i="3" s="1"/>
  <c r="J98" i="3"/>
  <c r="J97" i="3"/>
  <c r="Y94" i="3"/>
  <c r="V92" i="3"/>
  <c r="V91" i="3"/>
  <c r="S92" i="3"/>
  <c r="S91" i="3"/>
  <c r="P92" i="3"/>
  <c r="P91" i="3"/>
  <c r="M92" i="3"/>
  <c r="M91" i="3"/>
  <c r="V90" i="3"/>
  <c r="S90" i="3"/>
  <c r="P90" i="3"/>
  <c r="M90" i="3"/>
  <c r="J92" i="3"/>
  <c r="J91" i="3"/>
  <c r="J90" i="3"/>
  <c r="V87" i="3"/>
  <c r="S87" i="3"/>
  <c r="P87" i="3"/>
  <c r="M87" i="3"/>
  <c r="V86" i="3"/>
  <c r="V85" i="3" s="1"/>
  <c r="S86" i="3"/>
  <c r="U85" i="3" s="1"/>
  <c r="P86" i="3"/>
  <c r="P85" i="3" s="1"/>
  <c r="M86" i="3"/>
  <c r="J86" i="3"/>
  <c r="J87" i="3"/>
  <c r="V84" i="3"/>
  <c r="S84" i="3"/>
  <c r="P84" i="3"/>
  <c r="M84" i="3"/>
  <c r="V83" i="3"/>
  <c r="S83" i="3"/>
  <c r="P83" i="3"/>
  <c r="P82" i="3" s="1"/>
  <c r="M83" i="3"/>
  <c r="M82" i="3" s="1"/>
  <c r="J84" i="3"/>
  <c r="J83" i="3"/>
  <c r="Y79" i="3"/>
  <c r="Y78" i="3"/>
  <c r="Y77" i="3"/>
  <c r="Y76" i="3"/>
  <c r="Y75" i="3"/>
  <c r="Y74" i="3"/>
  <c r="V71" i="3"/>
  <c r="V72" i="3"/>
  <c r="S71" i="3"/>
  <c r="S72" i="3"/>
  <c r="P71" i="3"/>
  <c r="P72" i="3"/>
  <c r="M71" i="3"/>
  <c r="M72" i="3"/>
  <c r="V70" i="3"/>
  <c r="S70" i="3"/>
  <c r="P70" i="3"/>
  <c r="M70" i="3"/>
  <c r="J70" i="3"/>
  <c r="J71" i="3"/>
  <c r="J72" i="3"/>
  <c r="C68" i="1"/>
  <c r="V66" i="3"/>
  <c r="S66" i="3"/>
  <c r="P66" i="3"/>
  <c r="M66" i="3"/>
  <c r="V65" i="3"/>
  <c r="S65" i="3"/>
  <c r="P65" i="3"/>
  <c r="M65" i="3"/>
  <c r="J65" i="3"/>
  <c r="J66" i="3"/>
  <c r="V64" i="3"/>
  <c r="S64" i="3"/>
  <c r="P64" i="3"/>
  <c r="M64" i="3"/>
  <c r="V63" i="3"/>
  <c r="S63" i="3"/>
  <c r="P63" i="3"/>
  <c r="M63" i="3"/>
  <c r="J64" i="3"/>
  <c r="J63" i="3"/>
  <c r="V58" i="3"/>
  <c r="S58" i="3"/>
  <c r="P58" i="3"/>
  <c r="M58" i="3"/>
  <c r="J58" i="3"/>
  <c r="V55" i="3"/>
  <c r="V56" i="3"/>
  <c r="V54" i="3"/>
  <c r="S55" i="3"/>
  <c r="S56" i="3"/>
  <c r="S54" i="3"/>
  <c r="P55" i="3"/>
  <c r="P56" i="3"/>
  <c r="P54" i="3"/>
  <c r="M55" i="3"/>
  <c r="M56" i="3"/>
  <c r="M54" i="3"/>
  <c r="M53" i="3" s="1"/>
  <c r="J54" i="3"/>
  <c r="J55" i="3"/>
  <c r="J56" i="3"/>
  <c r="V50" i="3"/>
  <c r="V49" i="3"/>
  <c r="S50" i="3"/>
  <c r="S49" i="3"/>
  <c r="P50" i="3"/>
  <c r="P49" i="3"/>
  <c r="M50" i="3"/>
  <c r="M49" i="3"/>
  <c r="J49" i="3"/>
  <c r="J50" i="3"/>
  <c r="V48" i="3"/>
  <c r="S48" i="3"/>
  <c r="P48" i="3"/>
  <c r="M48" i="3"/>
  <c r="J48" i="3"/>
  <c r="V44" i="3"/>
  <c r="S44" i="3"/>
  <c r="P44" i="3"/>
  <c r="M44" i="3"/>
  <c r="J44" i="3"/>
  <c r="V43" i="3"/>
  <c r="S43" i="3"/>
  <c r="P43" i="3"/>
  <c r="M43" i="3"/>
  <c r="J43" i="3"/>
  <c r="V41" i="3"/>
  <c r="V40" i="3"/>
  <c r="S41" i="3"/>
  <c r="S40" i="3"/>
  <c r="P41" i="3"/>
  <c r="P40" i="3"/>
  <c r="M41" i="3"/>
  <c r="M40" i="3"/>
  <c r="J41" i="3"/>
  <c r="J40" i="3"/>
  <c r="V39" i="3"/>
  <c r="S39" i="3"/>
  <c r="P39" i="3"/>
  <c r="M39" i="3"/>
  <c r="J39" i="3"/>
  <c r="V38" i="3"/>
  <c r="S38" i="3"/>
  <c r="P38" i="3"/>
  <c r="M38" i="3"/>
  <c r="J38" i="3"/>
  <c r="V24" i="3"/>
  <c r="S24" i="3"/>
  <c r="P24" i="3"/>
  <c r="M24" i="3"/>
  <c r="J24" i="3"/>
  <c r="V23" i="3"/>
  <c r="S23" i="3"/>
  <c r="P23" i="3"/>
  <c r="M23" i="3"/>
  <c r="J23" i="3"/>
  <c r="V22" i="3"/>
  <c r="S22" i="3"/>
  <c r="P22" i="3"/>
  <c r="M22" i="3"/>
  <c r="J22" i="3"/>
  <c r="Y113" i="3"/>
  <c r="Y111" i="3"/>
  <c r="V100" i="3"/>
  <c r="S100" i="3"/>
  <c r="Y88" i="3"/>
  <c r="AB27" i="3"/>
  <c r="AB26" i="3"/>
  <c r="D123" i="1"/>
  <c r="E123" i="1"/>
  <c r="F123" i="1"/>
  <c r="G123" i="1"/>
  <c r="H123" i="1"/>
  <c r="C123" i="1"/>
  <c r="D114" i="1"/>
  <c r="E114" i="1"/>
  <c r="F114" i="1"/>
  <c r="G114" i="1"/>
  <c r="H114" i="1"/>
  <c r="D91" i="1"/>
  <c r="E91" i="1"/>
  <c r="F91" i="1"/>
  <c r="G91" i="1"/>
  <c r="H91" i="1"/>
  <c r="D88" i="1"/>
  <c r="E88" i="1"/>
  <c r="F88" i="1"/>
  <c r="G88" i="1"/>
  <c r="H88" i="1"/>
  <c r="D68" i="1"/>
  <c r="J69" i="3" s="1"/>
  <c r="E68" i="1"/>
  <c r="M69" i="3" s="1"/>
  <c r="F68" i="1"/>
  <c r="P69" i="3" s="1"/>
  <c r="G68" i="1"/>
  <c r="S69" i="3" s="1"/>
  <c r="H68" i="1"/>
  <c r="V69" i="3" s="1"/>
  <c r="D62" i="1"/>
  <c r="J62" i="3" s="1"/>
  <c r="E62" i="1"/>
  <c r="M62" i="3" s="1"/>
  <c r="F62" i="1"/>
  <c r="P62" i="3" s="1"/>
  <c r="G62" i="1"/>
  <c r="S62" i="3" s="1"/>
  <c r="H62" i="1"/>
  <c r="V62" i="3" s="1"/>
  <c r="C62" i="1"/>
  <c r="D59" i="1"/>
  <c r="E59" i="1"/>
  <c r="F59" i="1"/>
  <c r="G59" i="1"/>
  <c r="H59" i="1"/>
  <c r="C59" i="1"/>
  <c r="D56" i="1"/>
  <c r="E56" i="1"/>
  <c r="F56" i="1"/>
  <c r="G56" i="1"/>
  <c r="H56" i="1"/>
  <c r="C56" i="1"/>
  <c r="D46" i="1"/>
  <c r="D45" i="1" s="1"/>
  <c r="E46" i="1"/>
  <c r="E45" i="1" s="1"/>
  <c r="F46" i="1"/>
  <c r="F45" i="1" s="1"/>
  <c r="G46" i="1"/>
  <c r="G45" i="1" s="1"/>
  <c r="H46" i="1"/>
  <c r="H45" i="1" s="1"/>
  <c r="C46" i="1"/>
  <c r="C45" i="1" s="1"/>
  <c r="D40" i="1"/>
  <c r="D39" i="1" s="1"/>
  <c r="E40" i="1"/>
  <c r="E39" i="1" s="1"/>
  <c r="F40" i="1"/>
  <c r="F39" i="1" s="1"/>
  <c r="G40" i="1"/>
  <c r="G39" i="1" s="1"/>
  <c r="H40" i="1"/>
  <c r="H39" i="1" s="1"/>
  <c r="C40" i="1"/>
  <c r="C39" i="1" s="1"/>
  <c r="D34" i="1"/>
  <c r="E34" i="1"/>
  <c r="F34" i="1"/>
  <c r="G34" i="1"/>
  <c r="H34" i="1"/>
  <c r="C34" i="1"/>
  <c r="D28" i="1"/>
  <c r="E28" i="1"/>
  <c r="F28" i="1"/>
  <c r="G28" i="1"/>
  <c r="H28" i="1"/>
  <c r="C28" i="1"/>
  <c r="D15" i="1"/>
  <c r="E15" i="1"/>
  <c r="F15" i="1"/>
  <c r="G15" i="1"/>
  <c r="H15" i="1"/>
  <c r="V42" i="3" l="1"/>
  <c r="Y40" i="3"/>
  <c r="AB40" i="3" s="1"/>
  <c r="P96" i="3"/>
  <c r="D87" i="1"/>
  <c r="J42" i="3"/>
  <c r="V96" i="3"/>
  <c r="M85" i="3"/>
  <c r="F87" i="1"/>
  <c r="V47" i="3"/>
  <c r="V46" i="3" s="1"/>
  <c r="Y55" i="3"/>
  <c r="AB55" i="3" s="1"/>
  <c r="J96" i="3"/>
  <c r="Y101" i="3"/>
  <c r="Y102" i="3"/>
  <c r="Y103" i="3"/>
  <c r="S85" i="3"/>
  <c r="E87" i="1"/>
  <c r="G87" i="1"/>
  <c r="P37" i="3"/>
  <c r="S96" i="3"/>
  <c r="M100" i="3"/>
  <c r="Y100" i="3" s="1"/>
  <c r="Y23" i="3"/>
  <c r="Y48" i="3"/>
  <c r="AB48" i="3" s="1"/>
  <c r="J37" i="3"/>
  <c r="P42" i="3"/>
  <c r="V53" i="3"/>
  <c r="V52" i="3" s="1"/>
  <c r="Y43" i="3"/>
  <c r="AB43" i="3" s="1"/>
  <c r="Y65" i="3"/>
  <c r="J82" i="3"/>
  <c r="V37" i="3"/>
  <c r="S53" i="3"/>
  <c r="S52" i="3" s="1"/>
  <c r="Y92" i="3"/>
  <c r="Y97" i="3"/>
  <c r="Y58" i="3"/>
  <c r="P53" i="3"/>
  <c r="P52" i="3" s="1"/>
  <c r="Y86" i="3"/>
  <c r="M81" i="3"/>
  <c r="Y84" i="3"/>
  <c r="J85" i="3"/>
  <c r="Y49" i="3"/>
  <c r="AB49" i="3" s="1"/>
  <c r="Y63" i="3"/>
  <c r="Y106" i="3"/>
  <c r="P47" i="3"/>
  <c r="P46" i="3" s="1"/>
  <c r="H87" i="1"/>
  <c r="S37" i="3"/>
  <c r="Y41" i="3"/>
  <c r="AB41" i="3" s="1"/>
  <c r="S42" i="3"/>
  <c r="J47" i="3"/>
  <c r="J46" i="3" s="1"/>
  <c r="Y91" i="3"/>
  <c r="Y107" i="3"/>
  <c r="Y22" i="3"/>
  <c r="AB22" i="3" s="1"/>
  <c r="M37" i="3"/>
  <c r="Y50" i="3"/>
  <c r="AB50" i="3" s="1"/>
  <c r="Y54" i="3"/>
  <c r="AB54" i="3" s="1"/>
  <c r="S82" i="3"/>
  <c r="Y98" i="3"/>
  <c r="Y69" i="3"/>
  <c r="Y83" i="3"/>
  <c r="M47" i="3"/>
  <c r="M46" i="3" s="1"/>
  <c r="Y56" i="3"/>
  <c r="AB56" i="3" s="1"/>
  <c r="Y66" i="3"/>
  <c r="Y71" i="3"/>
  <c r="Y87" i="3"/>
  <c r="Y109" i="3"/>
  <c r="P81" i="3"/>
  <c r="Y39" i="3"/>
  <c r="AB39" i="3" s="1"/>
  <c r="M42" i="3"/>
  <c r="J53" i="3"/>
  <c r="J52" i="3" s="1"/>
  <c r="Y90" i="3"/>
  <c r="Y24" i="3"/>
  <c r="Y38" i="3"/>
  <c r="AB38" i="3" s="1"/>
  <c r="Y44" i="3"/>
  <c r="AB44" i="3" s="1"/>
  <c r="S47" i="3"/>
  <c r="S46" i="3" s="1"/>
  <c r="Y64" i="3"/>
  <c r="Y70" i="3"/>
  <c r="Y72" i="3"/>
  <c r="V82" i="3"/>
  <c r="V81" i="3" s="1"/>
  <c r="M52" i="3"/>
  <c r="Y62" i="3"/>
  <c r="Y105" i="3"/>
  <c r="V36" i="3" l="1"/>
  <c r="V60" i="3" s="1"/>
  <c r="S81" i="3"/>
  <c r="Y85" i="3"/>
  <c r="J36" i="3"/>
  <c r="Y96" i="3"/>
  <c r="Y42" i="3"/>
  <c r="AB42" i="3" s="1"/>
  <c r="Y46" i="3"/>
  <c r="AB46" i="3" s="1"/>
  <c r="AB24" i="3"/>
  <c r="S36" i="3"/>
  <c r="S60" i="3" s="1"/>
  <c r="J81" i="3"/>
  <c r="Y81" i="3" s="1"/>
  <c r="P36" i="3"/>
  <c r="P60" i="3" s="1"/>
  <c r="Y47" i="3"/>
  <c r="AB47" i="3" s="1"/>
  <c r="Y82" i="3"/>
  <c r="M36" i="3"/>
  <c r="M60" i="3" s="1"/>
  <c r="Y52" i="3"/>
  <c r="AB52" i="3" s="1"/>
  <c r="Y53" i="3"/>
  <c r="AB53" i="3" s="1"/>
  <c r="Y37" i="3"/>
  <c r="AB37" i="3" s="1"/>
  <c r="AB23" i="3"/>
  <c r="J60" i="3"/>
  <c r="Y60" i="3" l="1"/>
  <c r="AB60" i="3" s="1"/>
  <c r="Y36" i="3"/>
  <c r="AB36" i="3" s="1"/>
  <c r="Y68" i="3" l="1"/>
</calcChain>
</file>

<file path=xl/sharedStrings.xml><?xml version="1.0" encoding="utf-8"?>
<sst xmlns="http://schemas.openxmlformats.org/spreadsheetml/2006/main" count="579" uniqueCount="297">
  <si>
    <t>DIAGNOSTICO</t>
  </si>
  <si>
    <t>TBC Pulmonar  BK (+)</t>
  </si>
  <si>
    <t>TBC Pulmonar BK (-) Cultivo (-)</t>
  </si>
  <si>
    <t>TB Extrapulmonar con confirmación bacteriológica</t>
  </si>
  <si>
    <t>TB Extrapulmonar con confirmación histopatológica</t>
  </si>
  <si>
    <t>TB Extrapulmonar sin confirmación</t>
  </si>
  <si>
    <t>Entrevista de Enfermería</t>
  </si>
  <si>
    <t>Total</t>
  </si>
  <si>
    <t>Sesión 1</t>
  </si>
  <si>
    <t>Sesión 2</t>
  </si>
  <si>
    <t>Sesión 3</t>
  </si>
  <si>
    <t>Actividad</t>
  </si>
  <si>
    <t>Diagnósticados con TB BK (+) + BK (-)</t>
  </si>
  <si>
    <t>Contactos Censados</t>
  </si>
  <si>
    <t>Contactos Examinados</t>
  </si>
  <si>
    <t>Contactos con TB</t>
  </si>
  <si>
    <t>Contactos con TB Pulmonar BK (+)</t>
  </si>
  <si>
    <t>Entrevista Social</t>
  </si>
  <si>
    <t>Visita Familiar Integral</t>
  </si>
  <si>
    <t>Recaídas Pulmonar</t>
  </si>
  <si>
    <t>Recaídas Extrapulmonar</t>
  </si>
  <si>
    <t>Total Recaídas</t>
  </si>
  <si>
    <t>Total de Abandonos Recuperados</t>
  </si>
  <si>
    <t>Abandonos Recuperados Pulmonar</t>
  </si>
  <si>
    <t>Abandonos Recuperados Extrapulmonares</t>
  </si>
  <si>
    <t>Total TBC Pulmonar</t>
  </si>
  <si>
    <t>TBC Extrapulmonar</t>
  </si>
  <si>
    <t>Fracaso al Esquema Uno</t>
  </si>
  <si>
    <t>Fracasos a un esquema Dos</t>
  </si>
  <si>
    <t>TBC Pulmonar</t>
  </si>
  <si>
    <t>TBC Pulmonar sin Baciloscopía</t>
  </si>
  <si>
    <t>TBC Pulmonar con cultivo Positivo</t>
  </si>
  <si>
    <t>ACTIVIDAD</t>
  </si>
  <si>
    <t>Sintomáticos Respiratorios Identificados</t>
  </si>
  <si>
    <t>CASOS NUEVOS - INCIDENCIA</t>
  </si>
  <si>
    <t>RECAÍDAS</t>
  </si>
  <si>
    <t>ABANDONOS RECUPERADOS</t>
  </si>
  <si>
    <t>RIV.10.8 A: Detección</t>
  </si>
  <si>
    <t>FRACASOS A ESQUEMA</t>
  </si>
  <si>
    <t>REPORTE IV.10.8: PREVENCIÓN Y CONTROL DE TUBERCULOSIS</t>
  </si>
  <si>
    <t xml:space="preserve">RIV.10.8 B: Morbilidad </t>
  </si>
  <si>
    <t>60 a más</t>
  </si>
  <si>
    <t>MES</t>
  </si>
  <si>
    <t>TOTAL</t>
  </si>
  <si>
    <t>%</t>
  </si>
  <si>
    <t>0 - 11 años</t>
  </si>
  <si>
    <t>12 - 17 a.</t>
  </si>
  <si>
    <t>18 - 29a</t>
  </si>
  <si>
    <t>30 - 59 a.</t>
  </si>
  <si>
    <t>Sintomáticos Respiratorios Examinados con 2da Muestra</t>
  </si>
  <si>
    <t>Sintomáticos Respiratorios Examinados con BK (+)</t>
  </si>
  <si>
    <t>Sintomáticos Respiratorios Examinados con BK (-)</t>
  </si>
  <si>
    <t>TBC Pulmonar BK (-)</t>
  </si>
  <si>
    <t>Sintomáticos Respiratorios Examinados</t>
  </si>
  <si>
    <t>TB Pulmonar con frotis positivo</t>
  </si>
  <si>
    <t>TB Pulmonar con frotis negativo cultivo positivo</t>
  </si>
  <si>
    <t>RIV.10.8 C: CASOS DE TB CON RESISTENCIA A MEDICAMENTOS</t>
  </si>
  <si>
    <t>Casos nuevos con TB XDR confirmada</t>
  </si>
  <si>
    <t>Casos antes tratados con TB XDR confirmada</t>
  </si>
  <si>
    <t>Casos nuevos con TB MDR confirmada</t>
  </si>
  <si>
    <t>Casos antes tratados con TB MDR confirmada</t>
  </si>
  <si>
    <t>Casos nuevos y antes tratados de TB MDR</t>
  </si>
  <si>
    <t>Casos nuevos y antes tratados de TB XDR</t>
  </si>
  <si>
    <t>Casos nuevos y antes tratados de otras TB DR</t>
  </si>
  <si>
    <t>Casos antes tratados con Otras TB Drogo Resistente confirmada</t>
  </si>
  <si>
    <t>Casos nuevos con Otras TB Drogoresistente confirmada</t>
  </si>
  <si>
    <t>Contactos Censados en el Establecimiento de Salud</t>
  </si>
  <si>
    <t>Contactos Censados en el Domicilio</t>
  </si>
  <si>
    <t>Contactos Censados fuera del EE.SS y no es en el Domicilio</t>
  </si>
  <si>
    <t>RIV.10.8 D: ESTUDIO DE CONTACTOS</t>
  </si>
  <si>
    <t>RIV.10.8 E: TERAPIA PREVENTIVA (TPI-TPC)</t>
  </si>
  <si>
    <t>Contactos Censados &lt; 5 años de pacientes con TBP</t>
  </si>
  <si>
    <t>Contactos Examinados &lt; 5 años de pacientes con TBP</t>
  </si>
  <si>
    <t>N° de Contactos &lt; 5 años con Terapia Preventiva con Isoniacida (TPI)</t>
  </si>
  <si>
    <t>N° de personas con VIH positivo</t>
  </si>
  <si>
    <t>N° de personas con VIH que reciben Terapia Preventiva con Isoniacida (TPI)</t>
  </si>
  <si>
    <t>N° de personas con TB-VIH que reciben Terapia Preventiva con Cotrimoxazol (TPC)</t>
  </si>
  <si>
    <t>RIV.10.8 F: COINFECCION TB - VIH</t>
  </si>
  <si>
    <t>Total de Casos TB-VIH</t>
  </si>
  <si>
    <t>Total de casos TB/VIH Nuevos</t>
  </si>
  <si>
    <t>TB Pulmonar BK(+)</t>
  </si>
  <si>
    <t>TB Extrapulmonar</t>
  </si>
  <si>
    <t>TB Pulmonar</t>
  </si>
  <si>
    <t>Total de casos TB/VIH que reciben TARGA</t>
  </si>
  <si>
    <t xml:space="preserve">Total de casos TB/VIH antes tratados </t>
  </si>
  <si>
    <t>RIV.10.8 G: TAMIZAJE DE VIH EN PACIENTES CON TB</t>
  </si>
  <si>
    <t>Total de casos que recibieron consejeria pre test para VIH</t>
  </si>
  <si>
    <t>Total de casos que cuentan con resultado de tamizaje de VIH durante el tratamiento</t>
  </si>
  <si>
    <t>Total de casos que cuentan con resultado de VIH reactivo</t>
  </si>
  <si>
    <t>RIV.10.8 H: MENINGITIS TB EN MENORES DE 5 AÑOS</t>
  </si>
  <si>
    <t>N° casos de meningitis TB en menores de 5 años</t>
  </si>
  <si>
    <t>RIV.10.8 I: GESTANTES CON TUBERCULOSIS</t>
  </si>
  <si>
    <t>N° de gestante con TB</t>
  </si>
  <si>
    <t>RIV.10.8 J: PERSONAL DE SALUD DEL EE.SS CON TUBERCULOSIS</t>
  </si>
  <si>
    <t>N° de trabajadores del EE.SS con TB</t>
  </si>
  <si>
    <t>RIV.10.8 K: COMORBILIDAD TB/DIABETES</t>
  </si>
  <si>
    <t>Total de casos con TB/DIABETES</t>
  </si>
  <si>
    <t>RIV.10.8 L: TAMIZAJE DIABETES EN PACIENTES CON TB</t>
  </si>
  <si>
    <t>N° de pacientes con Reacciones Adversas a Fármacos Antituberculosis</t>
  </si>
  <si>
    <t>TBC OTR (Otra TB Resistente)</t>
  </si>
  <si>
    <t>TBC XDR (TB Extensamente resistente)</t>
  </si>
  <si>
    <t>TBC MDR (TB Multidrogoresistente)</t>
  </si>
  <si>
    <t>Total de casos con TB que cuente con resultado de glicemia durante el tratamiento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</si>
  <si>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</si>
  <si>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</si>
  <si>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</si>
  <si>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</si>
  <si>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</si>
  <si>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</si>
  <si>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</si>
  <si>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</si>
  <si>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</si>
  <si>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</si>
  <si>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</si>
  <si>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</si>
  <si>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</si>
  <si>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</si>
  <si>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</si>
  <si>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</si>
  <si>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</si>
  <si>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</si>
  <si>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Sesiones Educativas</t>
  </si>
  <si>
    <t>Sesiones Demostrativas</t>
  </si>
  <si>
    <t>N°</t>
  </si>
  <si>
    <t>Participantes</t>
  </si>
  <si>
    <t>T</t>
  </si>
  <si>
    <t>RIV.10.8 M: REACCION ADVERSA A FARMACOS RAFA</t>
  </si>
  <si>
    <t>RIV.10.8  N: ENTREVISTAS</t>
  </si>
  <si>
    <t>RIV.10.8 Ñ: VISITA FAMILIAR INTEGRAL</t>
  </si>
  <si>
    <t>RIV.10.8  O: SESIONES EDUCATIVAS Y DEMOSTRATIVAS</t>
  </si>
  <si>
    <t xml:space="preserve">HASTA:   /  /    </t>
  </si>
  <si>
    <t xml:space="preserve">DESDE:   /  /    </t>
  </si>
  <si>
    <t>NIVEL:</t>
  </si>
  <si>
    <t xml:space="preserve">FECHA DE IMPRESION:   /  /    </t>
  </si>
  <si>
    <t>INFORME OPERACIONAL DE TUBERCULOSIS</t>
  </si>
  <si>
    <t>Año</t>
  </si>
  <si>
    <t>Dirección de Salud:</t>
  </si>
  <si>
    <t>Red de Salud:</t>
  </si>
  <si>
    <t>Microrred:</t>
  </si>
  <si>
    <t>Establecimiento de Salud:</t>
  </si>
  <si>
    <t>Código RENAES:</t>
  </si>
  <si>
    <t>Distrito:</t>
  </si>
  <si>
    <t>Provincia:</t>
  </si>
  <si>
    <t>Región:</t>
  </si>
  <si>
    <t>Unidad Ejecutora EE.SS:</t>
  </si>
  <si>
    <t>Nombre del Coordinador ES-PCT:</t>
  </si>
  <si>
    <t>Institución:                  MINSA (  X  )            ESSALUD (      )             FFAA  (      )             PNP  (      )             INPE  (      )             OTROS  (      )</t>
  </si>
  <si>
    <t xml:space="preserve">Población Total:                                                    </t>
  </si>
  <si>
    <t xml:space="preserve">                       Población &lt; de 5 años:</t>
  </si>
  <si>
    <t xml:space="preserve">Total de Atenciones en Mayores de 15 años:  </t>
  </si>
  <si>
    <t xml:space="preserve">     (del periodo informado)</t>
  </si>
  <si>
    <t>ACTIVIDADES:</t>
  </si>
  <si>
    <t>A.</t>
  </si>
  <si>
    <t>DETECCION Y DIAGNÓSTICO DE CASOS</t>
  </si>
  <si>
    <t>0-11 años</t>
  </si>
  <si>
    <t>12-17 años</t>
  </si>
  <si>
    <t>18-29 años</t>
  </si>
  <si>
    <t>30-59 años</t>
  </si>
  <si>
    <t>60 a + años</t>
  </si>
  <si>
    <t>A1.   Sintomáticos Respiratorios (S.R.) Esperados = Atenciones en  &gt; 15 años x 0.05</t>
  </si>
  <si>
    <t>A2.   S.R. Identificados</t>
  </si>
  <si>
    <t>A3.   S.R. Examinados</t>
  </si>
  <si>
    <t>A4.   S.R. Diagnosticados con TB Pulmonar baciloscopía positiva</t>
  </si>
  <si>
    <t>A5.   Baciloscopías de Diagnóstico esperadas (A1 x 2)</t>
  </si>
  <si>
    <t>A6.   Baciloscopías de Diagnóstico Total</t>
  </si>
  <si>
    <t>A7.   Baciloscopías de Diagnóstico BK (+)</t>
  </si>
  <si>
    <t>A8.   Baciloscopías de Control Total</t>
  </si>
  <si>
    <t>A9.   Cultivos de Diagnóstico Total</t>
  </si>
  <si>
    <t>A10. Cultivos de Diagnóstico Positivos</t>
  </si>
  <si>
    <t>A11. Cultivos de Control Total</t>
  </si>
  <si>
    <t>A12. Nº de Pruebas de Sensibilidad realizadas</t>
  </si>
  <si>
    <t>A12.1 Nº de Pruebas de Sensibilidad Rápidas (H y R)</t>
  </si>
  <si>
    <t>A12.2 Nº de Pruebas de Sensibilidad Convencional</t>
  </si>
  <si>
    <t>B.</t>
  </si>
  <si>
    <t xml:space="preserve">CASOS NUEVOS </t>
  </si>
  <si>
    <t>Total de Casos Nuevos (B1+B2)</t>
  </si>
  <si>
    <t>B1. TB Pulmonar Total (B1.1 +B1.2 + B1.3 + B1.4)</t>
  </si>
  <si>
    <r>
      <t>B1.1 TB Pulmonar</t>
    </r>
    <r>
      <rPr>
        <sz val="16"/>
        <color indexed="10"/>
        <rFont val="Calibri"/>
        <family val="2"/>
      </rPr>
      <t xml:space="preserve"> </t>
    </r>
    <r>
      <rPr>
        <sz val="16"/>
        <rFont val="Calibri"/>
        <family val="2"/>
      </rPr>
      <t>frotis positivo.</t>
    </r>
  </si>
  <si>
    <r>
      <t>B1.2 TB Pulmonar</t>
    </r>
    <r>
      <rPr>
        <sz val="16"/>
        <color indexed="10"/>
        <rFont val="Calibri"/>
        <family val="2"/>
      </rPr>
      <t xml:space="preserve"> </t>
    </r>
    <r>
      <rPr>
        <sz val="16"/>
        <rFont val="Calibri"/>
        <family val="2"/>
      </rPr>
      <t>cultivo positivo.</t>
    </r>
  </si>
  <si>
    <t>B1.3 TB Pulmonar frotis negativo.</t>
  </si>
  <si>
    <t>B1.4 TB Pulmonar sin frotis de esputo.</t>
  </si>
  <si>
    <t>B2. TB Extrapulmonar (B2.1 +B2.2)</t>
  </si>
  <si>
    <t>B2.1 Con confirmación bacteriológica o histopatológica</t>
  </si>
  <si>
    <t>B2.2 Sin confirmación bacteriológica o histopatológica</t>
  </si>
  <si>
    <t>C.</t>
  </si>
  <si>
    <t xml:space="preserve">RECAÍDAS </t>
  </si>
  <si>
    <t>Recaídas (C1+C2)</t>
  </si>
  <si>
    <t>C1. Recaídas Pulmonar (C1.1 + C1.2)</t>
  </si>
  <si>
    <t>C1.1 TB Pulmonar frotis positivo</t>
  </si>
  <si>
    <t xml:space="preserve">C1.2 TB Pulmonar frotis negativo </t>
  </si>
  <si>
    <t>C2 Recaídas Extrapulmonares</t>
  </si>
  <si>
    <t>D.</t>
  </si>
  <si>
    <t>Abandonos Recuperados (D1+D2)</t>
  </si>
  <si>
    <t>D1. Abandonos recuperados pulmonar (D1.1+D1.2)</t>
  </si>
  <si>
    <t>D1.1 TB Pulmonar frotis positivo</t>
  </si>
  <si>
    <t>D1.2 TB Pulmonar frotis negativo</t>
  </si>
  <si>
    <t>D2. Abandonos Recuperados  Extrapulmonares</t>
  </si>
  <si>
    <t>E.</t>
  </si>
  <si>
    <t>FRACASOS</t>
  </si>
  <si>
    <t>E1. Total de casos que fracasan a esquema con medicamentos de primera línea</t>
  </si>
  <si>
    <t>F.</t>
  </si>
  <si>
    <t>MORBILIDAD TOTAL (B+ C + D + E)</t>
  </si>
  <si>
    <t>F1. Total de personas afectadas con tuberculosis</t>
  </si>
  <si>
    <t>G.</t>
  </si>
  <si>
    <t>CASOS DE TB CON RESISTENCIA A MEDICAMENTOS</t>
  </si>
  <si>
    <t>G1. Casos nuevos y antes tratados de otras Tuberculosis Drogo Resistente</t>
  </si>
  <si>
    <t>G2. Casos nuevos con TBMDR confirmada</t>
  </si>
  <si>
    <t>G3. Casos antes tratados con TBMDR confirmada</t>
  </si>
  <si>
    <t>G4. Casos nuevos con TB XDR confirmada</t>
  </si>
  <si>
    <t>G5. Casos antes tratados con TB XDR confirmada</t>
  </si>
  <si>
    <t>H.</t>
  </si>
  <si>
    <t>ESTUDIO DE CONTACTOS</t>
  </si>
  <si>
    <r>
      <t>H1. Contactos Esperados (Morbilidad x</t>
    </r>
    <r>
      <rPr>
        <b/>
        <sz val="16"/>
        <color indexed="10"/>
        <rFont val="Calibri"/>
        <family val="2"/>
      </rPr>
      <t xml:space="preserve"> </t>
    </r>
    <r>
      <rPr>
        <sz val="16"/>
        <rFont val="Calibri"/>
        <family val="2"/>
      </rPr>
      <t>4)</t>
    </r>
  </si>
  <si>
    <t>H2. Contactos Censados</t>
  </si>
  <si>
    <t>H3. Contactos Examinados</t>
  </si>
  <si>
    <t>H4. Contactos Examinados con TB</t>
  </si>
  <si>
    <t>H5. Contactos Examinados con TB pulmonar frotis positivo</t>
  </si>
  <si>
    <t>I.</t>
  </si>
  <si>
    <t>TERAPIA PREVENTIVA (TPI-TPC)</t>
  </si>
  <si>
    <t>I1. Contactos Censados &lt; 5 años de pacientes con TBP</t>
  </si>
  <si>
    <t>I2. Contactos Examinados &lt; 5 años de pacientes con TBP</t>
  </si>
  <si>
    <t>I3. Nº de Contactos &lt; 5 años con Terapia Preventiva con Isoniacida (TPI)</t>
  </si>
  <si>
    <t>I4. Nº de personas con VIH positivo</t>
  </si>
  <si>
    <t>I5. N° de personas con VIH que reciben Terapia Preventiva con Isoniacida (TPI)</t>
  </si>
  <si>
    <t>I6. N° de personas con TB-VIH que reciben Terapia Preventiva con Cotrimoxazol (TPC)</t>
  </si>
  <si>
    <t>J.</t>
  </si>
  <si>
    <t>COINFECCION  TB - VIH</t>
  </si>
  <si>
    <t>J1. Total de Casos TB-VIH (J1.1+J1.2)</t>
  </si>
  <si>
    <t>J1.1 Total de casos TB / VIH  Nuevos (J1.1.1 + J1.1.2)</t>
  </si>
  <si>
    <t xml:space="preserve">         J1.1.1 TB Pulmonar</t>
  </si>
  <si>
    <t xml:space="preserve">         J1.1.2 TB Extrapulmonar</t>
  </si>
  <si>
    <t>J1.2 Total de casos TB/VIH  antes tratados (J1.2.1 + J1.2.2)</t>
  </si>
  <si>
    <t xml:space="preserve">         J1.2.1 TB Pulmonar</t>
  </si>
  <si>
    <t xml:space="preserve">         J1.2.2 TB Extrapulmonar</t>
  </si>
  <si>
    <t xml:space="preserve">J2. Total de casos TB/VIH que reciben TARGA </t>
  </si>
  <si>
    <t>K.</t>
  </si>
  <si>
    <t>TAMIZAJE DE VIH EN PACIENTES CON TB</t>
  </si>
  <si>
    <t>K1. Total de casos que recibieron consejeria pre test para VIH</t>
  </si>
  <si>
    <t>K2. Total de casos que cuentan con resultado de tamizaje de VIH durante el tratamiento</t>
  </si>
  <si>
    <t>K3. Total de casos que cuentan con resultado de VIH reactivo</t>
  </si>
  <si>
    <t>L.</t>
  </si>
  <si>
    <t xml:space="preserve"> MENINGITIS TB EN MENORES DE 5 Años</t>
  </si>
  <si>
    <t xml:space="preserve"> L1. N° casos de meningitis TB  en &lt; de 5 años</t>
  </si>
  <si>
    <t>M.</t>
  </si>
  <si>
    <t>GESTANTES CON TUBERCULOSIS</t>
  </si>
  <si>
    <t>M1. N° de Gestantes con TB (M1.1+ M1.2 )</t>
  </si>
  <si>
    <t>M1.1 TB Pulmonar</t>
  </si>
  <si>
    <t>M1.2 TB Extrapulmonar</t>
  </si>
  <si>
    <t>N.</t>
  </si>
  <si>
    <t>PERSONAL DE SALUD DEL EESS CON TUBERCULOSIS</t>
  </si>
  <si>
    <t>N1. N°de trabajadores del EESS con TB (N1.1+ N1.2)</t>
  </si>
  <si>
    <t>N1.1 TB Pulmonar</t>
  </si>
  <si>
    <t xml:space="preserve"> N1.2 TB Extrapulmonar</t>
  </si>
  <si>
    <t xml:space="preserve">N2. N° de trabajadores con TB-MDR confirmado </t>
  </si>
  <si>
    <t>O.</t>
  </si>
  <si>
    <t>COMORBILIDAD TB / DIABETES</t>
  </si>
  <si>
    <t>O1. Total de casos con TB / DIABETES (O1.1+ O1.2 )</t>
  </si>
  <si>
    <t>O1.1 TB Pulmonar</t>
  </si>
  <si>
    <t>O1.2 TB Extrapulmonar</t>
  </si>
  <si>
    <t>P.</t>
  </si>
  <si>
    <t>TAMIZAJE DIABETES EN PACIENTES CON TB</t>
  </si>
  <si>
    <t>P1. Total de casos con TB que cuenten con resultado de glicemia durante el  tratamiento</t>
  </si>
  <si>
    <t>Q.</t>
  </si>
  <si>
    <t>FALLECIDOS</t>
  </si>
  <si>
    <t>Q1. Nº de Pacientes fallecidos durante tratamiento TB</t>
  </si>
  <si>
    <t>R.</t>
  </si>
  <si>
    <t>RAFA</t>
  </si>
  <si>
    <t>R1. N° de pacientes con Reacciones Adversas a Fármacos Antituberculosis</t>
  </si>
  <si>
    <t>S.</t>
  </si>
  <si>
    <t>Casos Nuevos de Tuberculosis</t>
  </si>
  <si>
    <t>Grupos de Edades según Sexo</t>
  </si>
  <si>
    <t>0-4años</t>
  </si>
  <si>
    <t>5-14años</t>
  </si>
  <si>
    <t>15-24años</t>
  </si>
  <si>
    <t>25-34años</t>
  </si>
  <si>
    <t>35-44años</t>
  </si>
  <si>
    <t>45-54años</t>
  </si>
  <si>
    <t>55-64años</t>
  </si>
  <si>
    <t>65-más</t>
  </si>
  <si>
    <t>S1. TB Pulmonar Total (S1.1 +S1.2 + S1.3)</t>
  </si>
  <si>
    <r>
      <t>S1.1 TB Pulmonar</t>
    </r>
    <r>
      <rPr>
        <sz val="16"/>
        <color indexed="10"/>
        <rFont val="Calibri"/>
        <family val="2"/>
      </rPr>
      <t xml:space="preserve"> </t>
    </r>
    <r>
      <rPr>
        <sz val="16"/>
        <rFont val="Calibri"/>
        <family val="2"/>
      </rPr>
      <t>frotis positivo</t>
    </r>
  </si>
  <si>
    <t>S1.2 TB Pulmonar frotis negativo</t>
  </si>
  <si>
    <t>S1.3 TB Pulmonar sin frotis de esputo</t>
  </si>
  <si>
    <t>S2. TB Extrapulmonar (B2.1 +B2.2)</t>
  </si>
  <si>
    <t>S2.1 Con confirmación bacteriológica o histopatológica</t>
  </si>
  <si>
    <t>S2.2 Sin confirmación bacteriológica o histopatológica</t>
  </si>
  <si>
    <t>Firma y Sello del Responsable de la ES PCT</t>
  </si>
  <si>
    <t>Fecha</t>
  </si>
  <si>
    <t>U.</t>
  </si>
  <si>
    <t>U1. TB Pulmonar Total (S1.1 +S1.2 + S1.3)</t>
  </si>
  <si>
    <t>U2. TB Extrapulmonar (B2.1 +B2.2)</t>
  </si>
  <si>
    <r>
      <t>U1.1 TB Pulmonar</t>
    </r>
    <r>
      <rPr>
        <sz val="8"/>
        <color indexed="10"/>
        <rFont val="Calibri"/>
        <family val="2"/>
      </rPr>
      <t xml:space="preserve"> </t>
    </r>
    <r>
      <rPr>
        <sz val="8"/>
        <rFont val="Tahoma"/>
        <family val="2"/>
      </rPr>
      <t>frotis positivo</t>
    </r>
  </si>
  <si>
    <t>U1.2 TB Pulmonar frotis negativo</t>
  </si>
  <si>
    <t>U1.3 TB Pulmonar sin frotis de esputo</t>
  </si>
  <si>
    <t>U2.1 Con confirmación bacteriológica o histopatológica</t>
  </si>
  <si>
    <t>U2.2 Sin confirmación bacteriológica o histopatológica</t>
  </si>
  <si>
    <t>DIRECCION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</si>
</sst>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* #,##0.00_-;\-&quot;$&quot;* #,##0.00_-;_-&quot;$&quot;* &quot;-&quot;??_-;_-@_-"/>
  </numFmts>
  <fonts count="3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b/>
      <i/>
      <sz val="9"/>
      <name val="Arial"/>
      <family val="2"/>
    </font>
    <font>
      <b/>
      <i/>
      <sz val="8"/>
      <name val="Arial"/>
      <family val="2"/>
    </font>
    <font>
      <b/>
      <sz val="10"/>
      <name val="Tahoma"/>
      <family val="2"/>
    </font>
    <font>
      <b/>
      <i/>
      <sz val="8"/>
      <name val="Tahoma"/>
      <family val="2"/>
    </font>
    <font>
      <b/>
      <sz val="9"/>
      <name val="Tahoma"/>
      <family val="2"/>
    </font>
    <font>
      <sz val="1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6"/>
      <name val="Calibri"/>
      <family val="2"/>
    </font>
    <font>
      <sz val="16"/>
      <name val="Arial"/>
      <family val="2"/>
    </font>
    <font>
      <sz val="16"/>
      <color indexed="10"/>
      <name val="Calibri"/>
      <family val="2"/>
    </font>
    <font>
      <b/>
      <sz val="16"/>
      <color indexed="10"/>
      <name val="Calibri"/>
      <family val="2"/>
    </font>
    <font>
      <u/>
      <sz val="10"/>
      <name val="Arial"/>
      <family val="2"/>
    </font>
    <font>
      <sz val="10"/>
      <name val="Arial"/>
      <family val="2"/>
    </font>
    <font>
      <sz val="8"/>
      <color indexed="10"/>
      <name val="Calibri"/>
      <family val="2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i/>
      <sz val="14"/>
      <name val="Calibri"/>
      <family val="2"/>
      <scheme val="minor"/>
    </font>
    <font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</fills>
  <borders count="5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10">
    <xf numFmtId="0" fontId="0" fillId="0" borderId="0" xfId="0"/>
    <xf numFmtId="0" fontId="9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0" fillId="0" borderId="0" xfId="0" applyAlignment="1">
      <alignment horizontal="centerContinuous" vertical="center"/>
    </xf>
    <xf numFmtId="0" fontId="12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13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9" fillId="0" borderId="1" xfId="0" applyFont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vertical="center"/>
    </xf>
    <xf numFmtId="0" fontId="9" fillId="0" borderId="5" xfId="0" applyFont="1" applyBorder="1" applyAlignment="1">
      <alignment horizontal="justify" vertical="center"/>
    </xf>
    <xf numFmtId="0" fontId="8" fillId="0" borderId="6" xfId="0" applyFont="1" applyBorder="1" applyAlignment="1">
      <alignment horizontal="left" vertical="center"/>
    </xf>
    <xf numFmtId="0" fontId="14" fillId="0" borderId="1" xfId="0" applyFont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vertical="center"/>
    </xf>
    <xf numFmtId="0" fontId="7" fillId="0" borderId="0" xfId="0" applyFont="1" applyAlignment="1">
      <alignment horizontal="justify" vertical="center"/>
    </xf>
    <xf numFmtId="0" fontId="8" fillId="0" borderId="4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7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9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0" fontId="8" fillId="0" borderId="6" xfId="0" applyFont="1" applyBorder="1" applyAlignment="1">
      <alignment horizontal="left" vertical="center" indent="1"/>
    </xf>
    <xf numFmtId="0" fontId="8" fillId="0" borderId="1" xfId="0" applyFont="1" applyBorder="1" applyAlignment="1">
      <alignment horizontal="left" vertical="center" indent="1"/>
    </xf>
    <xf numFmtId="0" fontId="8" fillId="0" borderId="1" xfId="0" applyFont="1" applyBorder="1" applyAlignment="1">
      <alignment horizontal="left" vertical="center" indent="2"/>
    </xf>
    <xf numFmtId="0" fontId="8" fillId="0" borderId="4" xfId="0" applyFont="1" applyBorder="1" applyAlignment="1">
      <alignment horizontal="left" vertical="center" indent="2"/>
    </xf>
    <xf numFmtId="0" fontId="8" fillId="0" borderId="0" xfId="0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 indent="1"/>
    </xf>
    <xf numFmtId="0" fontId="3" fillId="0" borderId="11" xfId="0" applyFont="1" applyBorder="1" applyAlignment="1">
      <alignment horizontal="center" vertical="center"/>
    </xf>
    <xf numFmtId="0" fontId="9" fillId="0" borderId="6" xfId="0" applyFont="1" applyBorder="1" applyAlignment="1">
      <alignment vertical="center"/>
    </xf>
    <xf numFmtId="0" fontId="9" fillId="0" borderId="4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2" fillId="0" borderId="12" xfId="0" quotePrefix="1" applyFont="1" applyBorder="1" applyAlignment="1">
      <alignment vertical="center"/>
    </xf>
    <xf numFmtId="0" fontId="15" fillId="0" borderId="12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justify" vertical="center"/>
    </xf>
    <xf numFmtId="0" fontId="3" fillId="0" borderId="1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7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27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29" fillId="0" borderId="13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27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 vertical="center"/>
    </xf>
    <xf numFmtId="0" fontId="29" fillId="3" borderId="0" xfId="0" applyFont="1" applyFill="1" applyAlignment="1">
      <alignment vertical="center"/>
    </xf>
    <xf numFmtId="3" fontId="29" fillId="0" borderId="0" xfId="0" applyNumberFormat="1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7" fillId="4" borderId="14" xfId="0" applyFont="1" applyFill="1" applyBorder="1" applyAlignment="1">
      <alignment horizontal="left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" vertical="center"/>
    </xf>
    <xf numFmtId="3" fontId="31" fillId="0" borderId="0" xfId="0" applyNumberFormat="1" applyFont="1" applyAlignment="1">
      <alignment horizontal="center" vertical="center"/>
    </xf>
    <xf numFmtId="0" fontId="29" fillId="0" borderId="15" xfId="0" applyFont="1" applyBorder="1" applyAlignment="1">
      <alignment vertical="center"/>
    </xf>
    <xf numFmtId="0" fontId="29" fillId="0" borderId="16" xfId="0" applyFont="1" applyBorder="1" applyAlignment="1">
      <alignment vertical="center"/>
    </xf>
    <xf numFmtId="0" fontId="29" fillId="0" borderId="17" xfId="0" applyFont="1" applyBorder="1" applyAlignment="1">
      <alignment vertical="center"/>
    </xf>
    <xf numFmtId="0" fontId="29" fillId="0" borderId="18" xfId="0" applyFont="1" applyBorder="1" applyAlignment="1">
      <alignment vertical="center"/>
    </xf>
    <xf numFmtId="0" fontId="29" fillId="0" borderId="19" xfId="0" applyFont="1" applyBorder="1" applyAlignment="1">
      <alignment vertical="center"/>
    </xf>
    <xf numFmtId="3" fontId="29" fillId="0" borderId="0" xfId="0" applyNumberFormat="1" applyFont="1" applyAlignment="1">
      <alignment horizontal="center" vertical="center"/>
    </xf>
    <xf numFmtId="0" fontId="29" fillId="0" borderId="20" xfId="0" applyFont="1" applyBorder="1" applyAlignment="1">
      <alignment vertical="center"/>
    </xf>
    <xf numFmtId="0" fontId="29" fillId="0" borderId="21" xfId="0" applyFont="1" applyBorder="1" applyAlignment="1">
      <alignment vertical="center"/>
    </xf>
    <xf numFmtId="0" fontId="29" fillId="0" borderId="22" xfId="0" applyFont="1" applyBorder="1" applyAlignment="1">
      <alignment vertical="center"/>
    </xf>
    <xf numFmtId="9" fontId="27" fillId="0" borderId="0" xfId="2" applyFont="1" applyFill="1" applyBorder="1" applyAlignment="1">
      <alignment horizontal="center" vertical="center"/>
    </xf>
    <xf numFmtId="0" fontId="27" fillId="0" borderId="18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left" vertical="center"/>
    </xf>
    <xf numFmtId="0" fontId="32" fillId="4" borderId="14" xfId="0" applyFont="1" applyFill="1" applyBorder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27" fillId="0" borderId="1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15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3" fontId="29" fillId="0" borderId="0" xfId="1" applyNumberFormat="1" applyFont="1" applyFill="1" applyBorder="1" applyAlignment="1">
      <alignment horizontal="center" vertical="center"/>
    </xf>
    <xf numFmtId="0" fontId="27" fillId="0" borderId="20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9" fillId="3" borderId="14" xfId="0" applyFont="1" applyFill="1" applyBorder="1" applyAlignment="1">
      <alignment vertical="center"/>
    </xf>
    <xf numFmtId="0" fontId="29" fillId="3" borderId="23" xfId="0" applyFont="1" applyFill="1" applyBorder="1" applyAlignment="1">
      <alignment vertical="center"/>
    </xf>
    <xf numFmtId="0" fontId="29" fillId="3" borderId="24" xfId="0" applyFont="1" applyFill="1" applyBorder="1" applyAlignment="1">
      <alignment vertical="center"/>
    </xf>
    <xf numFmtId="0" fontId="30" fillId="3" borderId="0" xfId="0" applyFont="1" applyFill="1" applyAlignment="1">
      <alignment vertical="center" wrapText="1"/>
    </xf>
    <xf numFmtId="0" fontId="27" fillId="4" borderId="23" xfId="0" applyFont="1" applyFill="1" applyBorder="1" applyAlignment="1">
      <alignment vertical="center"/>
    </xf>
    <xf numFmtId="0" fontId="29" fillId="4" borderId="24" xfId="0" applyFont="1" applyFill="1" applyBorder="1" applyAlignment="1">
      <alignment vertical="center"/>
    </xf>
    <xf numFmtId="0" fontId="27" fillId="5" borderId="0" xfId="0" applyFont="1" applyFill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center" vertical="center"/>
    </xf>
    <xf numFmtId="0" fontId="27" fillId="6" borderId="17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0" xfId="0" applyFont="1" applyFill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0" xfId="0" applyFont="1" applyFill="1" applyBorder="1" applyAlignment="1">
      <alignment horizontal="center" vertical="center"/>
    </xf>
    <xf numFmtId="0" fontId="27" fillId="6" borderId="21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center" vertical="center"/>
    </xf>
    <xf numFmtId="0" fontId="27" fillId="2" borderId="15" xfId="0" applyFont="1" applyFill="1" applyBorder="1" applyAlignment="1">
      <alignment vertical="center"/>
    </xf>
    <xf numFmtId="0" fontId="27" fillId="2" borderId="16" xfId="0" applyFont="1" applyFill="1" applyBorder="1" applyAlignment="1">
      <alignment vertical="center"/>
    </xf>
    <xf numFmtId="0" fontId="27" fillId="2" borderId="17" xfId="0" applyFont="1" applyFill="1" applyBorder="1" applyAlignment="1">
      <alignment vertical="center"/>
    </xf>
    <xf numFmtId="0" fontId="27" fillId="4" borderId="14" xfId="0" applyFont="1" applyFill="1" applyBorder="1" applyAlignment="1">
      <alignment horizontal="center" vertical="center"/>
    </xf>
    <xf numFmtId="0" fontId="27" fillId="6" borderId="14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  <xf numFmtId="0" fontId="27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 wrapText="1"/>
    </xf>
    <xf numFmtId="0" fontId="29" fillId="0" borderId="14" xfId="0" applyFont="1" applyBorder="1" applyAlignment="1">
      <alignment vertical="center"/>
    </xf>
    <xf numFmtId="0" fontId="29" fillId="0" borderId="23" xfId="0" applyFont="1" applyBorder="1" applyAlignment="1">
      <alignment vertical="center"/>
    </xf>
    <xf numFmtId="0" fontId="29" fillId="0" borderId="24" xfId="0" applyFont="1" applyBorder="1" applyAlignment="1">
      <alignment vertical="center"/>
    </xf>
    <xf numFmtId="0" fontId="27" fillId="3" borderId="0" xfId="0" applyFont="1" applyFill="1" applyAlignment="1">
      <alignment horizontal="left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25" xfId="0" applyFont="1" applyFill="1" applyBorder="1" applyAlignment="1">
      <alignment horizontal="center" vertical="center"/>
    </xf>
    <xf numFmtId="0" fontId="27" fillId="4" borderId="26" xfId="0" applyFont="1" applyFill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3" fontId="27" fillId="0" borderId="2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7" fillId="0" borderId="32" xfId="0" applyFont="1" applyBorder="1" applyAlignment="1">
      <alignment vertical="center"/>
    </xf>
    <xf numFmtId="0" fontId="2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left" vertical="center"/>
    </xf>
    <xf numFmtId="0" fontId="29" fillId="0" borderId="21" xfId="0" applyFont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0" fontId="27" fillId="0" borderId="34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8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9" fillId="0" borderId="35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8" fillId="0" borderId="37" xfId="0" applyFont="1" applyBorder="1" applyAlignment="1">
      <alignment vertical="center"/>
    </xf>
    <xf numFmtId="0" fontId="8" fillId="0" borderId="38" xfId="0" applyFont="1" applyBorder="1" applyAlignment="1">
      <alignment vertical="center"/>
    </xf>
    <xf numFmtId="0" fontId="14" fillId="0" borderId="27" xfId="0" applyFont="1" applyBorder="1" applyAlignment="1">
      <alignment vertical="center"/>
    </xf>
    <xf numFmtId="0" fontId="14" fillId="0" borderId="32" xfId="0" applyFont="1" applyBorder="1" applyAlignment="1">
      <alignment vertical="center"/>
    </xf>
    <xf numFmtId="0" fontId="8" fillId="3" borderId="39" xfId="0" applyFont="1" applyFill="1" applyBorder="1" applyAlignment="1">
      <alignment horizontal="center" vertical="center"/>
    </xf>
    <xf numFmtId="0" fontId="8" fillId="3" borderId="40" xfId="0" applyFont="1" applyFill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8" fillId="3" borderId="29" xfId="0" applyFont="1" applyFill="1" applyBorder="1" applyAlignment="1">
      <alignment horizontal="center" vertical="center"/>
    </xf>
    <xf numFmtId="0" fontId="8" fillId="3" borderId="30" xfId="0" applyFont="1" applyFill="1" applyBorder="1" applyAlignment="1">
      <alignment horizontal="center" vertical="center"/>
    </xf>
    <xf numFmtId="0" fontId="8" fillId="3" borderId="31" xfId="0" applyFont="1" applyFill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9" borderId="0" xfId="0" applyFont="1" applyFill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horizontal="left" vertical="center" indent="1"/>
    </xf>
    <xf numFmtId="0" fontId="8" fillId="0" borderId="55" xfId="0" applyFont="1" applyBorder="1" applyAlignment="1">
      <alignment horizontal="left" vertical="center" inden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36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4" xfId="0" applyFont="1" applyBorder="1" applyAlignment="1">
      <alignment horizontal="left" vertical="center" wrapText="1"/>
    </xf>
    <xf numFmtId="0" fontId="29" fillId="0" borderId="23" xfId="0" applyFont="1" applyBorder="1" applyAlignment="1">
      <alignment horizontal="left" vertical="center" wrapText="1"/>
    </xf>
    <xf numFmtId="0" fontId="29" fillId="0" borderId="24" xfId="0" applyFont="1" applyBorder="1" applyAlignment="1">
      <alignment horizontal="left" vertical="center" wrapText="1"/>
    </xf>
    <xf numFmtId="0" fontId="29" fillId="0" borderId="43" xfId="0" applyFont="1" applyBorder="1" applyAlignment="1">
      <alignment horizontal="center" vertical="center"/>
    </xf>
    <xf numFmtId="0" fontId="29" fillId="0" borderId="44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4" borderId="15" xfId="0" applyFont="1" applyFill="1" applyBorder="1" applyAlignment="1">
      <alignment horizontal="center" vertical="center"/>
    </xf>
    <xf numFmtId="0" fontId="27" fillId="4" borderId="18" xfId="0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left" vertical="center"/>
    </xf>
    <xf numFmtId="0" fontId="27" fillId="4" borderId="17" xfId="0" applyFont="1" applyFill="1" applyBorder="1" applyAlignment="1">
      <alignment horizontal="left" vertical="center"/>
    </xf>
    <xf numFmtId="0" fontId="27" fillId="4" borderId="0" xfId="0" applyFont="1" applyFill="1" applyAlignment="1">
      <alignment horizontal="left" vertical="center"/>
    </xf>
    <xf numFmtId="0" fontId="27" fillId="4" borderId="19" xfId="0" applyFont="1" applyFill="1" applyBorder="1" applyAlignment="1">
      <alignment horizontal="left" vertical="center"/>
    </xf>
    <xf numFmtId="0" fontId="27" fillId="4" borderId="21" xfId="0" applyFont="1" applyFill="1" applyBorder="1" applyAlignment="1">
      <alignment horizontal="left" vertical="center"/>
    </xf>
    <xf numFmtId="0" fontId="27" fillId="4" borderId="22" xfId="0" applyFont="1" applyFill="1" applyBorder="1" applyAlignment="1">
      <alignment horizontal="left" vertical="center"/>
    </xf>
    <xf numFmtId="0" fontId="27" fillId="4" borderId="14" xfId="0" applyFont="1" applyFill="1" applyBorder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7" fillId="4" borderId="23" xfId="0" applyFont="1" applyFill="1" applyBorder="1" applyAlignment="1">
      <alignment horizontal="left" vertical="center"/>
    </xf>
    <xf numFmtId="0" fontId="27" fillId="4" borderId="24" xfId="0" applyFont="1" applyFill="1" applyBorder="1" applyAlignment="1">
      <alignment horizontal="left" vertical="center"/>
    </xf>
    <xf numFmtId="0" fontId="27" fillId="4" borderId="43" xfId="0" applyFont="1" applyFill="1" applyBorder="1" applyAlignment="1">
      <alignment horizontal="center" vertical="center"/>
    </xf>
    <xf numFmtId="0" fontId="27" fillId="4" borderId="44" xfId="0" applyFont="1" applyFill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29" fillId="0" borderId="19" xfId="0" applyFont="1" applyBorder="1" applyAlignment="1">
      <alignment horizontal="left" vertical="center" wrapText="1"/>
    </xf>
    <xf numFmtId="0" fontId="29" fillId="0" borderId="2" xfId="0" applyFont="1" applyBorder="1" applyAlignment="1">
      <alignment horizontal="center" vertical="center"/>
    </xf>
    <xf numFmtId="0" fontId="27" fillId="0" borderId="15" xfId="0" applyFont="1" applyBorder="1" applyAlignment="1">
      <alignment horizontal="left" vertical="center" wrapText="1"/>
    </xf>
    <xf numFmtId="0" fontId="27" fillId="0" borderId="16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left" vertical="center" wrapText="1"/>
    </xf>
    <xf numFmtId="0" fontId="29" fillId="8" borderId="39" xfId="0" applyFont="1" applyFill="1" applyBorder="1" applyAlignment="1">
      <alignment horizontal="center" vertical="center"/>
    </xf>
    <xf numFmtId="0" fontId="29" fillId="8" borderId="40" xfId="0" applyFont="1" applyFill="1" applyBorder="1" applyAlignment="1">
      <alignment horizontal="center" vertical="center"/>
    </xf>
    <xf numFmtId="0" fontId="29" fillId="8" borderId="6" xfId="0" applyFont="1" applyFill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vertical="center" wrapText="1"/>
    </xf>
    <xf numFmtId="0" fontId="27" fillId="0" borderId="21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left" vertical="center" wrapText="1"/>
    </xf>
    <xf numFmtId="0" fontId="29" fillId="0" borderId="51" xfId="0" applyFont="1" applyBorder="1" applyAlignment="1">
      <alignment horizontal="center" vertical="center"/>
    </xf>
    <xf numFmtId="0" fontId="29" fillId="0" borderId="52" xfId="0" applyFont="1" applyBorder="1" applyAlignment="1">
      <alignment horizontal="center" vertical="center"/>
    </xf>
    <xf numFmtId="0" fontId="29" fillId="8" borderId="30" xfId="0" applyFont="1" applyFill="1" applyBorder="1" applyAlignment="1">
      <alignment horizontal="center" vertical="center"/>
    </xf>
    <xf numFmtId="0" fontId="29" fillId="8" borderId="31" xfId="0" applyFont="1" applyFill="1" applyBorder="1" applyAlignment="1">
      <alignment horizontal="center" vertical="center"/>
    </xf>
    <xf numFmtId="0" fontId="29" fillId="8" borderId="28" xfId="0" applyFont="1" applyFill="1" applyBorder="1" applyAlignment="1">
      <alignment horizontal="center" vertical="center"/>
    </xf>
    <xf numFmtId="0" fontId="29" fillId="8" borderId="29" xfId="0" applyFont="1" applyFill="1" applyBorder="1" applyAlignment="1">
      <alignment horizontal="center" vertical="center"/>
    </xf>
    <xf numFmtId="0" fontId="29" fillId="0" borderId="21" xfId="0" applyFont="1" applyBorder="1" applyAlignment="1">
      <alignment horizontal="left" vertical="center" wrapText="1"/>
    </xf>
    <xf numFmtId="0" fontId="29" fillId="0" borderId="22" xfId="0" applyFont="1" applyBorder="1" applyAlignment="1">
      <alignment horizontal="left" vertical="center" wrapText="1"/>
    </xf>
    <xf numFmtId="0" fontId="27" fillId="4" borderId="25" xfId="0" applyFont="1" applyFill="1" applyBorder="1" applyAlignment="1">
      <alignment horizontal="center" vertical="center"/>
    </xf>
    <xf numFmtId="0" fontId="27" fillId="4" borderId="26" xfId="0" applyFont="1" applyFill="1" applyBorder="1" applyAlignment="1">
      <alignment horizontal="center" vertical="center"/>
    </xf>
    <xf numFmtId="0" fontId="27" fillId="4" borderId="41" xfId="0" applyFont="1" applyFill="1" applyBorder="1" applyAlignment="1">
      <alignment horizontal="center" vertical="center"/>
    </xf>
    <xf numFmtId="0" fontId="27" fillId="4" borderId="42" xfId="0" applyFont="1" applyFill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49" fontId="29" fillId="0" borderId="18" xfId="0" applyNumberFormat="1" applyFont="1" applyBorder="1" applyAlignment="1">
      <alignment horizontal="left" vertical="center" wrapText="1"/>
    </xf>
    <xf numFmtId="49" fontId="29" fillId="0" borderId="0" xfId="0" applyNumberFormat="1" applyFont="1" applyAlignment="1">
      <alignment horizontal="left" vertical="center" wrapText="1"/>
    </xf>
    <xf numFmtId="49" fontId="29" fillId="0" borderId="19" xfId="0" applyNumberFormat="1" applyFont="1" applyBorder="1" applyAlignment="1">
      <alignment horizontal="left" vertical="center" wrapText="1"/>
    </xf>
    <xf numFmtId="0" fontId="29" fillId="0" borderId="45" xfId="0" applyFont="1" applyBorder="1" applyAlignment="1">
      <alignment horizontal="center" vertical="center"/>
    </xf>
    <xf numFmtId="0" fontId="29" fillId="0" borderId="46" xfId="0" applyFont="1" applyBorder="1" applyAlignment="1">
      <alignment horizontal="center" vertical="center"/>
    </xf>
    <xf numFmtId="49" fontId="29" fillId="0" borderId="20" xfId="0" applyNumberFormat="1" applyFont="1" applyBorder="1" applyAlignment="1">
      <alignment horizontal="left" vertical="center" wrapText="1"/>
    </xf>
    <xf numFmtId="49" fontId="29" fillId="0" borderId="21" xfId="0" applyNumberFormat="1" applyFont="1" applyBorder="1" applyAlignment="1">
      <alignment horizontal="left" vertical="center" wrapText="1"/>
    </xf>
    <xf numFmtId="49" fontId="29" fillId="0" borderId="22" xfId="0" applyNumberFormat="1" applyFont="1" applyBorder="1" applyAlignment="1">
      <alignment horizontal="left" vertical="center" wrapText="1"/>
    </xf>
    <xf numFmtId="0" fontId="29" fillId="0" borderId="47" xfId="0" applyFont="1" applyBorder="1" applyAlignment="1">
      <alignment horizontal="center" vertical="center"/>
    </xf>
    <xf numFmtId="0" fontId="29" fillId="0" borderId="48" xfId="0" applyFont="1" applyBorder="1" applyAlignment="1">
      <alignment horizontal="center" vertical="center"/>
    </xf>
    <xf numFmtId="49" fontId="29" fillId="0" borderId="15" xfId="0" applyNumberFormat="1" applyFont="1" applyBorder="1" applyAlignment="1">
      <alignment horizontal="left" vertical="center" wrapText="1"/>
    </xf>
    <xf numFmtId="49" fontId="29" fillId="0" borderId="16" xfId="0" applyNumberFormat="1" applyFont="1" applyBorder="1" applyAlignment="1">
      <alignment horizontal="left" vertical="center" wrapText="1"/>
    </xf>
    <xf numFmtId="49" fontId="29" fillId="0" borderId="17" xfId="0" applyNumberFormat="1" applyFont="1" applyBorder="1" applyAlignment="1">
      <alignment horizontal="left" vertical="center" wrapText="1"/>
    </xf>
    <xf numFmtId="0" fontId="29" fillId="0" borderId="53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9" fillId="7" borderId="30" xfId="0" applyFont="1" applyFill="1" applyBorder="1" applyAlignment="1">
      <alignment horizontal="center" vertical="center"/>
    </xf>
    <xf numFmtId="0" fontId="29" fillId="7" borderId="31" xfId="0" applyFont="1" applyFill="1" applyBorder="1" applyAlignment="1">
      <alignment horizontal="center" vertical="center"/>
    </xf>
    <xf numFmtId="0" fontId="29" fillId="7" borderId="39" xfId="0" applyFont="1" applyFill="1" applyBorder="1" applyAlignment="1">
      <alignment horizontal="center" vertical="center"/>
    </xf>
    <xf numFmtId="0" fontId="29" fillId="7" borderId="40" xfId="0" applyFont="1" applyFill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9" fillId="6" borderId="14" xfId="0" applyFont="1" applyFill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4" xfId="0" applyFont="1" applyFill="1" applyBorder="1" applyAlignment="1">
      <alignment horizontal="center" vertical="center"/>
    </xf>
    <xf numFmtId="0" fontId="29" fillId="3" borderId="18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29" fillId="3" borderId="19" xfId="0" applyFont="1" applyFill="1" applyBorder="1" applyAlignment="1">
      <alignment horizontal="left" vertical="center" wrapText="1"/>
    </xf>
    <xf numFmtId="0" fontId="27" fillId="0" borderId="30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9" fillId="3" borderId="20" xfId="0" applyFont="1" applyFill="1" applyBorder="1" applyAlignment="1">
      <alignment horizontal="left" vertical="center" wrapText="1"/>
    </xf>
    <xf numFmtId="0" fontId="29" fillId="3" borderId="21" xfId="0" applyFont="1" applyFill="1" applyBorder="1" applyAlignment="1">
      <alignment horizontal="left" vertical="center" wrapText="1"/>
    </xf>
    <xf numFmtId="0" fontId="29" fillId="3" borderId="22" xfId="0" applyFont="1" applyFill="1" applyBorder="1" applyAlignment="1">
      <alignment horizontal="left" vertical="center" wrapText="1"/>
    </xf>
    <xf numFmtId="0" fontId="27" fillId="0" borderId="45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4" borderId="49" xfId="0" applyFont="1" applyFill="1" applyBorder="1" applyAlignment="1">
      <alignment horizontal="center" vertical="center"/>
    </xf>
    <xf numFmtId="0" fontId="27" fillId="4" borderId="50" xfId="0" applyFont="1" applyFill="1" applyBorder="1" applyAlignment="1">
      <alignment horizontal="center" vertical="center"/>
    </xf>
    <xf numFmtId="0" fontId="29" fillId="3" borderId="15" xfId="0" applyFont="1" applyFill="1" applyBorder="1" applyAlignment="1">
      <alignment horizontal="left" vertical="center" wrapText="1"/>
    </xf>
    <xf numFmtId="0" fontId="29" fillId="3" borderId="16" xfId="0" applyFont="1" applyFill="1" applyBorder="1" applyAlignment="1">
      <alignment horizontal="left" vertical="center" wrapText="1"/>
    </xf>
    <xf numFmtId="0" fontId="29" fillId="3" borderId="17" xfId="0" applyFont="1" applyFill="1" applyBorder="1" applyAlignment="1">
      <alignment horizontal="left" vertical="center" wrapText="1"/>
    </xf>
    <xf numFmtId="0" fontId="27" fillId="0" borderId="39" xfId="0" applyFont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9" fillId="0" borderId="39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3" fontId="29" fillId="0" borderId="14" xfId="0" applyNumberFormat="1" applyFont="1" applyBorder="1" applyAlignment="1">
      <alignment horizontal="center" vertical="center"/>
    </xf>
    <xf numFmtId="0" fontId="29" fillId="3" borderId="14" xfId="0" applyFont="1" applyFill="1" applyBorder="1" applyAlignment="1">
      <alignment horizontal="left" vertical="center"/>
    </xf>
    <xf numFmtId="0" fontId="29" fillId="3" borderId="23" xfId="0" applyFont="1" applyFill="1" applyBorder="1" applyAlignment="1">
      <alignment horizontal="left" vertical="center"/>
    </xf>
    <xf numFmtId="0" fontId="29" fillId="3" borderId="24" xfId="0" applyFont="1" applyFill="1" applyBorder="1" applyAlignment="1">
      <alignment horizontal="left" vertical="center"/>
    </xf>
    <xf numFmtId="0" fontId="29" fillId="0" borderId="25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3" fontId="29" fillId="0" borderId="33" xfId="0" applyNumberFormat="1" applyFont="1" applyBorder="1" applyAlignment="1">
      <alignment horizontal="center" vertical="center"/>
    </xf>
    <xf numFmtId="3" fontId="29" fillId="0" borderId="34" xfId="0" applyNumberFormat="1" applyFont="1" applyBorder="1" applyAlignment="1">
      <alignment horizontal="center" vertical="center"/>
    </xf>
    <xf numFmtId="3" fontId="29" fillId="0" borderId="45" xfId="0" applyNumberFormat="1" applyFont="1" applyBorder="1" applyAlignment="1">
      <alignment horizontal="center" vertical="center"/>
    </xf>
    <xf numFmtId="3" fontId="29" fillId="0" borderId="46" xfId="0" applyNumberFormat="1" applyFont="1" applyBorder="1" applyAlignment="1">
      <alignment horizontal="center" vertical="center"/>
    </xf>
    <xf numFmtId="2" fontId="29" fillId="0" borderId="30" xfId="0" applyNumberFormat="1" applyFont="1" applyBorder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3" fontId="29" fillId="8" borderId="45" xfId="0" applyNumberFormat="1" applyFont="1" applyFill="1" applyBorder="1" applyAlignment="1">
      <alignment horizontal="center" vertical="center"/>
    </xf>
    <xf numFmtId="3" fontId="29" fillId="8" borderId="46" xfId="0" applyNumberFormat="1" applyFont="1" applyFill="1" applyBorder="1" applyAlignment="1">
      <alignment horizontal="center" vertical="center"/>
    </xf>
    <xf numFmtId="2" fontId="29" fillId="8" borderId="30" xfId="0" applyNumberFormat="1" applyFont="1" applyFill="1" applyBorder="1" applyAlignment="1">
      <alignment horizontal="center" vertical="center"/>
    </xf>
    <xf numFmtId="2" fontId="29" fillId="8" borderId="31" xfId="0" applyNumberFormat="1" applyFont="1" applyFill="1" applyBorder="1" applyAlignment="1">
      <alignment horizontal="center" vertical="center"/>
    </xf>
    <xf numFmtId="3" fontId="29" fillId="0" borderId="30" xfId="0" applyNumberFormat="1" applyFont="1" applyBorder="1" applyAlignment="1">
      <alignment horizontal="center" vertical="center"/>
    </xf>
    <xf numFmtId="3" fontId="29" fillId="0" borderId="31" xfId="0" applyNumberFormat="1" applyFont="1" applyBorder="1" applyAlignment="1">
      <alignment horizontal="center" vertical="center"/>
    </xf>
    <xf numFmtId="3" fontId="29" fillId="8" borderId="30" xfId="0" applyNumberFormat="1" applyFont="1" applyFill="1" applyBorder="1" applyAlignment="1">
      <alignment horizontal="center" vertical="center"/>
    </xf>
    <xf numFmtId="3" fontId="29" fillId="8" borderId="31" xfId="0" applyNumberFormat="1" applyFont="1" applyFill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3" fontId="29" fillId="7" borderId="39" xfId="0" applyNumberFormat="1" applyFont="1" applyFill="1" applyBorder="1" applyAlignment="1">
      <alignment horizontal="center" vertical="center"/>
    </xf>
    <xf numFmtId="3" fontId="29" fillId="7" borderId="40" xfId="0" applyNumberFormat="1" applyFont="1" applyFill="1" applyBorder="1" applyAlignment="1">
      <alignment horizontal="center" vertical="center"/>
    </xf>
    <xf numFmtId="3" fontId="29" fillId="7" borderId="30" xfId="0" applyNumberFormat="1" applyFont="1" applyFill="1" applyBorder="1" applyAlignment="1">
      <alignment horizontal="center" vertical="center"/>
    </xf>
    <xf numFmtId="3" fontId="29" fillId="7" borderId="31" xfId="0" applyNumberFormat="1" applyFont="1" applyFill="1" applyBorder="1" applyAlignment="1">
      <alignment horizontal="center" vertical="center"/>
    </xf>
    <xf numFmtId="2" fontId="29" fillId="7" borderId="15" xfId="0" applyNumberFormat="1" applyFont="1" applyFill="1" applyBorder="1" applyAlignment="1">
      <alignment horizontal="center" vertical="center"/>
    </xf>
    <xf numFmtId="2" fontId="29" fillId="7" borderId="17" xfId="0" applyNumberFormat="1" applyFont="1" applyFill="1" applyBorder="1" applyAlignment="1">
      <alignment horizontal="center" vertical="center"/>
    </xf>
    <xf numFmtId="2" fontId="29" fillId="0" borderId="33" xfId="0" applyNumberFormat="1" applyFont="1" applyBorder="1" applyAlignment="1">
      <alignment horizontal="center" vertical="center"/>
    </xf>
    <xf numFmtId="2" fontId="29" fillId="0" borderId="34" xfId="0" applyNumberFormat="1" applyFont="1" applyBorder="1" applyAlignment="1">
      <alignment horizontal="center" vertical="center"/>
    </xf>
    <xf numFmtId="0" fontId="32" fillId="4" borderId="23" xfId="0" applyFont="1" applyFill="1" applyBorder="1" applyAlignment="1">
      <alignment horizontal="left" vertical="center"/>
    </xf>
    <xf numFmtId="0" fontId="32" fillId="4" borderId="24" xfId="0" applyFont="1" applyFill="1" applyBorder="1" applyAlignment="1">
      <alignment horizontal="left" vertical="center"/>
    </xf>
    <xf numFmtId="0" fontId="32" fillId="4" borderId="43" xfId="0" applyFont="1" applyFill="1" applyBorder="1" applyAlignment="1">
      <alignment horizontal="center" vertical="center"/>
    </xf>
    <xf numFmtId="0" fontId="32" fillId="4" borderId="44" xfId="0" applyFont="1" applyFill="1" applyBorder="1" applyAlignment="1">
      <alignment horizontal="center" vertical="center"/>
    </xf>
    <xf numFmtId="0" fontId="32" fillId="4" borderId="14" xfId="0" applyFont="1" applyFill="1" applyBorder="1" applyAlignment="1">
      <alignment horizontal="center" vertical="center"/>
    </xf>
    <xf numFmtId="0" fontId="32" fillId="4" borderId="24" xfId="0" applyFont="1" applyFill="1" applyBorder="1" applyAlignment="1">
      <alignment horizontal="center" vertical="center"/>
    </xf>
    <xf numFmtId="3" fontId="29" fillId="0" borderId="47" xfId="0" applyNumberFormat="1" applyFont="1" applyBorder="1" applyAlignment="1">
      <alignment horizontal="center" vertical="center"/>
    </xf>
    <xf numFmtId="3" fontId="29" fillId="0" borderId="48" xfId="0" applyNumberFormat="1" applyFont="1" applyBorder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horizontal="center" vertical="center"/>
    </xf>
    <xf numFmtId="0" fontId="29" fillId="6" borderId="17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6" borderId="19" xfId="0" applyFont="1" applyFill="1" applyBorder="1" applyAlignment="1">
      <alignment horizontal="center" vertical="center"/>
    </xf>
    <xf numFmtId="3" fontId="29" fillId="0" borderId="39" xfId="0" applyNumberFormat="1" applyFont="1" applyBorder="1" applyAlignment="1">
      <alignment horizontal="center" vertical="center"/>
    </xf>
    <xf numFmtId="3" fontId="29" fillId="0" borderId="40" xfId="0" applyNumberFormat="1" applyFont="1" applyBorder="1" applyAlignment="1">
      <alignment horizontal="center" vertical="center"/>
    </xf>
    <xf numFmtId="1" fontId="27" fillId="0" borderId="39" xfId="2" applyNumberFormat="1" applyFont="1" applyFill="1" applyBorder="1" applyAlignment="1">
      <alignment horizontal="center" vertical="center"/>
    </xf>
    <xf numFmtId="1" fontId="27" fillId="0" borderId="40" xfId="2" applyNumberFormat="1" applyFont="1" applyFill="1" applyBorder="1" applyAlignment="1">
      <alignment horizontal="center" vertical="center"/>
    </xf>
    <xf numFmtId="3" fontId="29" fillId="0" borderId="28" xfId="0" applyNumberFormat="1" applyFont="1" applyBorder="1" applyAlignment="1">
      <alignment horizontal="center" vertical="center"/>
    </xf>
    <xf numFmtId="3" fontId="29" fillId="0" borderId="29" xfId="0" applyNumberFormat="1" applyFont="1" applyBorder="1" applyAlignment="1">
      <alignment horizontal="center" vertical="center"/>
    </xf>
    <xf numFmtId="0" fontId="32" fillId="4" borderId="41" xfId="0" applyFont="1" applyFill="1" applyBorder="1" applyAlignment="1">
      <alignment horizontal="center" vertical="center"/>
    </xf>
    <xf numFmtId="0" fontId="32" fillId="4" borderId="42" xfId="0" applyFont="1" applyFill="1" applyBorder="1" applyAlignment="1">
      <alignment horizontal="center" vertical="center"/>
    </xf>
    <xf numFmtId="3" fontId="29" fillId="6" borderId="14" xfId="0" applyNumberFormat="1" applyFont="1" applyFill="1" applyBorder="1" applyAlignment="1">
      <alignment horizontal="center" vertical="center"/>
    </xf>
    <xf numFmtId="3" fontId="29" fillId="6" borderId="23" xfId="0" applyNumberFormat="1" applyFont="1" applyFill="1" applyBorder="1" applyAlignment="1">
      <alignment horizontal="center" vertical="center"/>
    </xf>
    <xf numFmtId="3" fontId="29" fillId="6" borderId="24" xfId="0" applyNumberFormat="1" applyFont="1" applyFill="1" applyBorder="1" applyAlignment="1">
      <alignment horizontal="center" vertical="center"/>
    </xf>
    <xf numFmtId="3" fontId="29" fillId="2" borderId="28" xfId="0" applyNumberFormat="1" applyFont="1" applyFill="1" applyBorder="1" applyAlignment="1">
      <alignment horizontal="center" vertical="center"/>
    </xf>
    <xf numFmtId="3" fontId="29" fillId="2" borderId="29" xfId="0" applyNumberFormat="1" applyFont="1" applyFill="1" applyBorder="1" applyAlignment="1">
      <alignment horizontal="center" vertical="center"/>
    </xf>
    <xf numFmtId="1" fontId="27" fillId="0" borderId="28" xfId="2" applyNumberFormat="1" applyFont="1" applyFill="1" applyBorder="1" applyAlignment="1">
      <alignment horizontal="center" vertical="center"/>
    </xf>
    <xf numFmtId="1" fontId="27" fillId="0" borderId="29" xfId="2" applyNumberFormat="1" applyFont="1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17" fillId="0" borderId="14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</cellXfs>
  <cellStyles count="4">
    <cellStyle name="Moneda_Informe Opercional Anual" xfId="1" xr:uid="{00000000-0005-0000-0000-000000000000}"/>
    <cellStyle name="Normal" xfId="0" builtinId="0"/>
    <cellStyle name="Porcentaje" xfId="2" builtinId="5"/>
    <cellStyle name="Porcentaje 2" xfId="3" xr:uid="{00000000-0005-0000-0000-00000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61"/>
  <sheetViews>
    <sheetView showGridLines="0" tabSelected="1" zoomScaleNormal="100" workbookViewId="0"/>
  </sheetViews>
  <sheetFormatPr baseColWidth="10" defaultRowHeight="12.75" x14ac:dyDescent="0.2"/>
  <cols>
    <col min="1" max="1" width="2.85546875" style="31" customWidth="1"/>
    <col min="2" max="2" width="58.140625" style="38" customWidth="1"/>
    <col min="3" max="8" width="10.85546875" style="5" customWidth="1"/>
    <col min="9" max="9" width="8.7109375" style="5" customWidth="1"/>
    <col min="10" max="10" width="6.5703125" style="5" customWidth="1"/>
    <col min="11" max="16384" width="11.42578125" style="5"/>
  </cols>
  <sheetData>
    <row r="1" spans="1:11" x14ac:dyDescent="0.2">
      <c r="B1" s="1" t="s">
        <v>296</v>
      </c>
      <c r="C1" s="2"/>
      <c r="D1" s="2"/>
      <c r="E1" s="2"/>
      <c r="F1" s="1"/>
      <c r="G1" s="2"/>
      <c r="H1" s="3" t="s">
        <v>133</v>
      </c>
      <c r="I1" s="4"/>
    </row>
    <row r="2" spans="1:11" x14ac:dyDescent="0.2">
      <c r="B2" s="1" t="s">
        <v>132</v>
      </c>
      <c r="C2" s="2"/>
      <c r="D2" s="2"/>
      <c r="E2" s="2"/>
      <c r="F2" s="1"/>
      <c r="G2" s="2"/>
      <c r="H2" s="3"/>
      <c r="I2" s="4"/>
    </row>
    <row r="3" spans="1:11" x14ac:dyDescent="0.2">
      <c r="B3" s="1" t="s">
        <v>131</v>
      </c>
      <c r="C3" s="2"/>
      <c r="D3" s="2"/>
      <c r="E3" s="2"/>
      <c r="F3" s="2"/>
      <c r="G3" s="2"/>
      <c r="H3" s="2"/>
      <c r="I3" s="6"/>
      <c r="J3" s="7"/>
    </row>
    <row r="4" spans="1:11" x14ac:dyDescent="0.2">
      <c r="B4" s="1" t="s">
        <v>130</v>
      </c>
      <c r="C4" s="2"/>
      <c r="D4" s="2"/>
      <c r="E4" s="2"/>
      <c r="F4" s="2"/>
      <c r="G4" s="2"/>
      <c r="H4" s="2"/>
      <c r="I4" s="8"/>
    </row>
    <row r="5" spans="1:11" x14ac:dyDescent="0.2">
      <c r="B5" s="1"/>
      <c r="C5" s="2"/>
      <c r="D5" s="2"/>
      <c r="E5" s="2"/>
      <c r="F5" s="2"/>
      <c r="G5" s="2"/>
      <c r="H5" s="2"/>
      <c r="I5" s="8"/>
    </row>
    <row r="6" spans="1:11" x14ac:dyDescent="0.2">
      <c r="B6" s="209" t="s">
        <v>39</v>
      </c>
      <c r="C6" s="209"/>
      <c r="D6" s="209"/>
      <c r="E6" s="209"/>
      <c r="F6" s="209"/>
      <c r="G6" s="209"/>
      <c r="H6" s="209"/>
      <c r="I6" s="9"/>
      <c r="J6" s="9"/>
    </row>
    <row r="7" spans="1:11" x14ac:dyDescent="0.2">
      <c r="B7" s="10"/>
      <c r="C7" s="11"/>
      <c r="D7" s="9"/>
      <c r="E7" s="9"/>
      <c r="F7" s="9"/>
      <c r="G7" s="9"/>
      <c r="H7" s="9"/>
      <c r="I7" s="9"/>
      <c r="J7" s="9"/>
    </row>
    <row r="8" spans="1:11" x14ac:dyDescent="0.2">
      <c r="A8" s="12" t="s">
        <v>103</v>
      </c>
      <c r="B8" s="13" t="s">
        <v>37</v>
      </c>
      <c r="C8" s="14"/>
    </row>
    <row r="9" spans="1:11" x14ac:dyDescent="0.2">
      <c r="A9" s="20"/>
      <c r="B9" s="16" t="s">
        <v>32</v>
      </c>
      <c r="C9" s="16" t="s">
        <v>7</v>
      </c>
      <c r="D9" s="16" t="s">
        <v>45</v>
      </c>
      <c r="E9" s="16" t="s">
        <v>46</v>
      </c>
      <c r="F9" s="16" t="s">
        <v>47</v>
      </c>
      <c r="G9" s="16" t="s">
        <v>48</v>
      </c>
      <c r="H9" s="16" t="s">
        <v>41</v>
      </c>
      <c r="K9" s="17"/>
    </row>
    <row r="10" spans="1:11" x14ac:dyDescent="0.2">
      <c r="A10" s="20"/>
      <c r="B10" s="15" t="s">
        <v>33</v>
      </c>
      <c r="C10" s="39"/>
      <c r="D10" s="39"/>
      <c r="E10" s="40"/>
      <c r="F10" s="46"/>
      <c r="G10" s="39"/>
      <c r="H10" s="40"/>
      <c r="I10" s="34"/>
    </row>
    <row r="11" spans="1:11" x14ac:dyDescent="0.2">
      <c r="A11" s="20"/>
      <c r="B11" s="15" t="s">
        <v>53</v>
      </c>
      <c r="C11" s="39"/>
      <c r="D11" s="39"/>
      <c r="E11" s="40"/>
      <c r="F11" s="46"/>
      <c r="G11" s="39"/>
      <c r="H11" s="40"/>
      <c r="I11" s="34"/>
    </row>
    <row r="12" spans="1:11" x14ac:dyDescent="0.2">
      <c r="A12" s="20"/>
      <c r="B12" s="15" t="s">
        <v>49</v>
      </c>
      <c r="C12" s="39"/>
      <c r="D12" s="39"/>
      <c r="E12" s="40"/>
      <c r="F12" s="46"/>
      <c r="G12" s="39"/>
      <c r="H12" s="40"/>
      <c r="I12" s="34"/>
    </row>
    <row r="13" spans="1:11" x14ac:dyDescent="0.2">
      <c r="A13" s="20"/>
      <c r="B13" s="15" t="s">
        <v>50</v>
      </c>
      <c r="C13" s="39"/>
      <c r="D13" s="39"/>
      <c r="E13" s="40"/>
      <c r="F13" s="46"/>
      <c r="G13" s="39"/>
      <c r="H13" s="40"/>
      <c r="I13" s="34"/>
    </row>
    <row r="14" spans="1:11" x14ac:dyDescent="0.2">
      <c r="A14" s="20"/>
      <c r="B14" s="15" t="s">
        <v>51</v>
      </c>
      <c r="C14" s="39"/>
      <c r="D14" s="39"/>
      <c r="E14" s="40"/>
      <c r="F14" s="46"/>
      <c r="G14" s="39"/>
      <c r="H14" s="40"/>
      <c r="I14" s="34"/>
    </row>
    <row r="15" spans="1:11" x14ac:dyDescent="0.2">
      <c r="A15" s="20"/>
      <c r="B15" s="18" t="s">
        <v>12</v>
      </c>
      <c r="C15" s="48">
        <f>SUM(C13:C14)</f>
        <v>0</v>
      </c>
      <c r="D15" s="47">
        <f t="shared" ref="D15:H15" si="0">SUM(D13:D14)</f>
        <v>0</v>
      </c>
      <c r="E15" s="47">
        <f t="shared" si="0"/>
        <v>0</v>
      </c>
      <c r="F15" s="47">
        <f t="shared" si="0"/>
        <v>0</v>
      </c>
      <c r="G15" s="47">
        <f t="shared" si="0"/>
        <v>0</v>
      </c>
      <c r="H15" s="47">
        <f t="shared" si="0"/>
        <v>0</v>
      </c>
      <c r="I15" s="4"/>
    </row>
    <row r="16" spans="1:11" x14ac:dyDescent="0.2">
      <c r="B16" s="182" t="s">
        <v>164</v>
      </c>
      <c r="C16" s="49"/>
      <c r="D16" s="46"/>
      <c r="E16" s="46"/>
      <c r="F16" s="46"/>
      <c r="G16" s="46"/>
      <c r="H16" s="46"/>
      <c r="I16" s="201"/>
      <c r="J16" s="201"/>
    </row>
    <row r="17" spans="1:10" x14ac:dyDescent="0.2">
      <c r="B17" s="203" t="s">
        <v>165</v>
      </c>
      <c r="C17" s="39"/>
      <c r="D17" s="46"/>
      <c r="E17" s="46"/>
      <c r="F17" s="46"/>
      <c r="G17" s="46"/>
      <c r="H17" s="46"/>
      <c r="I17" s="208"/>
      <c r="J17" s="201"/>
    </row>
    <row r="18" spans="1:10" x14ac:dyDescent="0.2">
      <c r="B18" s="203" t="s">
        <v>166</v>
      </c>
      <c r="C18" s="39"/>
      <c r="D18" s="46"/>
      <c r="E18" s="46"/>
      <c r="F18" s="46"/>
      <c r="G18" s="46"/>
      <c r="H18" s="46"/>
      <c r="I18" s="201"/>
      <c r="J18" s="201"/>
    </row>
    <row r="19" spans="1:10" x14ac:dyDescent="0.2">
      <c r="B19" s="203" t="s">
        <v>167</v>
      </c>
      <c r="C19" s="39"/>
      <c r="D19" s="46"/>
      <c r="E19" s="46"/>
      <c r="F19" s="46"/>
      <c r="G19" s="46"/>
      <c r="H19" s="46"/>
      <c r="I19" s="201"/>
      <c r="J19" s="201"/>
    </row>
    <row r="20" spans="1:10" x14ac:dyDescent="0.2">
      <c r="B20" s="203" t="s">
        <v>168</v>
      </c>
      <c r="C20" s="39"/>
      <c r="D20" s="46"/>
      <c r="E20" s="46"/>
      <c r="F20" s="46"/>
      <c r="G20" s="46"/>
      <c r="H20" s="46"/>
      <c r="I20" s="208"/>
      <c r="J20" s="201"/>
    </row>
    <row r="21" spans="1:10" x14ac:dyDescent="0.2">
      <c r="B21" s="203" t="s">
        <v>169</v>
      </c>
      <c r="C21" s="39"/>
      <c r="D21" s="46"/>
      <c r="E21" s="46"/>
      <c r="F21" s="46"/>
      <c r="G21" s="46"/>
      <c r="H21" s="46"/>
      <c r="I21" s="201"/>
      <c r="J21" s="201"/>
    </row>
    <row r="22" spans="1:10" x14ac:dyDescent="0.2">
      <c r="B22" s="203" t="s">
        <v>170</v>
      </c>
      <c r="C22" s="39">
        <f>C23+C24</f>
        <v>0</v>
      </c>
      <c r="D22" s="46"/>
      <c r="E22" s="46"/>
      <c r="F22" s="46"/>
      <c r="G22" s="46"/>
      <c r="H22" s="46"/>
      <c r="I22" s="201"/>
      <c r="J22" s="201"/>
    </row>
    <row r="23" spans="1:10" x14ac:dyDescent="0.2">
      <c r="B23" s="204" t="s">
        <v>171</v>
      </c>
      <c r="C23" s="206"/>
      <c r="D23" s="46"/>
      <c r="E23" s="46"/>
      <c r="F23" s="46"/>
      <c r="G23" s="46"/>
      <c r="H23" s="46"/>
      <c r="I23" s="201"/>
      <c r="J23" s="201"/>
    </row>
    <row r="24" spans="1:10" x14ac:dyDescent="0.2">
      <c r="B24" s="205" t="s">
        <v>172</v>
      </c>
      <c r="C24" s="207"/>
      <c r="D24" s="46"/>
      <c r="E24" s="46"/>
      <c r="F24" s="46"/>
      <c r="G24" s="46"/>
      <c r="H24" s="46"/>
      <c r="I24" s="201"/>
      <c r="J24" s="201"/>
    </row>
    <row r="25" spans="1:10" x14ac:dyDescent="0.2">
      <c r="B25" s="19"/>
      <c r="C25" s="34"/>
      <c r="D25" s="34"/>
      <c r="E25" s="34"/>
      <c r="F25" s="34"/>
      <c r="G25" s="34"/>
      <c r="H25" s="34"/>
    </row>
    <row r="26" spans="1:10" x14ac:dyDescent="0.2">
      <c r="A26" s="31" t="s">
        <v>104</v>
      </c>
      <c r="B26" s="13" t="s">
        <v>40</v>
      </c>
      <c r="C26" s="14"/>
      <c r="D26" s="34"/>
      <c r="E26" s="34"/>
      <c r="F26" s="34"/>
      <c r="G26" s="34"/>
      <c r="H26" s="34"/>
    </row>
    <row r="27" spans="1:10" x14ac:dyDescent="0.2">
      <c r="A27" s="20"/>
      <c r="B27" s="21" t="s">
        <v>34</v>
      </c>
      <c r="C27" s="16" t="s">
        <v>7</v>
      </c>
      <c r="D27" s="16" t="s">
        <v>45</v>
      </c>
      <c r="E27" s="16" t="s">
        <v>46</v>
      </c>
      <c r="F27" s="16" t="s">
        <v>47</v>
      </c>
      <c r="G27" s="16" t="s">
        <v>48</v>
      </c>
      <c r="H27" s="16" t="s">
        <v>41</v>
      </c>
      <c r="I27" s="17"/>
    </row>
    <row r="28" spans="1:10" x14ac:dyDescent="0.2">
      <c r="A28" s="20"/>
      <c r="B28" s="22" t="s">
        <v>25</v>
      </c>
      <c r="C28" s="39">
        <f t="shared" ref="C28:H28" si="1">SUM(C29:C33)</f>
        <v>0</v>
      </c>
      <c r="D28" s="39">
        <f t="shared" si="1"/>
        <v>0</v>
      </c>
      <c r="E28" s="39">
        <f t="shared" si="1"/>
        <v>0</v>
      </c>
      <c r="F28" s="39">
        <f t="shared" si="1"/>
        <v>0</v>
      </c>
      <c r="G28" s="39">
        <f t="shared" si="1"/>
        <v>0</v>
      </c>
      <c r="H28" s="39">
        <f t="shared" si="1"/>
        <v>0</v>
      </c>
      <c r="I28" s="4"/>
    </row>
    <row r="29" spans="1:10" x14ac:dyDescent="0.2">
      <c r="A29" s="20"/>
      <c r="B29" s="41" t="s">
        <v>1</v>
      </c>
      <c r="C29" s="40"/>
      <c r="D29" s="39"/>
      <c r="E29" s="39"/>
      <c r="F29" s="39"/>
      <c r="G29" s="39"/>
      <c r="H29" s="39"/>
      <c r="I29" s="34"/>
    </row>
    <row r="30" spans="1:10" x14ac:dyDescent="0.2">
      <c r="A30" s="20"/>
      <c r="B30" s="41" t="s">
        <v>31</v>
      </c>
      <c r="C30" s="40"/>
      <c r="D30" s="39"/>
      <c r="E30" s="39"/>
      <c r="F30" s="39"/>
      <c r="G30" s="39"/>
      <c r="H30" s="39"/>
      <c r="I30" s="34"/>
    </row>
    <row r="31" spans="1:10" x14ac:dyDescent="0.2">
      <c r="A31" s="20"/>
      <c r="B31" s="41" t="s">
        <v>2</v>
      </c>
      <c r="C31" s="40"/>
      <c r="D31" s="39"/>
      <c r="E31" s="39"/>
      <c r="F31" s="39"/>
      <c r="G31" s="39"/>
      <c r="H31" s="39"/>
      <c r="I31" s="34"/>
    </row>
    <row r="32" spans="1:10" x14ac:dyDescent="0.2">
      <c r="A32" s="20"/>
      <c r="B32" s="41" t="s">
        <v>52</v>
      </c>
      <c r="C32" s="40"/>
      <c r="D32" s="39"/>
      <c r="E32" s="39"/>
      <c r="F32" s="39"/>
      <c r="G32" s="39"/>
      <c r="H32" s="39"/>
      <c r="I32" s="34"/>
    </row>
    <row r="33" spans="1:12" x14ac:dyDescent="0.2">
      <c r="A33" s="20"/>
      <c r="B33" s="41" t="s">
        <v>30</v>
      </c>
      <c r="C33" s="40"/>
      <c r="D33" s="39"/>
      <c r="E33" s="39"/>
      <c r="F33" s="39"/>
      <c r="G33" s="39"/>
      <c r="H33" s="39"/>
      <c r="I33" s="34"/>
    </row>
    <row r="34" spans="1:12" x14ac:dyDescent="0.2">
      <c r="A34" s="20"/>
      <c r="B34" s="23" t="s">
        <v>26</v>
      </c>
      <c r="C34" s="39">
        <f t="shared" ref="C34:H34" si="2">SUM(C35:C37)</f>
        <v>0</v>
      </c>
      <c r="D34" s="39">
        <f t="shared" si="2"/>
        <v>0</v>
      </c>
      <c r="E34" s="39">
        <f t="shared" si="2"/>
        <v>0</v>
      </c>
      <c r="F34" s="39">
        <f t="shared" si="2"/>
        <v>0</v>
      </c>
      <c r="G34" s="39">
        <f t="shared" si="2"/>
        <v>0</v>
      </c>
      <c r="H34" s="39">
        <f t="shared" si="2"/>
        <v>0</v>
      </c>
      <c r="I34" s="4"/>
    </row>
    <row r="35" spans="1:12" x14ac:dyDescent="0.2">
      <c r="A35" s="20"/>
      <c r="B35" s="41" t="s">
        <v>3</v>
      </c>
      <c r="C35" s="40"/>
      <c r="D35" s="39"/>
      <c r="E35" s="39"/>
      <c r="F35" s="39"/>
      <c r="G35" s="39"/>
      <c r="H35" s="39"/>
      <c r="I35" s="34"/>
    </row>
    <row r="36" spans="1:12" x14ac:dyDescent="0.2">
      <c r="A36" s="20"/>
      <c r="B36" s="41" t="s">
        <v>4</v>
      </c>
      <c r="C36" s="40"/>
      <c r="D36" s="39"/>
      <c r="E36" s="39"/>
      <c r="F36" s="39"/>
      <c r="G36" s="39"/>
      <c r="H36" s="39"/>
      <c r="I36" s="34"/>
    </row>
    <row r="37" spans="1:12" ht="12.75" customHeight="1" x14ac:dyDescent="0.2">
      <c r="A37" s="20"/>
      <c r="B37" s="42" t="s">
        <v>5</v>
      </c>
      <c r="C37" s="40"/>
      <c r="D37" s="48"/>
      <c r="E37" s="48"/>
      <c r="F37" s="48"/>
      <c r="G37" s="48"/>
      <c r="H37" s="48"/>
      <c r="I37" s="34"/>
    </row>
    <row r="38" spans="1:12" ht="12.75" customHeight="1" x14ac:dyDescent="0.2">
      <c r="A38" s="20" t="s">
        <v>105</v>
      </c>
      <c r="B38" s="21" t="s">
        <v>35</v>
      </c>
      <c r="C38" s="16" t="s">
        <v>7</v>
      </c>
      <c r="D38" s="16" t="s">
        <v>45</v>
      </c>
      <c r="E38" s="16" t="s">
        <v>46</v>
      </c>
      <c r="F38" s="16" t="s">
        <v>47</v>
      </c>
      <c r="G38" s="16" t="s">
        <v>48</v>
      </c>
      <c r="H38" s="16" t="s">
        <v>41</v>
      </c>
    </row>
    <row r="39" spans="1:12" ht="12.75" customHeight="1" x14ac:dyDescent="0.2">
      <c r="A39" s="20"/>
      <c r="B39" s="25" t="s">
        <v>21</v>
      </c>
      <c r="C39" s="39">
        <f t="shared" ref="C39:H39" si="3">C40+C43</f>
        <v>0</v>
      </c>
      <c r="D39" s="39">
        <f t="shared" si="3"/>
        <v>0</v>
      </c>
      <c r="E39" s="39">
        <f t="shared" si="3"/>
        <v>0</v>
      </c>
      <c r="F39" s="39">
        <f t="shared" si="3"/>
        <v>0</v>
      </c>
      <c r="G39" s="39">
        <f t="shared" si="3"/>
        <v>0</v>
      </c>
      <c r="H39" s="39">
        <f t="shared" si="3"/>
        <v>0</v>
      </c>
      <c r="I39" s="4"/>
    </row>
    <row r="40" spans="1:12" ht="12.75" customHeight="1" x14ac:dyDescent="0.2">
      <c r="A40" s="20"/>
      <c r="B40" s="43" t="s">
        <v>19</v>
      </c>
      <c r="C40" s="39">
        <f t="shared" ref="C40:H40" si="4">C41+C42</f>
        <v>0</v>
      </c>
      <c r="D40" s="39">
        <f t="shared" si="4"/>
        <v>0</v>
      </c>
      <c r="E40" s="39">
        <f t="shared" si="4"/>
        <v>0</v>
      </c>
      <c r="F40" s="39">
        <f t="shared" si="4"/>
        <v>0</v>
      </c>
      <c r="G40" s="39">
        <f t="shared" si="4"/>
        <v>0</v>
      </c>
      <c r="H40" s="39">
        <f t="shared" si="4"/>
        <v>0</v>
      </c>
      <c r="I40" s="4"/>
    </row>
    <row r="41" spans="1:12" ht="12.75" customHeight="1" x14ac:dyDescent="0.2">
      <c r="A41" s="20"/>
      <c r="B41" s="44" t="s">
        <v>54</v>
      </c>
      <c r="C41" s="39"/>
      <c r="D41" s="39"/>
      <c r="E41" s="39"/>
      <c r="F41" s="39"/>
      <c r="G41" s="39"/>
      <c r="H41" s="39"/>
      <c r="I41" s="34"/>
    </row>
    <row r="42" spans="1:12" ht="12.75" customHeight="1" x14ac:dyDescent="0.2">
      <c r="A42" s="20"/>
      <c r="B42" s="44" t="s">
        <v>55</v>
      </c>
      <c r="C42" s="39"/>
      <c r="D42" s="39"/>
      <c r="E42" s="39"/>
      <c r="F42" s="39"/>
      <c r="G42" s="39"/>
      <c r="H42" s="39"/>
      <c r="I42" s="34"/>
    </row>
    <row r="43" spans="1:12" ht="12.75" customHeight="1" x14ac:dyDescent="0.2">
      <c r="A43" s="20"/>
      <c r="B43" s="43" t="s">
        <v>20</v>
      </c>
      <c r="C43" s="39"/>
      <c r="D43" s="39"/>
      <c r="E43" s="39"/>
      <c r="F43" s="39"/>
      <c r="G43" s="39"/>
      <c r="H43" s="39"/>
      <c r="I43" s="34"/>
    </row>
    <row r="44" spans="1:12" ht="12.75" customHeight="1" x14ac:dyDescent="0.2">
      <c r="A44" s="20" t="s">
        <v>106</v>
      </c>
      <c r="B44" s="21" t="s">
        <v>36</v>
      </c>
      <c r="C44" s="16" t="s">
        <v>7</v>
      </c>
      <c r="D44" s="16" t="s">
        <v>45</v>
      </c>
      <c r="E44" s="16" t="s">
        <v>46</v>
      </c>
      <c r="F44" s="16" t="s">
        <v>47</v>
      </c>
      <c r="G44" s="16" t="s">
        <v>48</v>
      </c>
      <c r="H44" s="16" t="s">
        <v>41</v>
      </c>
    </row>
    <row r="45" spans="1:12" ht="12.75" customHeight="1" x14ac:dyDescent="0.2">
      <c r="A45" s="20"/>
      <c r="B45" s="27" t="s">
        <v>22</v>
      </c>
      <c r="C45" s="39">
        <f t="shared" ref="C45:H45" si="5">C46+C49</f>
        <v>0</v>
      </c>
      <c r="D45" s="39">
        <f t="shared" si="5"/>
        <v>0</v>
      </c>
      <c r="E45" s="39">
        <f t="shared" si="5"/>
        <v>0</v>
      </c>
      <c r="F45" s="39">
        <f t="shared" si="5"/>
        <v>0</v>
      </c>
      <c r="G45" s="39">
        <f t="shared" si="5"/>
        <v>0</v>
      </c>
      <c r="H45" s="39">
        <f t="shared" si="5"/>
        <v>0</v>
      </c>
      <c r="I45" s="4"/>
    </row>
    <row r="46" spans="1:12" ht="12.75" customHeight="1" x14ac:dyDescent="0.2">
      <c r="A46" s="20"/>
      <c r="B46" s="41" t="s">
        <v>23</v>
      </c>
      <c r="C46" s="39">
        <f t="shared" ref="C46:H46" si="6">C47+C48</f>
        <v>0</v>
      </c>
      <c r="D46" s="39">
        <f t="shared" si="6"/>
        <v>0</v>
      </c>
      <c r="E46" s="39">
        <f t="shared" si="6"/>
        <v>0</v>
      </c>
      <c r="F46" s="39">
        <f t="shared" si="6"/>
        <v>0</v>
      </c>
      <c r="G46" s="39">
        <f t="shared" si="6"/>
        <v>0</v>
      </c>
      <c r="H46" s="39">
        <f t="shared" si="6"/>
        <v>0</v>
      </c>
      <c r="I46" s="4"/>
      <c r="K46" s="28"/>
      <c r="L46" s="28"/>
    </row>
    <row r="47" spans="1:12" ht="12.75" customHeight="1" x14ac:dyDescent="0.2">
      <c r="A47" s="20"/>
      <c r="B47" s="45" t="s">
        <v>54</v>
      </c>
      <c r="C47" s="39"/>
      <c r="D47" s="39"/>
      <c r="E47" s="39"/>
      <c r="F47" s="39"/>
      <c r="G47" s="39"/>
      <c r="H47" s="39"/>
      <c r="I47" s="34"/>
      <c r="K47" s="28"/>
      <c r="L47" s="28"/>
    </row>
    <row r="48" spans="1:12" ht="12.75" customHeight="1" x14ac:dyDescent="0.2">
      <c r="A48" s="20"/>
      <c r="B48" s="45" t="s">
        <v>55</v>
      </c>
      <c r="C48" s="39"/>
      <c r="D48" s="39"/>
      <c r="E48" s="39"/>
      <c r="F48" s="39"/>
      <c r="G48" s="39"/>
      <c r="H48" s="39"/>
      <c r="I48" s="34"/>
      <c r="K48" s="28"/>
      <c r="L48" s="28"/>
    </row>
    <row r="49" spans="1:12" ht="12.75" customHeight="1" x14ac:dyDescent="0.2">
      <c r="A49" s="20"/>
      <c r="B49" s="41" t="s">
        <v>24</v>
      </c>
      <c r="C49" s="39"/>
      <c r="D49" s="39"/>
      <c r="E49" s="39"/>
      <c r="F49" s="39"/>
      <c r="G49" s="39"/>
      <c r="H49" s="39"/>
      <c r="I49" s="34"/>
      <c r="K49" s="28"/>
      <c r="L49" s="28"/>
    </row>
    <row r="50" spans="1:12" ht="12.75" customHeight="1" x14ac:dyDescent="0.2">
      <c r="A50" s="20" t="s">
        <v>107</v>
      </c>
      <c r="B50" s="21" t="s">
        <v>38</v>
      </c>
      <c r="C50" s="26" t="s">
        <v>7</v>
      </c>
      <c r="D50" s="16" t="s">
        <v>45</v>
      </c>
      <c r="E50" s="16" t="s">
        <v>46</v>
      </c>
      <c r="F50" s="16" t="s">
        <v>47</v>
      </c>
      <c r="G50" s="16" t="s">
        <v>48</v>
      </c>
      <c r="H50" s="16" t="s">
        <v>41</v>
      </c>
      <c r="K50" s="28"/>
      <c r="L50" s="28"/>
    </row>
    <row r="51" spans="1:12" ht="12.75" customHeight="1" x14ac:dyDescent="0.2">
      <c r="A51" s="20"/>
      <c r="B51" s="30" t="s">
        <v>27</v>
      </c>
      <c r="C51" s="49"/>
      <c r="D51" s="49"/>
      <c r="E51" s="49"/>
      <c r="F51" s="49"/>
      <c r="G51" s="49"/>
      <c r="H51" s="49"/>
      <c r="I51" s="34"/>
      <c r="K51" s="28"/>
      <c r="L51" s="28"/>
    </row>
    <row r="52" spans="1:12" ht="12.75" customHeight="1" x14ac:dyDescent="0.2">
      <c r="A52" s="20"/>
      <c r="B52" s="24" t="s">
        <v>28</v>
      </c>
      <c r="C52" s="48"/>
      <c r="D52" s="48"/>
      <c r="E52" s="48"/>
      <c r="F52" s="48"/>
      <c r="G52" s="48"/>
      <c r="H52" s="48"/>
      <c r="I52" s="34"/>
      <c r="K52" s="28"/>
      <c r="L52" s="28"/>
    </row>
    <row r="53" spans="1:12" ht="12.75" customHeight="1" x14ac:dyDescent="0.2">
      <c r="B53" s="19"/>
      <c r="C53" s="34"/>
      <c r="D53" s="34"/>
      <c r="E53" s="34"/>
      <c r="F53" s="34"/>
      <c r="G53" s="34"/>
      <c r="H53" s="34"/>
      <c r="K53" s="28"/>
      <c r="L53" s="28"/>
    </row>
    <row r="54" spans="1:12" ht="12.75" customHeight="1" x14ac:dyDescent="0.2">
      <c r="A54" s="31" t="s">
        <v>108</v>
      </c>
      <c r="B54" s="13" t="s">
        <v>56</v>
      </c>
      <c r="C54" s="34"/>
      <c r="D54" s="34"/>
      <c r="E54" s="34"/>
      <c r="F54" s="34"/>
      <c r="G54" s="34"/>
      <c r="H54" s="34"/>
      <c r="K54" s="28"/>
      <c r="L54" s="28"/>
    </row>
    <row r="55" spans="1:12" x14ac:dyDescent="0.2">
      <c r="B55" s="16" t="s">
        <v>0</v>
      </c>
      <c r="C55" s="16" t="s">
        <v>7</v>
      </c>
      <c r="D55" s="16" t="s">
        <v>45</v>
      </c>
      <c r="E55" s="16" t="s">
        <v>46</v>
      </c>
      <c r="F55" s="16" t="s">
        <v>47</v>
      </c>
      <c r="G55" s="16" t="s">
        <v>48</v>
      </c>
      <c r="H55" s="16" t="s">
        <v>41</v>
      </c>
      <c r="I55" s="17"/>
    </row>
    <row r="56" spans="1:12" ht="12.75" customHeight="1" x14ac:dyDescent="0.2">
      <c r="A56" s="20"/>
      <c r="B56" s="22" t="s">
        <v>61</v>
      </c>
      <c r="C56" s="40">
        <f t="shared" ref="C56:H56" si="7">C57+C58</f>
        <v>0</v>
      </c>
      <c r="D56" s="40">
        <f t="shared" si="7"/>
        <v>0</v>
      </c>
      <c r="E56" s="40">
        <f t="shared" si="7"/>
        <v>0</v>
      </c>
      <c r="F56" s="40">
        <f t="shared" si="7"/>
        <v>0</v>
      </c>
      <c r="G56" s="40">
        <f t="shared" si="7"/>
        <v>0</v>
      </c>
      <c r="H56" s="40">
        <f t="shared" si="7"/>
        <v>0</v>
      </c>
      <c r="I56" s="4"/>
      <c r="K56" s="28"/>
      <c r="L56" s="28"/>
    </row>
    <row r="57" spans="1:12" ht="12.75" customHeight="1" x14ac:dyDescent="0.2">
      <c r="A57" s="20"/>
      <c r="B57" s="41" t="s">
        <v>59</v>
      </c>
      <c r="C57" s="40"/>
      <c r="D57" s="40"/>
      <c r="E57" s="40"/>
      <c r="F57" s="40"/>
      <c r="G57" s="40"/>
      <c r="H57" s="40"/>
      <c r="I57" s="34"/>
      <c r="K57" s="28"/>
      <c r="L57" s="28"/>
    </row>
    <row r="58" spans="1:12" ht="12.75" customHeight="1" x14ac:dyDescent="0.2">
      <c r="A58" s="20"/>
      <c r="B58" s="41" t="s">
        <v>60</v>
      </c>
      <c r="C58" s="40"/>
      <c r="D58" s="40"/>
      <c r="E58" s="40"/>
      <c r="F58" s="40"/>
      <c r="G58" s="40"/>
      <c r="H58" s="40"/>
      <c r="I58" s="34"/>
      <c r="K58" s="28"/>
      <c r="L58" s="28"/>
    </row>
    <row r="59" spans="1:12" ht="12.75" customHeight="1" x14ac:dyDescent="0.2">
      <c r="A59" s="20"/>
      <c r="B59" s="22" t="s">
        <v>62</v>
      </c>
      <c r="C59" s="40">
        <f t="shared" ref="C59:H59" si="8">C60+C61</f>
        <v>0</v>
      </c>
      <c r="D59" s="40">
        <f t="shared" si="8"/>
        <v>0</v>
      </c>
      <c r="E59" s="40">
        <f t="shared" si="8"/>
        <v>0</v>
      </c>
      <c r="F59" s="40">
        <f t="shared" si="8"/>
        <v>0</v>
      </c>
      <c r="G59" s="40">
        <f t="shared" si="8"/>
        <v>0</v>
      </c>
      <c r="H59" s="40">
        <f t="shared" si="8"/>
        <v>0</v>
      </c>
      <c r="I59" s="4"/>
      <c r="K59" s="28"/>
      <c r="L59" s="28"/>
    </row>
    <row r="60" spans="1:12" ht="12.75" customHeight="1" x14ac:dyDescent="0.2">
      <c r="A60" s="20"/>
      <c r="B60" s="41" t="s">
        <v>57</v>
      </c>
      <c r="C60" s="40"/>
      <c r="D60" s="40"/>
      <c r="E60" s="40"/>
      <c r="F60" s="40"/>
      <c r="G60" s="40"/>
      <c r="H60" s="40"/>
      <c r="I60" s="34"/>
      <c r="K60" s="28"/>
      <c r="L60" s="28"/>
    </row>
    <row r="61" spans="1:12" ht="12.75" customHeight="1" x14ac:dyDescent="0.2">
      <c r="A61" s="20"/>
      <c r="B61" s="41" t="s">
        <v>58</v>
      </c>
      <c r="C61" s="40"/>
      <c r="D61" s="40"/>
      <c r="E61" s="40"/>
      <c r="F61" s="40"/>
      <c r="G61" s="40"/>
      <c r="H61" s="40"/>
      <c r="I61" s="34"/>
      <c r="K61" s="28"/>
      <c r="L61" s="28"/>
    </row>
    <row r="62" spans="1:12" ht="12.75" customHeight="1" x14ac:dyDescent="0.2">
      <c r="A62" s="20"/>
      <c r="B62" s="22" t="s">
        <v>63</v>
      </c>
      <c r="C62" s="40">
        <f t="shared" ref="C62:H62" si="9">C63+C64</f>
        <v>0</v>
      </c>
      <c r="D62" s="40">
        <f t="shared" si="9"/>
        <v>0</v>
      </c>
      <c r="E62" s="40">
        <f t="shared" si="9"/>
        <v>0</v>
      </c>
      <c r="F62" s="40">
        <f t="shared" si="9"/>
        <v>0</v>
      </c>
      <c r="G62" s="40">
        <f t="shared" si="9"/>
        <v>0</v>
      </c>
      <c r="H62" s="40">
        <f t="shared" si="9"/>
        <v>0</v>
      </c>
      <c r="I62" s="4"/>
      <c r="K62" s="28"/>
      <c r="L62" s="28"/>
    </row>
    <row r="63" spans="1:12" ht="12.75" customHeight="1" x14ac:dyDescent="0.2">
      <c r="A63" s="20"/>
      <c r="B63" s="41" t="s">
        <v>65</v>
      </c>
      <c r="C63" s="40"/>
      <c r="D63" s="40"/>
      <c r="E63" s="40"/>
      <c r="F63" s="40"/>
      <c r="G63" s="40"/>
      <c r="H63" s="40"/>
      <c r="I63" s="201"/>
      <c r="K63" s="28"/>
      <c r="L63" s="28"/>
    </row>
    <row r="64" spans="1:12" ht="12.75" customHeight="1" x14ac:dyDescent="0.2">
      <c r="A64" s="20"/>
      <c r="B64" s="42" t="s">
        <v>64</v>
      </c>
      <c r="C64" s="47"/>
      <c r="D64" s="47"/>
      <c r="E64" s="47"/>
      <c r="F64" s="47"/>
      <c r="G64" s="47"/>
      <c r="H64" s="47"/>
      <c r="I64" s="201"/>
      <c r="K64" s="28"/>
      <c r="L64" s="28"/>
    </row>
    <row r="65" spans="1:12" ht="12.75" customHeight="1" x14ac:dyDescent="0.2">
      <c r="B65" s="53"/>
      <c r="C65" s="46"/>
      <c r="D65" s="46"/>
      <c r="E65" s="46"/>
      <c r="F65" s="46"/>
      <c r="G65" s="46"/>
      <c r="H65" s="46"/>
      <c r="I65" s="34"/>
      <c r="K65" s="28"/>
      <c r="L65" s="28"/>
    </row>
    <row r="66" spans="1:12" x14ac:dyDescent="0.2">
      <c r="A66" s="12" t="s">
        <v>109</v>
      </c>
      <c r="B66" s="13" t="s">
        <v>69</v>
      </c>
      <c r="C66" s="14"/>
      <c r="D66" s="4"/>
      <c r="E66" s="34"/>
      <c r="F66" s="34"/>
      <c r="G66" s="34"/>
      <c r="H66" s="34"/>
    </row>
    <row r="67" spans="1:12" x14ac:dyDescent="0.2">
      <c r="A67" s="20"/>
      <c r="B67" s="54" t="s">
        <v>11</v>
      </c>
      <c r="C67" s="16" t="s">
        <v>7</v>
      </c>
      <c r="D67" s="16" t="s">
        <v>45</v>
      </c>
      <c r="E67" s="16" t="s">
        <v>46</v>
      </c>
      <c r="F67" s="16" t="s">
        <v>47</v>
      </c>
      <c r="G67" s="16" t="s">
        <v>48</v>
      </c>
      <c r="H67" s="16" t="s">
        <v>41</v>
      </c>
    </row>
    <row r="68" spans="1:12" x14ac:dyDescent="0.2">
      <c r="A68" s="20"/>
      <c r="B68" s="32" t="s">
        <v>13</v>
      </c>
      <c r="C68" s="51">
        <f t="shared" ref="C68:H68" si="10">C69+C70+C71</f>
        <v>0</v>
      </c>
      <c r="D68" s="51">
        <f t="shared" si="10"/>
        <v>0</v>
      </c>
      <c r="E68" s="51">
        <f t="shared" si="10"/>
        <v>0</v>
      </c>
      <c r="F68" s="51">
        <f t="shared" si="10"/>
        <v>0</v>
      </c>
      <c r="G68" s="51">
        <f t="shared" si="10"/>
        <v>0</v>
      </c>
      <c r="H68" s="51">
        <f t="shared" si="10"/>
        <v>0</v>
      </c>
      <c r="I68" s="4"/>
    </row>
    <row r="69" spans="1:12" x14ac:dyDescent="0.2">
      <c r="A69" s="20"/>
      <c r="B69" s="41" t="s">
        <v>66</v>
      </c>
      <c r="C69" s="40"/>
      <c r="D69" s="40"/>
      <c r="E69" s="40"/>
      <c r="F69" s="40"/>
      <c r="G69" s="40"/>
      <c r="H69" s="40"/>
      <c r="I69" s="34"/>
    </row>
    <row r="70" spans="1:12" x14ac:dyDescent="0.2">
      <c r="A70" s="20"/>
      <c r="B70" s="41" t="s">
        <v>67</v>
      </c>
      <c r="C70" s="40"/>
      <c r="D70" s="40"/>
      <c r="E70" s="40"/>
      <c r="F70" s="40"/>
      <c r="G70" s="40"/>
      <c r="H70" s="40"/>
      <c r="I70" s="34"/>
    </row>
    <row r="71" spans="1:12" x14ac:dyDescent="0.2">
      <c r="A71" s="20"/>
      <c r="B71" s="41" t="s">
        <v>68</v>
      </c>
      <c r="C71" s="40"/>
      <c r="D71" s="40"/>
      <c r="E71" s="40"/>
      <c r="F71" s="40"/>
      <c r="G71" s="40"/>
      <c r="H71" s="40"/>
      <c r="I71" s="34"/>
    </row>
    <row r="72" spans="1:12" ht="12.75" customHeight="1" x14ac:dyDescent="0.2">
      <c r="A72" s="20"/>
      <c r="B72" s="15" t="s">
        <v>14</v>
      </c>
      <c r="C72" s="40"/>
      <c r="D72" s="40"/>
      <c r="E72" s="40"/>
      <c r="F72" s="40"/>
      <c r="G72" s="40"/>
      <c r="H72" s="40"/>
      <c r="I72" s="34"/>
    </row>
    <row r="73" spans="1:12" ht="12.75" customHeight="1" x14ac:dyDescent="0.2">
      <c r="A73" s="20"/>
      <c r="B73" s="15" t="s">
        <v>15</v>
      </c>
      <c r="C73" s="40"/>
      <c r="D73" s="40"/>
      <c r="E73" s="40"/>
      <c r="F73" s="40"/>
      <c r="G73" s="40"/>
      <c r="H73" s="40"/>
      <c r="I73" s="201"/>
    </row>
    <row r="74" spans="1:12" ht="12.75" customHeight="1" x14ac:dyDescent="0.2">
      <c r="A74" s="20"/>
      <c r="B74" s="33" t="s">
        <v>16</v>
      </c>
      <c r="C74" s="47"/>
      <c r="D74" s="47"/>
      <c r="E74" s="47"/>
      <c r="F74" s="47"/>
      <c r="G74" s="47"/>
      <c r="H74" s="47"/>
      <c r="I74" s="34"/>
    </row>
    <row r="75" spans="1:12" ht="12.75" customHeight="1" x14ac:dyDescent="0.2">
      <c r="B75" s="53"/>
      <c r="C75" s="46"/>
      <c r="D75" s="46"/>
      <c r="E75" s="46"/>
      <c r="F75" s="46"/>
      <c r="G75" s="46"/>
      <c r="H75" s="46"/>
      <c r="I75" s="34"/>
      <c r="K75" s="28"/>
      <c r="L75" s="28"/>
    </row>
    <row r="76" spans="1:12" x14ac:dyDescent="0.2">
      <c r="A76" s="12" t="s">
        <v>110</v>
      </c>
      <c r="B76" s="13" t="s">
        <v>70</v>
      </c>
      <c r="C76" s="14"/>
      <c r="D76" s="4"/>
      <c r="E76" s="34"/>
      <c r="F76" s="34"/>
      <c r="G76" s="34"/>
      <c r="H76" s="34"/>
    </row>
    <row r="77" spans="1:12" x14ac:dyDescent="0.2">
      <c r="A77" s="20"/>
      <c r="B77" s="54" t="s">
        <v>11</v>
      </c>
      <c r="C77" s="16" t="s">
        <v>7</v>
      </c>
      <c r="D77" s="16" t="s">
        <v>45</v>
      </c>
      <c r="E77" s="16" t="s">
        <v>46</v>
      </c>
      <c r="F77" s="16" t="s">
        <v>47</v>
      </c>
      <c r="G77" s="16" t="s">
        <v>48</v>
      </c>
      <c r="H77" s="16" t="s">
        <v>41</v>
      </c>
    </row>
    <row r="78" spans="1:12" x14ac:dyDescent="0.2">
      <c r="A78" s="20"/>
      <c r="B78" s="29" t="s">
        <v>71</v>
      </c>
      <c r="C78" s="40"/>
      <c r="D78" s="210"/>
      <c r="E78" s="211"/>
      <c r="F78" s="211"/>
      <c r="G78" s="211"/>
      <c r="H78" s="212"/>
      <c r="I78" s="34"/>
    </row>
    <row r="79" spans="1:12" x14ac:dyDescent="0.2">
      <c r="A79" s="20"/>
      <c r="B79" s="29" t="s">
        <v>72</v>
      </c>
      <c r="C79" s="40"/>
      <c r="D79" s="213"/>
      <c r="E79" s="214"/>
      <c r="F79" s="214"/>
      <c r="G79" s="214"/>
      <c r="H79" s="215"/>
      <c r="I79" s="34"/>
    </row>
    <row r="80" spans="1:12" x14ac:dyDescent="0.2">
      <c r="A80" s="20"/>
      <c r="B80" s="29" t="s">
        <v>73</v>
      </c>
      <c r="C80" s="40"/>
      <c r="D80" s="213"/>
      <c r="E80" s="214"/>
      <c r="F80" s="214"/>
      <c r="G80" s="214"/>
      <c r="H80" s="215"/>
      <c r="I80" s="201"/>
    </row>
    <row r="81" spans="1:12" ht="12.75" customHeight="1" x14ac:dyDescent="0.2">
      <c r="A81" s="20"/>
      <c r="B81" s="15" t="s">
        <v>74</v>
      </c>
      <c r="C81" s="40"/>
      <c r="D81" s="40"/>
      <c r="E81" s="40"/>
      <c r="F81" s="40"/>
      <c r="G81" s="40"/>
      <c r="H81" s="40"/>
      <c r="I81" s="201"/>
    </row>
    <row r="82" spans="1:12" ht="12.75" customHeight="1" x14ac:dyDescent="0.2">
      <c r="A82" s="20"/>
      <c r="B82" s="15" t="s">
        <v>75</v>
      </c>
      <c r="C82" s="40"/>
      <c r="D82" s="40"/>
      <c r="E82" s="40"/>
      <c r="F82" s="40"/>
      <c r="G82" s="40"/>
      <c r="H82" s="40"/>
      <c r="I82" s="202"/>
    </row>
    <row r="83" spans="1:12" ht="13.5" customHeight="1" x14ac:dyDescent="0.2">
      <c r="A83" s="20"/>
      <c r="B83" s="33" t="s">
        <v>76</v>
      </c>
      <c r="C83" s="47"/>
      <c r="D83" s="47"/>
      <c r="E83" s="47"/>
      <c r="F83" s="47"/>
      <c r="G83" s="47"/>
      <c r="H83" s="47"/>
      <c r="I83" s="202"/>
    </row>
    <row r="84" spans="1:12" ht="12.75" customHeight="1" x14ac:dyDescent="0.2">
      <c r="B84" s="52"/>
      <c r="C84" s="46"/>
      <c r="D84" s="46"/>
      <c r="E84" s="46"/>
      <c r="F84" s="46"/>
      <c r="G84" s="46"/>
      <c r="H84" s="46"/>
      <c r="K84" s="28"/>
      <c r="L84" s="28"/>
    </row>
    <row r="85" spans="1:12" ht="12.75" customHeight="1" x14ac:dyDescent="0.2">
      <c r="A85" s="31" t="s">
        <v>111</v>
      </c>
      <c r="B85" s="13" t="s">
        <v>77</v>
      </c>
      <c r="C85" s="34"/>
      <c r="D85" s="34"/>
      <c r="E85" s="34"/>
      <c r="F85" s="34"/>
      <c r="G85" s="34"/>
      <c r="H85" s="34"/>
      <c r="K85" s="28"/>
      <c r="L85" s="28"/>
    </row>
    <row r="86" spans="1:12" x14ac:dyDescent="0.2">
      <c r="B86" s="16" t="s">
        <v>0</v>
      </c>
      <c r="C86" s="16" t="s">
        <v>7</v>
      </c>
      <c r="D86" s="16" t="s">
        <v>45</v>
      </c>
      <c r="E86" s="16" t="s">
        <v>46</v>
      </c>
      <c r="F86" s="16" t="s">
        <v>47</v>
      </c>
      <c r="G86" s="16" t="s">
        <v>48</v>
      </c>
      <c r="H86" s="16" t="s">
        <v>41</v>
      </c>
      <c r="I86" s="17"/>
    </row>
    <row r="87" spans="1:12" ht="12.75" customHeight="1" x14ac:dyDescent="0.2">
      <c r="A87" s="20"/>
      <c r="B87" s="27" t="s">
        <v>78</v>
      </c>
      <c r="C87" s="49">
        <f>C88+C91</f>
        <v>0</v>
      </c>
      <c r="D87" s="49">
        <f t="shared" ref="D87:H87" si="11">D88+D91</f>
        <v>0</v>
      </c>
      <c r="E87" s="49">
        <f t="shared" si="11"/>
        <v>0</v>
      </c>
      <c r="F87" s="49">
        <f t="shared" si="11"/>
        <v>0</v>
      </c>
      <c r="G87" s="49">
        <f t="shared" si="11"/>
        <v>0</v>
      </c>
      <c r="H87" s="49">
        <f t="shared" si="11"/>
        <v>0</v>
      </c>
      <c r="K87" s="28"/>
      <c r="L87" s="28"/>
    </row>
    <row r="88" spans="1:12" ht="12.75" customHeight="1" x14ac:dyDescent="0.2">
      <c r="A88" s="20"/>
      <c r="B88" s="56" t="s">
        <v>79</v>
      </c>
      <c r="C88" s="40">
        <f>SUM(C89:C90)</f>
        <v>0</v>
      </c>
      <c r="D88" s="40">
        <f t="shared" ref="D88:H88" si="12">SUM(D89:D90)</f>
        <v>0</v>
      </c>
      <c r="E88" s="40">
        <f t="shared" si="12"/>
        <v>0</v>
      </c>
      <c r="F88" s="40">
        <f t="shared" si="12"/>
        <v>0</v>
      </c>
      <c r="G88" s="40">
        <f t="shared" si="12"/>
        <v>0</v>
      </c>
      <c r="H88" s="40">
        <f t="shared" si="12"/>
        <v>0</v>
      </c>
      <c r="K88" s="28"/>
      <c r="L88" s="28"/>
    </row>
    <row r="89" spans="1:12" ht="12.75" customHeight="1" x14ac:dyDescent="0.2">
      <c r="A89" s="20"/>
      <c r="B89" s="45" t="s">
        <v>80</v>
      </c>
      <c r="C89" s="40"/>
      <c r="D89" s="40"/>
      <c r="E89" s="40"/>
      <c r="F89" s="40"/>
      <c r="G89" s="40"/>
      <c r="H89" s="40"/>
      <c r="I89" s="34"/>
      <c r="K89" s="28"/>
      <c r="L89" s="28"/>
    </row>
    <row r="90" spans="1:12" ht="12.75" customHeight="1" x14ac:dyDescent="0.2">
      <c r="A90" s="20"/>
      <c r="B90" s="45" t="s">
        <v>81</v>
      </c>
      <c r="C90" s="40"/>
      <c r="D90" s="40"/>
      <c r="E90" s="40"/>
      <c r="F90" s="40"/>
      <c r="G90" s="40"/>
      <c r="H90" s="40"/>
      <c r="I90" s="34"/>
      <c r="K90" s="28"/>
      <c r="L90" s="28"/>
    </row>
    <row r="91" spans="1:12" ht="12.75" customHeight="1" x14ac:dyDescent="0.2">
      <c r="A91" s="20"/>
      <c r="B91" s="56" t="s">
        <v>84</v>
      </c>
      <c r="C91" s="40">
        <f>SUM(C92:C93)</f>
        <v>0</v>
      </c>
      <c r="D91" s="40">
        <f t="shared" ref="D91:H91" si="13">SUM(D92:D93)</f>
        <v>0</v>
      </c>
      <c r="E91" s="40">
        <f t="shared" si="13"/>
        <v>0</v>
      </c>
      <c r="F91" s="40">
        <f t="shared" si="13"/>
        <v>0</v>
      </c>
      <c r="G91" s="40">
        <f t="shared" si="13"/>
        <v>0</v>
      </c>
      <c r="H91" s="40">
        <f t="shared" si="13"/>
        <v>0</v>
      </c>
      <c r="K91" s="28"/>
      <c r="L91" s="28"/>
    </row>
    <row r="92" spans="1:12" ht="12.75" customHeight="1" x14ac:dyDescent="0.2">
      <c r="A92" s="20"/>
      <c r="B92" s="45" t="s">
        <v>82</v>
      </c>
      <c r="C92" s="40"/>
      <c r="D92" s="40"/>
      <c r="E92" s="40"/>
      <c r="F92" s="40"/>
      <c r="G92" s="40"/>
      <c r="H92" s="40"/>
      <c r="K92" s="28"/>
      <c r="L92" s="28"/>
    </row>
    <row r="93" spans="1:12" ht="12.75" customHeight="1" x14ac:dyDescent="0.2">
      <c r="A93" s="20"/>
      <c r="B93" s="45" t="s">
        <v>81</v>
      </c>
      <c r="C93" s="40"/>
      <c r="D93" s="40"/>
      <c r="E93" s="40"/>
      <c r="F93" s="40"/>
      <c r="G93" s="40"/>
      <c r="H93" s="40"/>
      <c r="I93" s="34"/>
      <c r="K93" s="28"/>
      <c r="L93" s="28"/>
    </row>
    <row r="94" spans="1:12" ht="12.75" customHeight="1" x14ac:dyDescent="0.2">
      <c r="A94" s="20"/>
      <c r="B94" s="55" t="s">
        <v>83</v>
      </c>
      <c r="C94" s="47"/>
      <c r="D94" s="47"/>
      <c r="E94" s="47"/>
      <c r="F94" s="47"/>
      <c r="G94" s="47"/>
      <c r="H94" s="47"/>
      <c r="K94" s="28"/>
      <c r="L94" s="28"/>
    </row>
    <row r="95" spans="1:12" ht="12.75" customHeight="1" x14ac:dyDescent="0.2">
      <c r="B95" s="19"/>
      <c r="C95" s="34"/>
      <c r="D95" s="34"/>
      <c r="E95" s="34"/>
      <c r="F95" s="34"/>
      <c r="G95" s="34"/>
      <c r="H95" s="34"/>
      <c r="K95" s="28"/>
      <c r="L95" s="28"/>
    </row>
    <row r="96" spans="1:12" ht="12.75" customHeight="1" x14ac:dyDescent="0.2">
      <c r="A96" s="31" t="s">
        <v>112</v>
      </c>
      <c r="B96" s="13" t="s">
        <v>85</v>
      </c>
      <c r="C96" s="14"/>
      <c r="D96" s="4"/>
      <c r="E96" s="34"/>
      <c r="F96" s="34"/>
      <c r="G96" s="34"/>
      <c r="H96" s="34"/>
      <c r="K96" s="28"/>
      <c r="L96" s="28"/>
    </row>
    <row r="97" spans="1:12" ht="12.75" customHeight="1" x14ac:dyDescent="0.2">
      <c r="B97" s="54" t="s">
        <v>11</v>
      </c>
      <c r="C97" s="16" t="s">
        <v>7</v>
      </c>
      <c r="D97" s="16" t="s">
        <v>45</v>
      </c>
      <c r="E97" s="16" t="s">
        <v>46</v>
      </c>
      <c r="F97" s="16" t="s">
        <v>47</v>
      </c>
      <c r="G97" s="16" t="s">
        <v>48</v>
      </c>
      <c r="H97" s="16" t="s">
        <v>41</v>
      </c>
      <c r="K97" s="28"/>
      <c r="L97" s="28"/>
    </row>
    <row r="98" spans="1:12" ht="12.75" customHeight="1" x14ac:dyDescent="0.2">
      <c r="A98" s="20"/>
      <c r="B98" s="29" t="s">
        <v>86</v>
      </c>
      <c r="C98" s="40"/>
      <c r="D98" s="40"/>
      <c r="E98" s="40"/>
      <c r="F98" s="40"/>
      <c r="G98" s="40"/>
      <c r="H98" s="40"/>
      <c r="I98" s="201"/>
      <c r="K98" s="28"/>
      <c r="L98" s="28"/>
    </row>
    <row r="99" spans="1:12" ht="12.75" customHeight="1" x14ac:dyDescent="0.2">
      <c r="A99" s="20"/>
      <c r="B99" s="29" t="s">
        <v>87</v>
      </c>
      <c r="C99" s="40"/>
      <c r="D99" s="40"/>
      <c r="E99" s="40"/>
      <c r="F99" s="40"/>
      <c r="G99" s="40"/>
      <c r="H99" s="40"/>
      <c r="I99" s="201"/>
      <c r="K99" s="28"/>
      <c r="L99" s="28"/>
    </row>
    <row r="100" spans="1:12" ht="12.75" customHeight="1" x14ac:dyDescent="0.2">
      <c r="A100" s="20"/>
      <c r="B100" s="33" t="s">
        <v>88</v>
      </c>
      <c r="C100" s="47"/>
      <c r="D100" s="47"/>
      <c r="E100" s="47"/>
      <c r="F100" s="47"/>
      <c r="G100" s="47"/>
      <c r="H100" s="47"/>
      <c r="I100" s="201"/>
      <c r="K100" s="28"/>
      <c r="L100" s="28"/>
    </row>
    <row r="101" spans="1:12" ht="12.75" customHeight="1" x14ac:dyDescent="0.2">
      <c r="B101" s="19"/>
      <c r="C101" s="34"/>
      <c r="D101" s="34"/>
      <c r="E101" s="34"/>
      <c r="F101" s="34"/>
      <c r="G101" s="34"/>
      <c r="H101" s="34"/>
      <c r="K101" s="28"/>
      <c r="L101" s="28"/>
    </row>
    <row r="102" spans="1:12" ht="12.75" customHeight="1" x14ac:dyDescent="0.2">
      <c r="A102" s="31" t="s">
        <v>113</v>
      </c>
      <c r="B102" s="13" t="s">
        <v>89</v>
      </c>
      <c r="C102" s="14"/>
      <c r="D102" s="4"/>
      <c r="E102" s="34"/>
      <c r="F102" s="34"/>
      <c r="G102" s="34"/>
      <c r="H102" s="34"/>
      <c r="K102" s="28"/>
      <c r="L102" s="28"/>
    </row>
    <row r="103" spans="1:12" ht="12.75" customHeight="1" x14ac:dyDescent="0.2">
      <c r="B103" s="57" t="s">
        <v>11</v>
      </c>
      <c r="C103" s="16" t="s">
        <v>7</v>
      </c>
      <c r="D103" s="16" t="s">
        <v>45</v>
      </c>
      <c r="E103" s="16" t="s">
        <v>46</v>
      </c>
      <c r="F103" s="16" t="s">
        <v>47</v>
      </c>
      <c r="G103" s="16" t="s">
        <v>48</v>
      </c>
      <c r="H103" s="16" t="s">
        <v>41</v>
      </c>
      <c r="K103" s="28"/>
      <c r="L103" s="28"/>
    </row>
    <row r="104" spans="1:12" ht="12.75" customHeight="1" x14ac:dyDescent="0.2">
      <c r="A104" s="20"/>
      <c r="B104" s="58" t="s">
        <v>90</v>
      </c>
      <c r="C104" s="50"/>
      <c r="D104" s="216"/>
      <c r="E104" s="217"/>
      <c r="F104" s="217"/>
      <c r="G104" s="217"/>
      <c r="H104" s="218"/>
      <c r="I104" s="34"/>
      <c r="K104" s="28"/>
      <c r="L104" s="28"/>
    </row>
    <row r="105" spans="1:12" ht="12.75" customHeight="1" x14ac:dyDescent="0.2">
      <c r="B105" s="19"/>
      <c r="C105" s="34"/>
      <c r="D105" s="34"/>
      <c r="E105" s="34"/>
      <c r="F105" s="34"/>
      <c r="G105" s="34"/>
      <c r="H105" s="34"/>
      <c r="K105" s="28"/>
      <c r="L105" s="28"/>
    </row>
    <row r="106" spans="1:12" ht="12.75" customHeight="1" x14ac:dyDescent="0.2">
      <c r="A106" s="31" t="s">
        <v>114</v>
      </c>
      <c r="B106" s="13" t="s">
        <v>91</v>
      </c>
      <c r="C106" s="34"/>
      <c r="D106" s="34"/>
      <c r="E106" s="34"/>
      <c r="F106" s="34"/>
      <c r="G106" s="34"/>
      <c r="H106" s="34"/>
      <c r="K106" s="28"/>
      <c r="L106" s="28"/>
    </row>
    <row r="107" spans="1:12" x14ac:dyDescent="0.2">
      <c r="B107" s="16" t="s">
        <v>0</v>
      </c>
      <c r="C107" s="16" t="s">
        <v>7</v>
      </c>
      <c r="D107" s="16" t="s">
        <v>45</v>
      </c>
      <c r="E107" s="16" t="s">
        <v>46</v>
      </c>
      <c r="F107" s="16" t="s">
        <v>47</v>
      </c>
      <c r="G107" s="16" t="s">
        <v>48</v>
      </c>
      <c r="H107" s="16" t="s">
        <v>41</v>
      </c>
      <c r="J107" s="17"/>
    </row>
    <row r="108" spans="1:12" ht="12.75" customHeight="1" x14ac:dyDescent="0.2">
      <c r="A108" s="20"/>
      <c r="B108" s="27" t="s">
        <v>92</v>
      </c>
      <c r="C108" s="49">
        <f>C109+C110</f>
        <v>0</v>
      </c>
      <c r="D108" s="49">
        <f t="shared" ref="D108:H108" si="14">D109+D110</f>
        <v>0</v>
      </c>
      <c r="E108" s="49">
        <f t="shared" si="14"/>
        <v>0</v>
      </c>
      <c r="F108" s="49">
        <f t="shared" si="14"/>
        <v>0</v>
      </c>
      <c r="G108" s="49">
        <f t="shared" si="14"/>
        <v>0</v>
      </c>
      <c r="H108" s="49">
        <f t="shared" si="14"/>
        <v>0</v>
      </c>
      <c r="K108" s="28"/>
      <c r="L108" s="28"/>
    </row>
    <row r="109" spans="1:12" ht="12.75" customHeight="1" x14ac:dyDescent="0.2">
      <c r="A109" s="20"/>
      <c r="B109" s="41" t="s">
        <v>82</v>
      </c>
      <c r="C109" s="40"/>
      <c r="D109" s="40"/>
      <c r="E109" s="40"/>
      <c r="F109" s="40"/>
      <c r="G109" s="40"/>
      <c r="H109" s="40"/>
      <c r="I109" s="34"/>
      <c r="K109" s="28"/>
      <c r="L109" s="28"/>
    </row>
    <row r="110" spans="1:12" x14ac:dyDescent="0.2">
      <c r="A110" s="20"/>
      <c r="B110" s="42" t="s">
        <v>81</v>
      </c>
      <c r="C110" s="47"/>
      <c r="D110" s="47"/>
      <c r="E110" s="47"/>
      <c r="F110" s="47"/>
      <c r="G110" s="47"/>
      <c r="H110" s="47"/>
      <c r="I110" s="34"/>
    </row>
    <row r="111" spans="1:12" x14ac:dyDescent="0.2">
      <c r="B111" s="19"/>
      <c r="C111" s="34"/>
      <c r="D111" s="34"/>
      <c r="E111" s="34"/>
      <c r="F111" s="34"/>
      <c r="G111" s="34"/>
      <c r="H111" s="34"/>
    </row>
    <row r="112" spans="1:12" ht="12.75" customHeight="1" x14ac:dyDescent="0.2">
      <c r="A112" s="31" t="s">
        <v>115</v>
      </c>
      <c r="B112" s="13" t="s">
        <v>93</v>
      </c>
      <c r="C112" s="34"/>
      <c r="D112" s="34"/>
      <c r="E112" s="34"/>
      <c r="F112" s="34"/>
      <c r="G112" s="34"/>
      <c r="H112" s="34"/>
      <c r="K112" s="28"/>
      <c r="L112" s="28"/>
    </row>
    <row r="113" spans="1:12" x14ac:dyDescent="0.2">
      <c r="B113" s="16" t="s">
        <v>0</v>
      </c>
      <c r="C113" s="16" t="s">
        <v>7</v>
      </c>
      <c r="D113" s="16" t="s">
        <v>45</v>
      </c>
      <c r="E113" s="16" t="s">
        <v>46</v>
      </c>
      <c r="F113" s="16" t="s">
        <v>47</v>
      </c>
      <c r="G113" s="16" t="s">
        <v>48</v>
      </c>
      <c r="H113" s="16" t="s">
        <v>41</v>
      </c>
    </row>
    <row r="114" spans="1:12" ht="12.75" customHeight="1" x14ac:dyDescent="0.2">
      <c r="A114" s="20"/>
      <c r="B114" s="27" t="s">
        <v>94</v>
      </c>
      <c r="C114" s="49">
        <f>SUM(C115:C119)</f>
        <v>0</v>
      </c>
      <c r="D114" s="49">
        <f t="shared" ref="D114:H114" si="15">SUM(D115:D119)</f>
        <v>0</v>
      </c>
      <c r="E114" s="49">
        <f t="shared" si="15"/>
        <v>0</v>
      </c>
      <c r="F114" s="49">
        <f t="shared" si="15"/>
        <v>0</v>
      </c>
      <c r="G114" s="49">
        <f t="shared" si="15"/>
        <v>0</v>
      </c>
      <c r="H114" s="49">
        <f t="shared" si="15"/>
        <v>0</v>
      </c>
      <c r="K114" s="28"/>
      <c r="L114" s="28"/>
    </row>
    <row r="115" spans="1:12" ht="12.75" customHeight="1" x14ac:dyDescent="0.2">
      <c r="A115" s="20"/>
      <c r="B115" s="41" t="s">
        <v>29</v>
      </c>
      <c r="C115" s="39"/>
      <c r="D115" s="40"/>
      <c r="E115" s="40"/>
      <c r="F115" s="40"/>
      <c r="G115" s="40"/>
      <c r="H115" s="40"/>
      <c r="I115" s="34"/>
      <c r="K115" s="28"/>
      <c r="L115" s="28"/>
    </row>
    <row r="116" spans="1:12" ht="12.75" customHeight="1" x14ac:dyDescent="0.2">
      <c r="A116" s="20"/>
      <c r="B116" s="41" t="s">
        <v>26</v>
      </c>
      <c r="C116" s="39"/>
      <c r="D116" s="40"/>
      <c r="E116" s="40"/>
      <c r="F116" s="40"/>
      <c r="G116" s="40"/>
      <c r="H116" s="40"/>
      <c r="I116" s="34"/>
      <c r="K116" s="28"/>
      <c r="L116" s="28"/>
    </row>
    <row r="117" spans="1:12" ht="12.75" customHeight="1" x14ac:dyDescent="0.2">
      <c r="A117" s="20"/>
      <c r="B117" s="41" t="s">
        <v>101</v>
      </c>
      <c r="C117" s="39"/>
      <c r="D117" s="40"/>
      <c r="E117" s="40"/>
      <c r="F117" s="40"/>
      <c r="G117" s="40"/>
      <c r="H117" s="40"/>
      <c r="I117" s="34"/>
      <c r="K117" s="28"/>
      <c r="L117" s="28"/>
    </row>
    <row r="118" spans="1:12" ht="12.75" customHeight="1" x14ac:dyDescent="0.2">
      <c r="A118" s="20"/>
      <c r="B118" s="41" t="s">
        <v>100</v>
      </c>
      <c r="C118" s="39"/>
      <c r="D118" s="40"/>
      <c r="E118" s="40"/>
      <c r="F118" s="40"/>
      <c r="G118" s="40"/>
      <c r="H118" s="40"/>
      <c r="I118" s="34"/>
      <c r="K118" s="28"/>
      <c r="L118" s="28"/>
    </row>
    <row r="119" spans="1:12" ht="12.75" customHeight="1" x14ac:dyDescent="0.2">
      <c r="A119" s="20"/>
      <c r="B119" s="42" t="s">
        <v>99</v>
      </c>
      <c r="C119" s="48"/>
      <c r="D119" s="47"/>
      <c r="E119" s="47"/>
      <c r="F119" s="47"/>
      <c r="G119" s="47"/>
      <c r="H119" s="47"/>
      <c r="I119" s="34"/>
      <c r="K119" s="28"/>
      <c r="L119" s="28"/>
    </row>
    <row r="120" spans="1:12" ht="12.75" customHeight="1" x14ac:dyDescent="0.2">
      <c r="B120" s="59"/>
      <c r="C120" s="46"/>
      <c r="D120" s="46"/>
      <c r="E120" s="46"/>
      <c r="F120" s="46"/>
      <c r="G120" s="46"/>
      <c r="H120" s="46"/>
      <c r="K120" s="28"/>
      <c r="L120" s="28"/>
    </row>
    <row r="121" spans="1:12" ht="12.75" customHeight="1" x14ac:dyDescent="0.2">
      <c r="A121" s="31" t="s">
        <v>116</v>
      </c>
      <c r="B121" s="13" t="s">
        <v>95</v>
      </c>
      <c r="C121" s="34"/>
      <c r="D121" s="34"/>
      <c r="E121" s="34"/>
      <c r="F121" s="34"/>
      <c r="G121" s="34"/>
      <c r="H121" s="34"/>
      <c r="K121" s="28"/>
      <c r="L121" s="28"/>
    </row>
    <row r="122" spans="1:12" ht="12.75" customHeight="1" x14ac:dyDescent="0.2">
      <c r="B122" s="16" t="s">
        <v>0</v>
      </c>
      <c r="C122" s="16" t="s">
        <v>7</v>
      </c>
      <c r="D122" s="16" t="s">
        <v>45</v>
      </c>
      <c r="E122" s="16" t="s">
        <v>46</v>
      </c>
      <c r="F122" s="16" t="s">
        <v>47</v>
      </c>
      <c r="G122" s="16" t="s">
        <v>48</v>
      </c>
      <c r="H122" s="16" t="s">
        <v>41</v>
      </c>
      <c r="K122" s="28"/>
      <c r="L122" s="28"/>
    </row>
    <row r="123" spans="1:12" ht="12.75" customHeight="1" x14ac:dyDescent="0.2">
      <c r="A123" s="20"/>
      <c r="B123" s="27" t="s">
        <v>96</v>
      </c>
      <c r="C123" s="49">
        <f t="shared" ref="C123:H123" si="16">SUM(C124:C125)</f>
        <v>0</v>
      </c>
      <c r="D123" s="49">
        <f t="shared" si="16"/>
        <v>0</v>
      </c>
      <c r="E123" s="49">
        <f t="shared" si="16"/>
        <v>0</v>
      </c>
      <c r="F123" s="49">
        <f t="shared" si="16"/>
        <v>0</v>
      </c>
      <c r="G123" s="49">
        <f t="shared" si="16"/>
        <v>0</v>
      </c>
      <c r="H123" s="49">
        <f t="shared" si="16"/>
        <v>0</v>
      </c>
      <c r="K123" s="28"/>
      <c r="L123" s="28"/>
    </row>
    <row r="124" spans="1:12" ht="12.75" customHeight="1" x14ac:dyDescent="0.2">
      <c r="A124" s="20"/>
      <c r="B124" s="41" t="s">
        <v>82</v>
      </c>
      <c r="C124" s="39"/>
      <c r="D124" s="40"/>
      <c r="E124" s="40"/>
      <c r="F124" s="40"/>
      <c r="G124" s="40"/>
      <c r="H124" s="40"/>
      <c r="I124" s="34"/>
      <c r="K124" s="28"/>
      <c r="L124" s="28"/>
    </row>
    <row r="125" spans="1:12" ht="12.75" customHeight="1" x14ac:dyDescent="0.2">
      <c r="A125" s="20"/>
      <c r="B125" s="42" t="s">
        <v>81</v>
      </c>
      <c r="C125" s="48"/>
      <c r="D125" s="47"/>
      <c r="E125" s="47"/>
      <c r="F125" s="47"/>
      <c r="G125" s="47"/>
      <c r="H125" s="47"/>
      <c r="I125" s="34"/>
      <c r="K125" s="28"/>
      <c r="L125" s="28"/>
    </row>
    <row r="126" spans="1:12" ht="12.75" customHeight="1" x14ac:dyDescent="0.2">
      <c r="B126" s="59"/>
      <c r="C126" s="46"/>
      <c r="D126" s="46"/>
      <c r="E126" s="46"/>
      <c r="F126" s="46"/>
      <c r="G126" s="46"/>
      <c r="H126" s="46"/>
      <c r="K126" s="28"/>
      <c r="L126" s="28"/>
    </row>
    <row r="127" spans="1:12" ht="12.75" customHeight="1" x14ac:dyDescent="0.2">
      <c r="A127" s="31" t="s">
        <v>117</v>
      </c>
      <c r="B127" s="13" t="s">
        <v>97</v>
      </c>
      <c r="C127" s="14"/>
      <c r="D127" s="4"/>
      <c r="E127" s="34"/>
      <c r="F127" s="34"/>
      <c r="G127" s="34"/>
      <c r="H127" s="34"/>
      <c r="K127" s="28"/>
      <c r="L127" s="28"/>
    </row>
    <row r="128" spans="1:12" ht="12.75" customHeight="1" x14ac:dyDescent="0.2">
      <c r="B128" s="57" t="s">
        <v>11</v>
      </c>
      <c r="C128" s="16" t="s">
        <v>7</v>
      </c>
      <c r="D128" s="16" t="s">
        <v>45</v>
      </c>
      <c r="E128" s="16" t="s">
        <v>46</v>
      </c>
      <c r="F128" s="16" t="s">
        <v>47</v>
      </c>
      <c r="G128" s="16" t="s">
        <v>48</v>
      </c>
      <c r="H128" s="16" t="s">
        <v>41</v>
      </c>
      <c r="K128" s="28"/>
      <c r="L128" s="28"/>
    </row>
    <row r="129" spans="1:12" ht="12.75" customHeight="1" x14ac:dyDescent="0.2">
      <c r="A129" s="20"/>
      <c r="B129" s="58" t="s">
        <v>102</v>
      </c>
      <c r="C129" s="50"/>
      <c r="D129" s="50"/>
      <c r="E129" s="50"/>
      <c r="F129" s="50"/>
      <c r="G129" s="50"/>
      <c r="H129" s="50"/>
      <c r="K129" s="28"/>
      <c r="L129" s="28"/>
    </row>
    <row r="130" spans="1:12" ht="12.75" customHeight="1" x14ac:dyDescent="0.2">
      <c r="B130" s="59"/>
      <c r="C130" s="46"/>
      <c r="D130" s="46"/>
      <c r="E130" s="46"/>
      <c r="F130" s="46"/>
      <c r="G130" s="46"/>
      <c r="H130" s="46"/>
      <c r="K130" s="28"/>
      <c r="L130" s="28"/>
    </row>
    <row r="131" spans="1:12" ht="12.75" customHeight="1" x14ac:dyDescent="0.2">
      <c r="A131" s="31" t="s">
        <v>118</v>
      </c>
      <c r="B131" s="13" t="s">
        <v>126</v>
      </c>
      <c r="C131" s="34"/>
      <c r="D131" s="34"/>
      <c r="E131" s="34"/>
      <c r="F131" s="34"/>
      <c r="G131" s="34"/>
      <c r="H131" s="34"/>
      <c r="K131" s="28"/>
      <c r="L131" s="28"/>
    </row>
    <row r="132" spans="1:12" ht="12.75" customHeight="1" x14ac:dyDescent="0.2">
      <c r="B132" s="16" t="s">
        <v>0</v>
      </c>
      <c r="C132" s="16" t="s">
        <v>7</v>
      </c>
      <c r="D132" s="16" t="s">
        <v>45</v>
      </c>
      <c r="E132" s="16" t="s">
        <v>46</v>
      </c>
      <c r="F132" s="16" t="s">
        <v>47</v>
      </c>
      <c r="G132" s="16" t="s">
        <v>48</v>
      </c>
      <c r="H132" s="16" t="s">
        <v>41</v>
      </c>
      <c r="K132" s="28"/>
      <c r="L132" s="28"/>
    </row>
    <row r="133" spans="1:12" ht="12.75" customHeight="1" x14ac:dyDescent="0.2">
      <c r="A133" s="20"/>
      <c r="B133" s="60" t="s">
        <v>98</v>
      </c>
      <c r="C133" s="50"/>
      <c r="D133" s="50"/>
      <c r="E133" s="50"/>
      <c r="F133" s="50"/>
      <c r="G133" s="50"/>
      <c r="H133" s="50"/>
      <c r="I133" s="34"/>
      <c r="K133" s="28"/>
      <c r="L133" s="28"/>
    </row>
    <row r="134" spans="1:12" x14ac:dyDescent="0.2">
      <c r="A134" s="67"/>
      <c r="B134" s="28"/>
      <c r="C134" s="34"/>
      <c r="D134" s="34"/>
      <c r="E134" s="34"/>
      <c r="F134" s="34"/>
      <c r="G134" s="34"/>
      <c r="H134" s="34"/>
    </row>
    <row r="135" spans="1:12" x14ac:dyDescent="0.2">
      <c r="A135" s="31" t="s">
        <v>119</v>
      </c>
      <c r="B135" s="12" t="s">
        <v>127</v>
      </c>
      <c r="C135" s="61"/>
      <c r="D135" s="62"/>
      <c r="E135" s="62"/>
      <c r="F135" s="34"/>
      <c r="G135" s="34"/>
      <c r="H135" s="34"/>
    </row>
    <row r="136" spans="1:12" x14ac:dyDescent="0.2">
      <c r="A136" s="68"/>
      <c r="B136" s="35" t="s">
        <v>32</v>
      </c>
      <c r="C136" s="16" t="s">
        <v>8</v>
      </c>
      <c r="D136" s="16" t="s">
        <v>9</v>
      </c>
      <c r="E136" s="16" t="s">
        <v>10</v>
      </c>
      <c r="F136" s="34"/>
      <c r="G136" s="34"/>
      <c r="H136" s="34"/>
    </row>
    <row r="137" spans="1:12" x14ac:dyDescent="0.2">
      <c r="B137" s="63" t="s">
        <v>6</v>
      </c>
      <c r="C137" s="51"/>
      <c r="D137" s="39"/>
      <c r="E137" s="49"/>
      <c r="F137" s="34"/>
      <c r="G137" s="34"/>
      <c r="H137" s="34"/>
    </row>
    <row r="138" spans="1:12" x14ac:dyDescent="0.2">
      <c r="B138" s="33" t="s">
        <v>17</v>
      </c>
      <c r="C138" s="47"/>
      <c r="D138" s="48"/>
      <c r="E138" s="48"/>
      <c r="F138" s="34"/>
      <c r="G138" s="34"/>
      <c r="H138" s="34"/>
    </row>
    <row r="139" spans="1:12" x14ac:dyDescent="0.2">
      <c r="B139" s="19"/>
      <c r="C139" s="14"/>
      <c r="D139" s="14"/>
      <c r="E139" s="34"/>
      <c r="F139" s="34"/>
      <c r="G139" s="34"/>
      <c r="H139" s="34"/>
    </row>
    <row r="140" spans="1:12" x14ac:dyDescent="0.2">
      <c r="A140" s="31" t="s">
        <v>120</v>
      </c>
      <c r="B140" s="64" t="s">
        <v>128</v>
      </c>
      <c r="C140" s="14"/>
      <c r="D140" s="14"/>
      <c r="E140" s="34"/>
      <c r="F140" s="34"/>
      <c r="G140" s="34"/>
      <c r="H140" s="34"/>
    </row>
    <row r="141" spans="1:12" x14ac:dyDescent="0.2">
      <c r="B141" s="16" t="s">
        <v>32</v>
      </c>
      <c r="C141" s="16" t="s">
        <v>7</v>
      </c>
      <c r="D141" s="36"/>
      <c r="E141" s="14"/>
      <c r="F141" s="14"/>
      <c r="G141" s="14"/>
      <c r="H141" s="14"/>
      <c r="I141" s="14"/>
      <c r="J141" s="14"/>
      <c r="K141" s="14"/>
    </row>
    <row r="142" spans="1:12" x14ac:dyDescent="0.2">
      <c r="A142" s="20"/>
      <c r="B142" s="37" t="s">
        <v>18</v>
      </c>
      <c r="C142" s="50"/>
      <c r="D142" s="34"/>
      <c r="E142" s="36"/>
      <c r="F142" s="36"/>
      <c r="G142" s="36"/>
      <c r="H142" s="14"/>
      <c r="I142" s="14"/>
      <c r="J142" s="14"/>
      <c r="K142" s="14"/>
    </row>
    <row r="143" spans="1:12" x14ac:dyDescent="0.2">
      <c r="B143" s="65"/>
      <c r="E143" s="34"/>
      <c r="F143" s="34"/>
      <c r="G143" s="34"/>
      <c r="H143" s="14"/>
      <c r="I143" s="14"/>
      <c r="J143" s="14"/>
      <c r="K143" s="14"/>
    </row>
    <row r="144" spans="1:12" x14ac:dyDescent="0.2">
      <c r="A144" s="67"/>
      <c r="B144" s="12" t="s">
        <v>129</v>
      </c>
      <c r="C144" s="61"/>
      <c r="D144" s="62"/>
      <c r="E144" s="34"/>
      <c r="F144" s="34"/>
      <c r="G144" s="34"/>
      <c r="H144" s="34"/>
    </row>
    <row r="145" spans="1:18" x14ac:dyDescent="0.2">
      <c r="A145" s="67" t="s">
        <v>125</v>
      </c>
      <c r="B145" s="66" t="s">
        <v>32</v>
      </c>
      <c r="C145" s="16" t="s">
        <v>123</v>
      </c>
      <c r="D145" s="16" t="s">
        <v>124</v>
      </c>
      <c r="E145" s="34"/>
      <c r="F145" s="34"/>
      <c r="G145" s="34"/>
      <c r="H145" s="34"/>
    </row>
    <row r="146" spans="1:18" x14ac:dyDescent="0.2">
      <c r="A146" s="67"/>
      <c r="B146" s="63" t="s">
        <v>121</v>
      </c>
      <c r="C146" s="51"/>
      <c r="D146" s="39"/>
      <c r="E146" s="34"/>
      <c r="F146" s="34"/>
      <c r="G146" s="34"/>
      <c r="H146" s="34"/>
    </row>
    <row r="147" spans="1:18" x14ac:dyDescent="0.2">
      <c r="A147" s="67"/>
      <c r="B147" s="33" t="s">
        <v>122</v>
      </c>
      <c r="C147" s="47"/>
      <c r="D147" s="48"/>
      <c r="E147" s="34"/>
      <c r="F147" s="34"/>
      <c r="G147" s="34"/>
      <c r="H147" s="34"/>
    </row>
    <row r="148" spans="1:18" ht="13.5" thickBot="1" x14ac:dyDescent="0.25">
      <c r="A148" s="67"/>
      <c r="B148" s="28"/>
      <c r="C148" s="34"/>
      <c r="D148" s="34"/>
      <c r="E148" s="34"/>
      <c r="F148" s="34"/>
      <c r="G148" s="34"/>
      <c r="H148" s="34"/>
    </row>
    <row r="149" spans="1:18" ht="13.5" thickBot="1" x14ac:dyDescent="0.25">
      <c r="A149" s="219" t="s">
        <v>288</v>
      </c>
      <c r="B149" s="223" t="s">
        <v>269</v>
      </c>
      <c r="C149" s="226" t="s">
        <v>270</v>
      </c>
      <c r="D149" s="227"/>
      <c r="E149" s="227"/>
      <c r="F149" s="227"/>
      <c r="G149" s="227"/>
      <c r="H149" s="227"/>
      <c r="I149" s="227"/>
      <c r="J149" s="227"/>
      <c r="K149" s="227"/>
      <c r="L149" s="227"/>
      <c r="M149" s="227"/>
      <c r="N149" s="227"/>
      <c r="O149" s="227"/>
      <c r="P149" s="227"/>
      <c r="Q149" s="227"/>
      <c r="R149" s="228"/>
    </row>
    <row r="150" spans="1:18" ht="13.5" thickBot="1" x14ac:dyDescent="0.25">
      <c r="A150" s="220"/>
      <c r="B150" s="224"/>
      <c r="C150" s="221" t="s">
        <v>271</v>
      </c>
      <c r="D150" s="222"/>
      <c r="E150" s="221" t="s">
        <v>272</v>
      </c>
      <c r="F150" s="222"/>
      <c r="G150" s="221" t="s">
        <v>273</v>
      </c>
      <c r="H150" s="222"/>
      <c r="I150" s="221" t="s">
        <v>274</v>
      </c>
      <c r="J150" s="222"/>
      <c r="K150" s="221" t="s">
        <v>275</v>
      </c>
      <c r="L150" s="222"/>
      <c r="M150" s="221" t="s">
        <v>276</v>
      </c>
      <c r="N150" s="222"/>
      <c r="O150" s="221" t="s">
        <v>277</v>
      </c>
      <c r="P150" s="222"/>
      <c r="Q150" s="221" t="s">
        <v>278</v>
      </c>
      <c r="R150" s="222"/>
    </row>
    <row r="151" spans="1:18" ht="13.5" thickBot="1" x14ac:dyDescent="0.25">
      <c r="A151" s="221"/>
      <c r="B151" s="225"/>
      <c r="C151" s="197" t="s">
        <v>108</v>
      </c>
      <c r="D151" s="198" t="s">
        <v>114</v>
      </c>
      <c r="E151" s="199" t="s">
        <v>108</v>
      </c>
      <c r="F151" s="200" t="s">
        <v>114</v>
      </c>
      <c r="G151" s="199" t="s">
        <v>108</v>
      </c>
      <c r="H151" s="200" t="s">
        <v>114</v>
      </c>
      <c r="I151" s="199" t="s">
        <v>108</v>
      </c>
      <c r="J151" s="200" t="s">
        <v>114</v>
      </c>
      <c r="K151" s="199" t="s">
        <v>108</v>
      </c>
      <c r="L151" s="200" t="s">
        <v>114</v>
      </c>
      <c r="M151" s="199" t="s">
        <v>108</v>
      </c>
      <c r="N151" s="200" t="s">
        <v>114</v>
      </c>
      <c r="O151" s="199" t="s">
        <v>108</v>
      </c>
      <c r="P151" s="200" t="s">
        <v>114</v>
      </c>
      <c r="Q151" s="199" t="s">
        <v>108</v>
      </c>
      <c r="R151" s="200" t="s">
        <v>114</v>
      </c>
    </row>
    <row r="152" spans="1:18" x14ac:dyDescent="0.2">
      <c r="A152" s="185" t="s">
        <v>289</v>
      </c>
      <c r="B152" s="181"/>
      <c r="C152" s="187">
        <f>C153+C154+C155</f>
        <v>0</v>
      </c>
      <c r="D152" s="188">
        <f t="shared" ref="D152:R152" si="17">D153+D154+D155</f>
        <v>0</v>
      </c>
      <c r="E152" s="189">
        <f t="shared" si="17"/>
        <v>0</v>
      </c>
      <c r="F152" s="190">
        <f t="shared" si="17"/>
        <v>0</v>
      </c>
      <c r="G152" s="189">
        <f t="shared" si="17"/>
        <v>0</v>
      </c>
      <c r="H152" s="190">
        <f t="shared" si="17"/>
        <v>0</v>
      </c>
      <c r="I152" s="189">
        <f t="shared" si="17"/>
        <v>0</v>
      </c>
      <c r="J152" s="190">
        <f t="shared" si="17"/>
        <v>0</v>
      </c>
      <c r="K152" s="189">
        <f t="shared" si="17"/>
        <v>0</v>
      </c>
      <c r="L152" s="190">
        <f t="shared" si="17"/>
        <v>0</v>
      </c>
      <c r="M152" s="189">
        <f t="shared" si="17"/>
        <v>0</v>
      </c>
      <c r="N152" s="190">
        <f t="shared" si="17"/>
        <v>0</v>
      </c>
      <c r="O152" s="189">
        <f t="shared" si="17"/>
        <v>0</v>
      </c>
      <c r="P152" s="190">
        <f t="shared" si="17"/>
        <v>0</v>
      </c>
      <c r="Q152" s="189">
        <f t="shared" si="17"/>
        <v>0</v>
      </c>
      <c r="R152" s="190">
        <f t="shared" si="17"/>
        <v>0</v>
      </c>
    </row>
    <row r="153" spans="1:18" ht="21" x14ac:dyDescent="0.2">
      <c r="A153" s="114"/>
      <c r="B153" s="182" t="s">
        <v>291</v>
      </c>
      <c r="C153" s="191"/>
      <c r="D153" s="192"/>
      <c r="E153" s="191"/>
      <c r="F153" s="192"/>
      <c r="G153" s="191"/>
      <c r="H153" s="192"/>
      <c r="I153" s="191"/>
      <c r="J153" s="192"/>
      <c r="K153" s="191"/>
      <c r="L153" s="192"/>
      <c r="M153" s="191"/>
      <c r="N153" s="192"/>
      <c r="O153" s="191"/>
      <c r="P153" s="192"/>
      <c r="Q153" s="191"/>
      <c r="R153" s="192"/>
    </row>
    <row r="154" spans="1:18" ht="21" x14ac:dyDescent="0.2">
      <c r="A154" s="114"/>
      <c r="B154" s="182" t="s">
        <v>292</v>
      </c>
      <c r="C154" s="191"/>
      <c r="D154" s="192"/>
      <c r="E154" s="191"/>
      <c r="F154" s="192"/>
      <c r="G154" s="191"/>
      <c r="H154" s="192"/>
      <c r="I154" s="191"/>
      <c r="J154" s="192"/>
      <c r="K154" s="191"/>
      <c r="L154" s="192"/>
      <c r="M154" s="191"/>
      <c r="N154" s="192"/>
      <c r="O154" s="191"/>
      <c r="P154" s="192"/>
      <c r="Q154" s="191"/>
      <c r="R154" s="192"/>
    </row>
    <row r="155" spans="1:18" ht="21" x14ac:dyDescent="0.2">
      <c r="A155" s="114"/>
      <c r="B155" s="183" t="s">
        <v>293</v>
      </c>
      <c r="C155" s="191"/>
      <c r="D155" s="192"/>
      <c r="E155" s="191"/>
      <c r="F155" s="192"/>
      <c r="G155" s="191"/>
      <c r="H155" s="192"/>
      <c r="I155" s="191"/>
      <c r="J155" s="192"/>
      <c r="K155" s="191"/>
      <c r="L155" s="192"/>
      <c r="M155" s="191"/>
      <c r="N155" s="192"/>
      <c r="O155" s="191"/>
      <c r="P155" s="192"/>
      <c r="Q155" s="191"/>
      <c r="R155" s="192"/>
    </row>
    <row r="156" spans="1:18" x14ac:dyDescent="0.2">
      <c r="A156" s="186" t="s">
        <v>290</v>
      </c>
      <c r="B156" s="19"/>
      <c r="C156" s="191">
        <f>C157+C158</f>
        <v>0</v>
      </c>
      <c r="D156" s="192">
        <f t="shared" ref="D156:R156" si="18">D157+D158</f>
        <v>0</v>
      </c>
      <c r="E156" s="191">
        <f t="shared" si="18"/>
        <v>0</v>
      </c>
      <c r="F156" s="192">
        <f t="shared" si="18"/>
        <v>0</v>
      </c>
      <c r="G156" s="191">
        <f t="shared" si="18"/>
        <v>0</v>
      </c>
      <c r="H156" s="192">
        <f t="shared" si="18"/>
        <v>0</v>
      </c>
      <c r="I156" s="191">
        <f t="shared" si="18"/>
        <v>0</v>
      </c>
      <c r="J156" s="192">
        <f t="shared" si="18"/>
        <v>0</v>
      </c>
      <c r="K156" s="191">
        <f t="shared" si="18"/>
        <v>0</v>
      </c>
      <c r="L156" s="192">
        <f t="shared" si="18"/>
        <v>0</v>
      </c>
      <c r="M156" s="191">
        <f t="shared" si="18"/>
        <v>0</v>
      </c>
      <c r="N156" s="192">
        <f t="shared" si="18"/>
        <v>0</v>
      </c>
      <c r="O156" s="191">
        <f t="shared" si="18"/>
        <v>0</v>
      </c>
      <c r="P156" s="192">
        <f t="shared" si="18"/>
        <v>0</v>
      </c>
      <c r="Q156" s="191">
        <f t="shared" si="18"/>
        <v>0</v>
      </c>
      <c r="R156" s="192">
        <f t="shared" si="18"/>
        <v>0</v>
      </c>
    </row>
    <row r="157" spans="1:18" ht="21" x14ac:dyDescent="0.2">
      <c r="A157" s="118"/>
      <c r="B157" s="182" t="s">
        <v>294</v>
      </c>
      <c r="C157" s="191"/>
      <c r="D157" s="192"/>
      <c r="E157" s="191"/>
      <c r="F157" s="192"/>
      <c r="G157" s="191"/>
      <c r="H157" s="192"/>
      <c r="I157" s="191"/>
      <c r="J157" s="192"/>
      <c r="K157" s="191"/>
      <c r="L157" s="192"/>
      <c r="M157" s="191"/>
      <c r="N157" s="192"/>
      <c r="O157" s="191"/>
      <c r="P157" s="192"/>
      <c r="Q157" s="191"/>
      <c r="R157" s="192"/>
    </row>
    <row r="158" spans="1:18" ht="21.75" thickBot="1" x14ac:dyDescent="0.25">
      <c r="A158" s="167"/>
      <c r="B158" s="184" t="s">
        <v>295</v>
      </c>
      <c r="C158" s="193"/>
      <c r="D158" s="194"/>
      <c r="E158" s="195"/>
      <c r="F158" s="196"/>
      <c r="G158" s="195"/>
      <c r="H158" s="196"/>
      <c r="I158" s="195"/>
      <c r="J158" s="196"/>
      <c r="K158" s="195"/>
      <c r="L158" s="196"/>
      <c r="M158" s="195"/>
      <c r="N158" s="196"/>
      <c r="O158" s="195"/>
      <c r="P158" s="196"/>
      <c r="Q158" s="195"/>
      <c r="R158" s="196"/>
    </row>
    <row r="159" spans="1:18" x14ac:dyDescent="0.2">
      <c r="A159" s="67"/>
      <c r="B159" s="28"/>
      <c r="C159" s="34"/>
      <c r="D159" s="34"/>
      <c r="E159" s="34"/>
      <c r="F159" s="34"/>
      <c r="G159" s="34"/>
      <c r="H159" s="34"/>
    </row>
    <row r="160" spans="1:18" x14ac:dyDescent="0.2">
      <c r="A160" s="67"/>
      <c r="B160" s="28"/>
      <c r="C160" s="34"/>
      <c r="D160" s="34"/>
      <c r="E160" s="34"/>
      <c r="F160" s="34"/>
      <c r="G160" s="34"/>
      <c r="H160" s="34"/>
    </row>
    <row r="161" spans="1:1" x14ac:dyDescent="0.2">
      <c r="A161" s="4"/>
    </row>
  </sheetData>
  <mergeCells count="14">
    <mergeCell ref="O150:P150"/>
    <mergeCell ref="Q150:R150"/>
    <mergeCell ref="B149:B151"/>
    <mergeCell ref="C149:R149"/>
    <mergeCell ref="K150:L150"/>
    <mergeCell ref="I150:J150"/>
    <mergeCell ref="M150:N150"/>
    <mergeCell ref="B6:H6"/>
    <mergeCell ref="D78:H80"/>
    <mergeCell ref="D104:H104"/>
    <mergeCell ref="A149:A151"/>
    <mergeCell ref="C150:D150"/>
    <mergeCell ref="E150:F150"/>
    <mergeCell ref="G150:H150"/>
  </mergeCells>
  <phoneticPr fontId="6" type="noConversion"/>
  <printOptions horizontalCentered="1"/>
  <pageMargins left="0.35" right="0.22" top="0.63" bottom="0.43307086614173229" header="0" footer="0"/>
  <pageSetup paperSize="9" scale="81" orientation="portrait" horizontalDpi="4294967293" r:id="rId1"/>
  <headerFooter alignWithMargins="0">
    <oddFooter>Página &amp;P de &amp;N</oddFooter>
  </headerFooter>
  <rowBreaks count="1" manualBreakCount="1">
    <brk id="9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C129"/>
  <sheetViews>
    <sheetView topLeftCell="A16" zoomScale="70" zoomScaleNormal="70" workbookViewId="0">
      <selection activeCell="J23" sqref="J23:K23"/>
    </sheetView>
  </sheetViews>
  <sheetFormatPr baseColWidth="10" defaultRowHeight="18.75" x14ac:dyDescent="0.2"/>
  <cols>
    <col min="1" max="1" width="6.140625" style="69" customWidth="1"/>
    <col min="2" max="2" width="18.28515625" style="34" customWidth="1"/>
    <col min="3" max="3" width="27.42578125" style="34" customWidth="1"/>
    <col min="4" max="4" width="24.85546875" style="34" customWidth="1"/>
    <col min="5" max="5" width="14.5703125" style="34" customWidth="1"/>
    <col min="6" max="6" width="0.85546875" style="34" customWidth="1"/>
    <col min="7" max="7" width="9.42578125" style="34" customWidth="1"/>
    <col min="8" max="8" width="8.7109375" style="34" customWidth="1"/>
    <col min="9" max="9" width="0.85546875" style="34" customWidth="1"/>
    <col min="10" max="10" width="8.140625" style="34" customWidth="1"/>
    <col min="11" max="11" width="8.5703125" style="34" customWidth="1"/>
    <col min="12" max="12" width="0.85546875" style="34" customWidth="1"/>
    <col min="13" max="14" width="8.5703125" style="34" customWidth="1"/>
    <col min="15" max="15" width="0.85546875" style="34" customWidth="1"/>
    <col min="16" max="16" width="8.42578125" style="34" customWidth="1"/>
    <col min="17" max="17" width="8.5703125" style="34" customWidth="1"/>
    <col min="18" max="18" width="0.85546875" style="34" customWidth="1"/>
    <col min="19" max="19" width="8.140625" style="34" customWidth="1"/>
    <col min="20" max="20" width="7.7109375" style="34" customWidth="1"/>
    <col min="21" max="21" width="1" style="34" customWidth="1"/>
    <col min="22" max="23" width="8.5703125" style="34" customWidth="1"/>
    <col min="24" max="24" width="0.85546875" style="34" customWidth="1"/>
    <col min="25" max="26" width="8.5703125" style="34" customWidth="1"/>
    <col min="27" max="27" width="0.85546875" style="34" customWidth="1"/>
    <col min="28" max="29" width="8.5703125" style="34" customWidth="1"/>
  </cols>
  <sheetData>
    <row r="1" spans="1:29" ht="19.5" thickBot="1" x14ac:dyDescent="0.25"/>
    <row r="2" spans="1:29" ht="24" thickBot="1" x14ac:dyDescent="0.25">
      <c r="A2" s="404" t="s">
        <v>134</v>
      </c>
      <c r="B2" s="404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70"/>
      <c r="Y2" s="71" t="s">
        <v>135</v>
      </c>
      <c r="Z2" s="405"/>
      <c r="AA2" s="406"/>
      <c r="AB2" s="407"/>
      <c r="AC2" s="70"/>
    </row>
    <row r="3" spans="1:29" x14ac:dyDescent="0.2"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  <c r="T3" s="73"/>
      <c r="U3" s="73"/>
      <c r="V3" s="73"/>
      <c r="W3" s="73"/>
      <c r="X3" s="73"/>
      <c r="Y3" s="74"/>
      <c r="Z3" s="73"/>
      <c r="AA3" s="73"/>
      <c r="AB3" s="73"/>
    </row>
    <row r="4" spans="1:29" ht="21" x14ac:dyDescent="0.2">
      <c r="A4" s="75" t="s">
        <v>136</v>
      </c>
      <c r="B4" s="76"/>
      <c r="C4" s="398"/>
      <c r="D4" s="398"/>
      <c r="E4" s="77"/>
      <c r="F4" s="77"/>
      <c r="G4" s="78" t="s">
        <v>137</v>
      </c>
      <c r="H4" s="79"/>
      <c r="I4" s="79"/>
      <c r="J4" s="393"/>
      <c r="K4" s="393"/>
      <c r="L4" s="393"/>
      <c r="M4" s="393"/>
      <c r="N4" s="393"/>
      <c r="O4" s="393"/>
      <c r="P4" s="393"/>
      <c r="Q4" s="77"/>
      <c r="R4" s="77"/>
      <c r="S4" s="81"/>
      <c r="T4" s="77"/>
      <c r="U4" s="82"/>
      <c r="V4" s="77"/>
      <c r="W4" s="77"/>
      <c r="X4" s="77"/>
      <c r="Y4" s="77"/>
      <c r="Z4" s="77"/>
      <c r="AA4" s="77"/>
      <c r="AB4" s="77"/>
      <c r="AC4" s="77"/>
    </row>
    <row r="5" spans="1:29" ht="21" x14ac:dyDescent="0.2">
      <c r="A5" s="83"/>
      <c r="B5" s="76"/>
      <c r="C5" s="78"/>
      <c r="D5" s="78"/>
      <c r="E5" s="77"/>
      <c r="F5" s="77"/>
      <c r="G5" s="79"/>
      <c r="H5" s="79"/>
      <c r="I5" s="79"/>
      <c r="J5" s="79"/>
      <c r="K5" s="79"/>
      <c r="L5" s="79"/>
      <c r="M5" s="79"/>
      <c r="N5" s="79"/>
      <c r="O5" s="84"/>
      <c r="P5" s="84"/>
      <c r="Q5" s="84"/>
      <c r="R5" s="77"/>
      <c r="S5" s="77"/>
      <c r="T5" s="77"/>
      <c r="U5" s="77"/>
      <c r="V5" s="70"/>
      <c r="W5" s="70"/>
      <c r="X5" s="70"/>
      <c r="Y5" s="70"/>
      <c r="Z5" s="85"/>
      <c r="AA5" s="76"/>
      <c r="AB5" s="76"/>
      <c r="AC5" s="77"/>
    </row>
    <row r="6" spans="1:29" ht="21" x14ac:dyDescent="0.2">
      <c r="A6" s="78" t="s">
        <v>138</v>
      </c>
      <c r="B6" s="76"/>
      <c r="C6" s="398"/>
      <c r="D6" s="398"/>
      <c r="E6" s="77"/>
      <c r="F6" s="77"/>
      <c r="G6" s="75" t="s">
        <v>139</v>
      </c>
      <c r="H6" s="77"/>
      <c r="I6" s="77"/>
      <c r="J6" s="77"/>
      <c r="K6" s="77"/>
      <c r="L6" s="77"/>
      <c r="M6" s="393"/>
      <c r="N6" s="393"/>
      <c r="O6" s="393"/>
      <c r="P6" s="393"/>
      <c r="Q6" s="393"/>
      <c r="R6" s="393"/>
      <c r="S6" s="393"/>
      <c r="T6" s="393"/>
      <c r="U6" s="82"/>
      <c r="V6" s="77"/>
      <c r="W6" s="77"/>
      <c r="X6" s="77"/>
      <c r="Y6" s="77"/>
      <c r="Z6" s="77"/>
      <c r="AA6" s="77"/>
      <c r="AB6" s="77"/>
      <c r="AC6" s="82"/>
    </row>
    <row r="7" spans="1:29" ht="21" x14ac:dyDescent="0.2">
      <c r="A7" s="83"/>
      <c r="B7" s="85"/>
      <c r="C7" s="85"/>
      <c r="D7" s="85"/>
      <c r="E7" s="70"/>
      <c r="F7" s="70"/>
      <c r="G7" s="86"/>
      <c r="H7" s="77"/>
      <c r="I7" s="77"/>
      <c r="J7" s="77"/>
      <c r="K7" s="77"/>
      <c r="L7" s="77"/>
      <c r="M7" s="77"/>
      <c r="N7" s="77"/>
      <c r="O7" s="86"/>
      <c r="P7" s="86"/>
      <c r="Q7" s="86"/>
      <c r="R7" s="77"/>
      <c r="S7" s="77"/>
      <c r="T7" s="77"/>
      <c r="U7" s="408"/>
      <c r="V7" s="408"/>
      <c r="W7" s="78"/>
      <c r="X7" s="78"/>
      <c r="Y7" s="78"/>
      <c r="Z7" s="76"/>
      <c r="AA7" s="76"/>
      <c r="AB7" s="76"/>
      <c r="AC7" s="77"/>
    </row>
    <row r="8" spans="1:29" ht="21" x14ac:dyDescent="0.2">
      <c r="A8" s="75" t="s">
        <v>140</v>
      </c>
      <c r="B8" s="76"/>
      <c r="C8" s="87"/>
      <c r="D8" s="85" t="s">
        <v>141</v>
      </c>
      <c r="E8" s="80"/>
      <c r="F8" s="70"/>
      <c r="G8" s="77"/>
      <c r="H8" s="77"/>
      <c r="I8" s="77"/>
      <c r="J8" s="77"/>
      <c r="K8" s="77"/>
      <c r="L8" s="82"/>
      <c r="M8" s="82" t="s">
        <v>142</v>
      </c>
      <c r="N8" s="77"/>
      <c r="O8" s="86"/>
      <c r="P8" s="393"/>
      <c r="Q8" s="393"/>
      <c r="R8" s="393"/>
      <c r="S8" s="393"/>
      <c r="T8" s="393"/>
      <c r="U8" s="70"/>
      <c r="V8" s="70"/>
      <c r="W8" s="77"/>
      <c r="X8" s="78"/>
      <c r="Y8" s="78"/>
      <c r="Z8" s="409" t="s">
        <v>42</v>
      </c>
      <c r="AA8" s="409"/>
      <c r="AB8" s="409"/>
      <c r="AC8" s="82"/>
    </row>
    <row r="9" spans="1:29" ht="21.75" thickBot="1" x14ac:dyDescent="0.25">
      <c r="A9" s="83"/>
      <c r="B9" s="75"/>
      <c r="C9" s="75"/>
      <c r="D9" s="75"/>
      <c r="E9" s="70"/>
      <c r="F9" s="70"/>
      <c r="G9" s="86"/>
      <c r="H9" s="77"/>
      <c r="I9" s="77"/>
      <c r="J9" s="77"/>
      <c r="K9" s="77"/>
      <c r="L9" s="77"/>
      <c r="M9" s="77"/>
      <c r="N9" s="77"/>
      <c r="O9" s="86"/>
      <c r="P9" s="86"/>
      <c r="Q9" s="77"/>
      <c r="R9" s="77"/>
      <c r="S9" s="77"/>
      <c r="T9" s="77"/>
      <c r="U9" s="77"/>
      <c r="V9" s="77"/>
      <c r="W9" s="88"/>
      <c r="X9" s="88"/>
      <c r="Y9" s="88"/>
      <c r="Z9" s="77"/>
      <c r="AA9" s="77"/>
      <c r="AB9" s="77"/>
      <c r="AC9" s="77"/>
    </row>
    <row r="10" spans="1:29" ht="21.75" thickBot="1" x14ac:dyDescent="0.25">
      <c r="A10" s="75" t="s">
        <v>143</v>
      </c>
      <c r="B10" s="76"/>
      <c r="C10" s="87"/>
      <c r="D10" s="76"/>
      <c r="E10" s="70"/>
      <c r="F10" s="77"/>
      <c r="G10" s="89" t="s">
        <v>144</v>
      </c>
      <c r="H10" s="77"/>
      <c r="I10" s="77"/>
      <c r="J10" s="77"/>
      <c r="K10" s="77"/>
      <c r="L10" s="77"/>
      <c r="M10" s="393"/>
      <c r="N10" s="393"/>
      <c r="O10" s="393"/>
      <c r="P10" s="393"/>
      <c r="Q10" s="393"/>
      <c r="R10" s="393"/>
      <c r="S10" s="393"/>
      <c r="T10" s="393"/>
      <c r="U10" s="70"/>
      <c r="V10" s="70"/>
      <c r="W10" s="394"/>
      <c r="X10" s="394"/>
      <c r="Y10" s="394"/>
      <c r="Z10" s="395"/>
      <c r="AA10" s="396"/>
      <c r="AB10" s="397"/>
      <c r="AC10" s="77"/>
    </row>
    <row r="11" spans="1:29" ht="21" x14ac:dyDescent="0.2">
      <c r="A11" s="83"/>
      <c r="B11" s="85"/>
      <c r="C11" s="85"/>
      <c r="D11" s="85"/>
      <c r="E11" s="70"/>
      <c r="F11" s="70"/>
      <c r="G11" s="86"/>
      <c r="H11" s="77"/>
      <c r="I11" s="77"/>
      <c r="J11" s="77"/>
      <c r="K11" s="77"/>
      <c r="L11" s="77"/>
      <c r="M11" s="77"/>
      <c r="N11" s="77"/>
      <c r="O11" s="86"/>
      <c r="P11" s="86"/>
      <c r="Q11" s="86"/>
      <c r="R11" s="77"/>
      <c r="S11" s="77"/>
      <c r="T11" s="77"/>
      <c r="U11" s="70"/>
      <c r="V11" s="70"/>
      <c r="W11" s="88"/>
      <c r="X11" s="88"/>
      <c r="Y11" s="88"/>
      <c r="Z11" s="77"/>
      <c r="AA11" s="77"/>
      <c r="AB11" s="77"/>
      <c r="AC11" s="77"/>
    </row>
    <row r="12" spans="1:29" ht="21" x14ac:dyDescent="0.2">
      <c r="A12" s="75" t="s">
        <v>145</v>
      </c>
      <c r="B12" s="76"/>
      <c r="C12" s="76"/>
      <c r="D12" s="398"/>
      <c r="E12" s="398"/>
      <c r="F12" s="398"/>
      <c r="G12" s="398"/>
      <c r="H12" s="398"/>
      <c r="I12" s="86"/>
      <c r="J12" s="86"/>
      <c r="K12" s="86"/>
      <c r="L12" s="86"/>
      <c r="M12" s="86"/>
      <c r="N12" s="86"/>
      <c r="O12" s="86"/>
      <c r="P12" s="77"/>
      <c r="Q12" s="77"/>
      <c r="R12" s="77"/>
      <c r="S12" s="77"/>
      <c r="T12" s="77"/>
      <c r="U12" s="77"/>
      <c r="V12" s="77"/>
      <c r="W12" s="394"/>
      <c r="X12" s="394"/>
      <c r="Y12" s="394"/>
      <c r="Z12" s="85"/>
      <c r="AA12" s="85"/>
      <c r="AB12" s="85"/>
      <c r="AC12" s="77"/>
    </row>
    <row r="13" spans="1:29" ht="21" x14ac:dyDescent="0.2">
      <c r="A13" s="75"/>
      <c r="B13" s="76"/>
      <c r="C13" s="76"/>
      <c r="D13" s="76"/>
      <c r="E13" s="79"/>
      <c r="F13" s="79"/>
      <c r="G13" s="86"/>
      <c r="H13" s="86"/>
      <c r="I13" s="86"/>
      <c r="J13" s="86"/>
      <c r="K13" s="86"/>
      <c r="L13" s="86"/>
      <c r="M13" s="86"/>
      <c r="N13" s="86"/>
      <c r="O13" s="86"/>
      <c r="P13" s="77"/>
      <c r="Q13" s="77"/>
      <c r="R13" s="77"/>
      <c r="S13" s="77"/>
      <c r="T13" s="77"/>
      <c r="U13" s="77"/>
      <c r="V13" s="77"/>
      <c r="W13" s="394"/>
      <c r="X13" s="394"/>
      <c r="Y13" s="394"/>
      <c r="Z13" s="77"/>
      <c r="AA13" s="77"/>
      <c r="AB13" s="77"/>
      <c r="AC13" s="77"/>
    </row>
    <row r="14" spans="1:29" ht="21" x14ac:dyDescent="0.2">
      <c r="A14" s="78" t="s">
        <v>146</v>
      </c>
      <c r="B14" s="76"/>
      <c r="C14" s="76"/>
      <c r="D14" s="76"/>
      <c r="E14" s="79"/>
      <c r="F14" s="79"/>
      <c r="G14" s="86"/>
      <c r="H14" s="86"/>
      <c r="I14" s="86"/>
      <c r="J14" s="86"/>
      <c r="K14" s="86"/>
      <c r="L14" s="86"/>
      <c r="M14" s="86"/>
      <c r="N14" s="86"/>
      <c r="O14" s="86"/>
      <c r="P14" s="77"/>
      <c r="Q14" s="77"/>
      <c r="R14" s="77"/>
      <c r="S14" s="77"/>
      <c r="T14" s="77"/>
      <c r="U14" s="77"/>
      <c r="V14" s="77"/>
      <c r="W14" s="394"/>
      <c r="X14" s="394"/>
      <c r="Y14" s="394"/>
      <c r="Z14" s="85"/>
      <c r="AA14" s="85"/>
      <c r="AB14" s="85"/>
      <c r="AC14" s="77"/>
    </row>
    <row r="15" spans="1:29" ht="21.75" thickBot="1" x14ac:dyDescent="0.25">
      <c r="A15" s="75"/>
      <c r="B15" s="76"/>
      <c r="C15" s="76"/>
      <c r="D15" s="76"/>
      <c r="E15" s="79"/>
      <c r="F15" s="79"/>
      <c r="G15" s="86"/>
      <c r="H15" s="86"/>
      <c r="I15" s="86"/>
      <c r="J15" s="86"/>
      <c r="K15" s="86"/>
      <c r="L15" s="86"/>
      <c r="M15" s="86"/>
      <c r="N15" s="86"/>
      <c r="O15" s="86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</row>
    <row r="16" spans="1:29" ht="21.75" thickBot="1" x14ac:dyDescent="0.25">
      <c r="A16" s="354" t="s">
        <v>147</v>
      </c>
      <c r="B16" s="354"/>
      <c r="C16" s="90"/>
      <c r="D16" s="91" t="s">
        <v>148</v>
      </c>
      <c r="E16" s="77"/>
      <c r="F16" s="77"/>
      <c r="G16" s="78"/>
      <c r="H16" s="331"/>
      <c r="I16" s="399"/>
      <c r="J16" s="399"/>
      <c r="K16" s="332"/>
      <c r="L16" s="83"/>
      <c r="M16" s="77"/>
      <c r="N16" s="78" t="s">
        <v>149</v>
      </c>
      <c r="O16" s="78"/>
      <c r="P16" s="78"/>
      <c r="Q16" s="78"/>
      <c r="R16" s="78"/>
      <c r="S16" s="78"/>
      <c r="T16" s="78"/>
      <c r="U16" s="78"/>
      <c r="V16" s="78"/>
      <c r="W16" s="78"/>
      <c r="X16" s="77"/>
      <c r="Y16" s="400"/>
      <c r="Z16" s="401"/>
      <c r="AA16" s="401"/>
      <c r="AB16" s="402"/>
      <c r="AC16" s="77"/>
    </row>
    <row r="17" spans="1:29" ht="21" x14ac:dyDescent="0.2">
      <c r="A17" s="83"/>
      <c r="B17" s="92"/>
      <c r="C17" s="92"/>
      <c r="D17" s="92"/>
      <c r="E17" s="79"/>
      <c r="F17" s="79"/>
      <c r="G17" s="77"/>
      <c r="H17" s="86"/>
      <c r="I17" s="86"/>
      <c r="J17" s="86"/>
      <c r="K17" s="86"/>
      <c r="L17" s="86"/>
      <c r="M17" s="77"/>
      <c r="N17" s="403" t="s">
        <v>150</v>
      </c>
      <c r="O17" s="403"/>
      <c r="P17" s="403"/>
      <c r="Q17" s="403"/>
      <c r="R17" s="403"/>
      <c r="S17" s="403"/>
      <c r="T17" s="403"/>
      <c r="U17" s="403"/>
      <c r="V17" s="403"/>
      <c r="W17" s="403"/>
      <c r="X17" s="77"/>
      <c r="Y17" s="77"/>
      <c r="Z17" s="77"/>
      <c r="AA17" s="77"/>
      <c r="AB17" s="77"/>
      <c r="AC17" s="77"/>
    </row>
    <row r="18" spans="1:29" ht="21" x14ac:dyDescent="0.2">
      <c r="A18" s="83"/>
      <c r="B18" s="76"/>
      <c r="C18" s="76"/>
      <c r="D18" s="76"/>
      <c r="E18" s="77"/>
      <c r="F18" s="77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7"/>
      <c r="W18" s="77"/>
      <c r="X18" s="79"/>
      <c r="Y18" s="79"/>
      <c r="Z18" s="79"/>
      <c r="AA18" s="86"/>
      <c r="AB18" s="86"/>
      <c r="AC18" s="77"/>
    </row>
    <row r="19" spans="1:29" ht="21.75" thickBot="1" x14ac:dyDescent="0.25">
      <c r="A19" s="93" t="s">
        <v>151</v>
      </c>
      <c r="B19" s="94"/>
      <c r="C19" s="94"/>
      <c r="D19" s="94"/>
      <c r="E19" s="94"/>
      <c r="F19" s="94"/>
      <c r="G19" s="94"/>
      <c r="H19" s="94"/>
      <c r="I19" s="76"/>
      <c r="J19" s="95"/>
      <c r="K19" s="95"/>
      <c r="L19" s="76"/>
      <c r="M19" s="95"/>
      <c r="N19" s="95"/>
      <c r="O19" s="76"/>
      <c r="P19" s="95"/>
      <c r="Q19" s="95"/>
      <c r="R19" s="76"/>
      <c r="S19" s="95"/>
      <c r="T19" s="95"/>
      <c r="U19" s="96"/>
      <c r="V19" s="95"/>
      <c r="W19" s="95"/>
      <c r="X19" s="76"/>
      <c r="Y19" s="95"/>
      <c r="Z19" s="95"/>
      <c r="AA19" s="76"/>
      <c r="AB19" s="97"/>
      <c r="AC19" s="76"/>
    </row>
    <row r="20" spans="1:29" ht="21.75" thickBot="1" x14ac:dyDescent="0.25">
      <c r="A20" s="98" t="s">
        <v>152</v>
      </c>
      <c r="B20" s="364" t="s">
        <v>153</v>
      </c>
      <c r="C20" s="364"/>
      <c r="D20" s="364"/>
      <c r="E20" s="364"/>
      <c r="F20" s="364"/>
      <c r="G20" s="364"/>
      <c r="H20" s="365"/>
      <c r="I20" s="99"/>
      <c r="J20" s="384" t="s">
        <v>154</v>
      </c>
      <c r="K20" s="385"/>
      <c r="L20" s="100"/>
      <c r="M20" s="384" t="s">
        <v>155</v>
      </c>
      <c r="N20" s="385"/>
      <c r="O20" s="100"/>
      <c r="P20" s="384" t="s">
        <v>156</v>
      </c>
      <c r="Q20" s="385"/>
      <c r="R20" s="100"/>
      <c r="S20" s="384" t="s">
        <v>157</v>
      </c>
      <c r="T20" s="385"/>
      <c r="U20" s="101"/>
      <c r="V20" s="384" t="s">
        <v>158</v>
      </c>
      <c r="W20" s="385"/>
      <c r="X20" s="100"/>
      <c r="Y20" s="366" t="s">
        <v>43</v>
      </c>
      <c r="Z20" s="367"/>
      <c r="AA20" s="100"/>
      <c r="AB20" s="366" t="s">
        <v>44</v>
      </c>
      <c r="AC20" s="367"/>
    </row>
    <row r="21" spans="1:29" ht="21.75" thickBot="1" x14ac:dyDescent="0.25">
      <c r="A21" s="102" t="s">
        <v>159</v>
      </c>
      <c r="B21" s="103"/>
      <c r="C21" s="103"/>
      <c r="D21" s="103"/>
      <c r="E21" s="103"/>
      <c r="F21" s="103"/>
      <c r="G21" s="103"/>
      <c r="H21" s="104"/>
      <c r="I21" s="76"/>
      <c r="J21" s="386"/>
      <c r="K21" s="387"/>
      <c r="L21" s="387"/>
      <c r="M21" s="387"/>
      <c r="N21" s="387"/>
      <c r="O21" s="387"/>
      <c r="P21" s="387"/>
      <c r="Q21" s="387"/>
      <c r="R21" s="387"/>
      <c r="S21" s="387"/>
      <c r="T21" s="387"/>
      <c r="U21" s="387"/>
      <c r="V21" s="387"/>
      <c r="W21" s="388"/>
      <c r="X21" s="83"/>
      <c r="Y21" s="389"/>
      <c r="Z21" s="390"/>
      <c r="AA21" s="83">
        <v>100</v>
      </c>
      <c r="AB21" s="391">
        <v>100</v>
      </c>
      <c r="AC21" s="392"/>
    </row>
    <row r="22" spans="1:29" ht="21" x14ac:dyDescent="0.2">
      <c r="A22" s="105" t="s">
        <v>160</v>
      </c>
      <c r="B22" s="76"/>
      <c r="C22" s="76"/>
      <c r="D22" s="76"/>
      <c r="E22" s="76"/>
      <c r="F22" s="76"/>
      <c r="G22" s="76"/>
      <c r="H22" s="106"/>
      <c r="I22" s="76"/>
      <c r="J22" s="382">
        <f>TBC!D10</f>
        <v>0</v>
      </c>
      <c r="K22" s="383"/>
      <c r="L22" s="83"/>
      <c r="M22" s="382">
        <f>TBC!E10</f>
        <v>0</v>
      </c>
      <c r="N22" s="383"/>
      <c r="O22" s="83"/>
      <c r="P22" s="382">
        <f>TBC!F10</f>
        <v>0</v>
      </c>
      <c r="Q22" s="383"/>
      <c r="R22" s="83"/>
      <c r="S22" s="382">
        <f>TBC!G10</f>
        <v>0</v>
      </c>
      <c r="T22" s="383"/>
      <c r="U22" s="107"/>
      <c r="V22" s="382">
        <f>TBC!H10</f>
        <v>0</v>
      </c>
      <c r="W22" s="383"/>
      <c r="X22" s="83"/>
      <c r="Y22" s="349">
        <f>SUM(J22:W22)</f>
        <v>0</v>
      </c>
      <c r="Z22" s="350"/>
      <c r="AA22" s="83"/>
      <c r="AB22" s="343" t="e">
        <f>Y22/Y21*100</f>
        <v>#DIV/0!</v>
      </c>
      <c r="AC22" s="344"/>
    </row>
    <row r="23" spans="1:29" ht="21" x14ac:dyDescent="0.2">
      <c r="A23" s="105" t="s">
        <v>161</v>
      </c>
      <c r="B23" s="76"/>
      <c r="C23" s="76"/>
      <c r="D23" s="76"/>
      <c r="E23" s="76"/>
      <c r="F23" s="76"/>
      <c r="G23" s="76"/>
      <c r="H23" s="106"/>
      <c r="I23" s="76"/>
      <c r="J23" s="349">
        <f>TBC!D11</f>
        <v>0</v>
      </c>
      <c r="K23" s="350"/>
      <c r="L23" s="83"/>
      <c r="M23" s="349">
        <f>TBC!E11</f>
        <v>0</v>
      </c>
      <c r="N23" s="350"/>
      <c r="O23" s="83"/>
      <c r="P23" s="341">
        <f>TBC!F11</f>
        <v>0</v>
      </c>
      <c r="Q23" s="342"/>
      <c r="R23" s="83"/>
      <c r="S23" s="382">
        <f>TBC!G11</f>
        <v>0</v>
      </c>
      <c r="T23" s="383"/>
      <c r="U23" s="107"/>
      <c r="V23" s="382">
        <f>TBC!H11</f>
        <v>0</v>
      </c>
      <c r="W23" s="383"/>
      <c r="X23" s="83"/>
      <c r="Y23" s="349">
        <f>SUM(J23:W23)</f>
        <v>0</v>
      </c>
      <c r="Z23" s="350"/>
      <c r="AA23" s="83"/>
      <c r="AB23" s="343" t="e">
        <f>Y23/Y22*100</f>
        <v>#DIV/0!</v>
      </c>
      <c r="AC23" s="344"/>
    </row>
    <row r="24" spans="1:29" ht="21.75" thickBot="1" x14ac:dyDescent="0.25">
      <c r="A24" s="108" t="s">
        <v>162</v>
      </c>
      <c r="B24" s="109"/>
      <c r="C24" s="109"/>
      <c r="D24" s="109"/>
      <c r="E24" s="109"/>
      <c r="F24" s="109"/>
      <c r="G24" s="109"/>
      <c r="H24" s="110"/>
      <c r="I24" s="76"/>
      <c r="J24" s="349">
        <f>TBC!D13</f>
        <v>0</v>
      </c>
      <c r="K24" s="350"/>
      <c r="L24" s="83"/>
      <c r="M24" s="349">
        <f>TBC!E13</f>
        <v>0</v>
      </c>
      <c r="N24" s="350"/>
      <c r="O24" s="83"/>
      <c r="P24" s="370">
        <f>TBC!F13</f>
        <v>0</v>
      </c>
      <c r="Q24" s="371"/>
      <c r="R24" s="83"/>
      <c r="S24" s="349">
        <f>TBC!G13</f>
        <v>0</v>
      </c>
      <c r="T24" s="350"/>
      <c r="U24" s="107"/>
      <c r="V24" s="349">
        <f>TBC!H13</f>
        <v>0</v>
      </c>
      <c r="W24" s="350"/>
      <c r="X24" s="83"/>
      <c r="Y24" s="349">
        <f>SUM(J24:W24)</f>
        <v>0</v>
      </c>
      <c r="Z24" s="350"/>
      <c r="AA24" s="83"/>
      <c r="AB24" s="362" t="e">
        <f>Y24/Y23*100</f>
        <v>#DIV/0!</v>
      </c>
      <c r="AC24" s="363"/>
    </row>
    <row r="25" spans="1:29" ht="21" x14ac:dyDescent="0.2">
      <c r="A25" s="105" t="s">
        <v>163</v>
      </c>
      <c r="B25" s="95"/>
      <c r="C25" s="95"/>
      <c r="D25" s="95"/>
      <c r="E25" s="76"/>
      <c r="F25" s="76"/>
      <c r="G25" s="76"/>
      <c r="H25" s="106"/>
      <c r="I25" s="76"/>
      <c r="J25" s="372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374"/>
      <c r="X25" s="83"/>
      <c r="Y25" s="378">
        <f>Y21*2</f>
        <v>0</v>
      </c>
      <c r="Z25" s="379"/>
      <c r="AA25" s="83"/>
      <c r="AB25" s="380">
        <v>100</v>
      </c>
      <c r="AC25" s="381"/>
    </row>
    <row r="26" spans="1:29" ht="21" x14ac:dyDescent="0.2">
      <c r="A26" s="105" t="s">
        <v>164</v>
      </c>
      <c r="B26" s="95"/>
      <c r="C26" s="95"/>
      <c r="D26" s="95"/>
      <c r="E26" s="76"/>
      <c r="F26" s="76"/>
      <c r="G26" s="76"/>
      <c r="H26" s="106"/>
      <c r="I26" s="76"/>
      <c r="J26" s="375"/>
      <c r="K26" s="376"/>
      <c r="L26" s="376"/>
      <c r="M26" s="376"/>
      <c r="N26" s="376"/>
      <c r="O26" s="376"/>
      <c r="P26" s="376"/>
      <c r="Q26" s="376"/>
      <c r="R26" s="376"/>
      <c r="S26" s="376"/>
      <c r="T26" s="376"/>
      <c r="U26" s="376"/>
      <c r="V26" s="376"/>
      <c r="W26" s="377"/>
      <c r="X26" s="83"/>
      <c r="Y26" s="349">
        <f>TBC!C16</f>
        <v>0</v>
      </c>
      <c r="Z26" s="350"/>
      <c r="AA26" s="83"/>
      <c r="AB26" s="343" t="e">
        <f>Y26/Y25*100</f>
        <v>#DIV/0!</v>
      </c>
      <c r="AC26" s="344"/>
    </row>
    <row r="27" spans="1:29" ht="21" x14ac:dyDescent="0.2">
      <c r="A27" s="105" t="s">
        <v>165</v>
      </c>
      <c r="B27" s="95"/>
      <c r="C27" s="95"/>
      <c r="D27" s="95"/>
      <c r="E27" s="76"/>
      <c r="F27" s="76"/>
      <c r="G27" s="76"/>
      <c r="H27" s="106"/>
      <c r="I27" s="76"/>
      <c r="J27" s="375"/>
      <c r="K27" s="376"/>
      <c r="L27" s="376"/>
      <c r="M27" s="376"/>
      <c r="N27" s="376"/>
      <c r="O27" s="376"/>
      <c r="P27" s="376"/>
      <c r="Q27" s="376"/>
      <c r="R27" s="376"/>
      <c r="S27" s="376"/>
      <c r="T27" s="376"/>
      <c r="U27" s="376"/>
      <c r="V27" s="376"/>
      <c r="W27" s="377"/>
      <c r="X27" s="83"/>
      <c r="Y27" s="349">
        <f>TBC!C17</f>
        <v>0</v>
      </c>
      <c r="Z27" s="350"/>
      <c r="AA27" s="83"/>
      <c r="AB27" s="343" t="e">
        <f>Y27/Y26*100</f>
        <v>#DIV/0!</v>
      </c>
      <c r="AC27" s="344"/>
    </row>
    <row r="28" spans="1:29" ht="21" x14ac:dyDescent="0.2">
      <c r="A28" s="105" t="s">
        <v>166</v>
      </c>
      <c r="B28" s="95"/>
      <c r="C28" s="95"/>
      <c r="D28" s="95"/>
      <c r="E28" s="76"/>
      <c r="F28" s="76"/>
      <c r="G28" s="76"/>
      <c r="H28" s="106"/>
      <c r="I28" s="76"/>
      <c r="J28" s="375"/>
      <c r="K28" s="376"/>
      <c r="L28" s="376"/>
      <c r="M28" s="376"/>
      <c r="N28" s="376"/>
      <c r="O28" s="376"/>
      <c r="P28" s="376"/>
      <c r="Q28" s="376"/>
      <c r="R28" s="376"/>
      <c r="S28" s="376"/>
      <c r="T28" s="376"/>
      <c r="U28" s="376"/>
      <c r="V28" s="376"/>
      <c r="W28" s="377"/>
      <c r="X28" s="83"/>
      <c r="Y28" s="349">
        <f>TBC!C18</f>
        <v>0</v>
      </c>
      <c r="Z28" s="350"/>
      <c r="AA28" s="83"/>
      <c r="AB28" s="251"/>
      <c r="AC28" s="252"/>
    </row>
    <row r="29" spans="1:29" ht="21" x14ac:dyDescent="0.2">
      <c r="A29" s="105" t="s">
        <v>167</v>
      </c>
      <c r="B29" s="95"/>
      <c r="C29" s="95"/>
      <c r="D29" s="95"/>
      <c r="E29" s="76"/>
      <c r="F29" s="76"/>
      <c r="G29" s="76"/>
      <c r="H29" s="106"/>
      <c r="I29" s="76"/>
      <c r="J29" s="375"/>
      <c r="K29" s="376"/>
      <c r="L29" s="376"/>
      <c r="M29" s="376"/>
      <c r="N29" s="376"/>
      <c r="O29" s="376"/>
      <c r="P29" s="376"/>
      <c r="Q29" s="376"/>
      <c r="R29" s="376"/>
      <c r="S29" s="376"/>
      <c r="T29" s="376"/>
      <c r="U29" s="376"/>
      <c r="V29" s="376"/>
      <c r="W29" s="377"/>
      <c r="X29" s="83"/>
      <c r="Y29" s="349">
        <f>TBC!C19</f>
        <v>0</v>
      </c>
      <c r="Z29" s="350"/>
      <c r="AA29" s="111"/>
      <c r="AB29" s="251"/>
      <c r="AC29" s="252"/>
    </row>
    <row r="30" spans="1:29" ht="21" x14ac:dyDescent="0.2">
      <c r="A30" s="105" t="s">
        <v>168</v>
      </c>
      <c r="B30" s="95"/>
      <c r="C30" s="95"/>
      <c r="D30" s="95"/>
      <c r="E30" s="76"/>
      <c r="F30" s="76"/>
      <c r="G30" s="76"/>
      <c r="H30" s="106"/>
      <c r="I30" s="76"/>
      <c r="J30" s="375"/>
      <c r="K30" s="376"/>
      <c r="L30" s="376"/>
      <c r="M30" s="376"/>
      <c r="N30" s="376"/>
      <c r="O30" s="376"/>
      <c r="P30" s="376"/>
      <c r="Q30" s="376"/>
      <c r="R30" s="376"/>
      <c r="S30" s="376"/>
      <c r="T30" s="376"/>
      <c r="U30" s="376"/>
      <c r="V30" s="376"/>
      <c r="W30" s="377"/>
      <c r="X30" s="83"/>
      <c r="Y30" s="349">
        <f>TBC!C20</f>
        <v>0</v>
      </c>
      <c r="Z30" s="350"/>
      <c r="AA30" s="83"/>
      <c r="AB30" s="343"/>
      <c r="AC30" s="344"/>
    </row>
    <row r="31" spans="1:29" ht="21" x14ac:dyDescent="0.2">
      <c r="A31" s="105" t="s">
        <v>169</v>
      </c>
      <c r="B31" s="95"/>
      <c r="C31" s="95"/>
      <c r="D31" s="95"/>
      <c r="E31" s="76"/>
      <c r="F31" s="76"/>
      <c r="G31" s="76"/>
      <c r="H31" s="106"/>
      <c r="I31" s="76"/>
      <c r="J31" s="375"/>
      <c r="K31" s="376"/>
      <c r="L31" s="376"/>
      <c r="M31" s="376"/>
      <c r="N31" s="376"/>
      <c r="O31" s="376"/>
      <c r="P31" s="376"/>
      <c r="Q31" s="376"/>
      <c r="R31" s="376"/>
      <c r="S31" s="376"/>
      <c r="T31" s="376"/>
      <c r="U31" s="376"/>
      <c r="V31" s="376"/>
      <c r="W31" s="377"/>
      <c r="X31" s="83"/>
      <c r="Y31" s="349">
        <f>TBC!C21</f>
        <v>0</v>
      </c>
      <c r="Z31" s="350"/>
      <c r="AA31" s="83"/>
      <c r="AB31" s="343"/>
      <c r="AC31" s="344"/>
    </row>
    <row r="32" spans="1:29" ht="21" x14ac:dyDescent="0.2">
      <c r="A32" s="112" t="s">
        <v>170</v>
      </c>
      <c r="B32" s="76"/>
      <c r="C32" s="76"/>
      <c r="D32" s="76"/>
      <c r="E32" s="78"/>
      <c r="F32" s="78"/>
      <c r="G32" s="78"/>
      <c r="H32" s="113"/>
      <c r="I32" s="76"/>
      <c r="J32" s="375"/>
      <c r="K32" s="376"/>
      <c r="L32" s="376"/>
      <c r="M32" s="376"/>
      <c r="N32" s="376"/>
      <c r="O32" s="376"/>
      <c r="P32" s="376"/>
      <c r="Q32" s="376"/>
      <c r="R32" s="376"/>
      <c r="S32" s="376"/>
      <c r="T32" s="376"/>
      <c r="U32" s="376"/>
      <c r="V32" s="376"/>
      <c r="W32" s="377"/>
      <c r="X32" s="83"/>
      <c r="Y32" s="349">
        <f>TBC!C22</f>
        <v>0</v>
      </c>
      <c r="Z32" s="350"/>
      <c r="AA32" s="83"/>
      <c r="AB32" s="343"/>
      <c r="AC32" s="344"/>
    </row>
    <row r="33" spans="1:29" ht="21" x14ac:dyDescent="0.2">
      <c r="A33" s="114"/>
      <c r="B33" s="91" t="s">
        <v>171</v>
      </c>
      <c r="C33" s="91"/>
      <c r="D33" s="91"/>
      <c r="E33" s="91"/>
      <c r="F33" s="91"/>
      <c r="G33" s="91"/>
      <c r="H33" s="115"/>
      <c r="I33" s="91"/>
      <c r="J33" s="375"/>
      <c r="K33" s="376"/>
      <c r="L33" s="376"/>
      <c r="M33" s="376"/>
      <c r="N33" s="376"/>
      <c r="O33" s="376"/>
      <c r="P33" s="376"/>
      <c r="Q33" s="376"/>
      <c r="R33" s="376"/>
      <c r="S33" s="376"/>
      <c r="T33" s="376"/>
      <c r="U33" s="376"/>
      <c r="V33" s="376"/>
      <c r="W33" s="377"/>
      <c r="X33" s="83"/>
      <c r="Y33" s="349">
        <f>TBC!C23</f>
        <v>0</v>
      </c>
      <c r="Z33" s="350"/>
      <c r="AA33" s="83"/>
      <c r="AB33" s="343"/>
      <c r="AC33" s="344"/>
    </row>
    <row r="34" spans="1:29" ht="21.75" thickBot="1" x14ac:dyDescent="0.25">
      <c r="A34" s="114"/>
      <c r="B34" s="91" t="s">
        <v>172</v>
      </c>
      <c r="C34" s="91"/>
      <c r="D34" s="91"/>
      <c r="E34" s="91"/>
      <c r="F34" s="91"/>
      <c r="G34" s="91"/>
      <c r="H34" s="115"/>
      <c r="I34" s="91"/>
      <c r="J34" s="375"/>
      <c r="K34" s="376"/>
      <c r="L34" s="376"/>
      <c r="M34" s="376"/>
      <c r="N34" s="376"/>
      <c r="O34" s="376"/>
      <c r="P34" s="376"/>
      <c r="Q34" s="376"/>
      <c r="R34" s="376"/>
      <c r="S34" s="376"/>
      <c r="T34" s="376"/>
      <c r="U34" s="376"/>
      <c r="V34" s="376"/>
      <c r="W34" s="377"/>
      <c r="X34" s="83"/>
      <c r="Y34" s="349">
        <f>TBC!C24</f>
        <v>0</v>
      </c>
      <c r="Z34" s="350"/>
      <c r="AA34" s="83"/>
      <c r="AB34" s="362"/>
      <c r="AC34" s="363"/>
    </row>
    <row r="35" spans="1:29" ht="21.75" thickBot="1" x14ac:dyDescent="0.25">
      <c r="A35" s="116" t="s">
        <v>173</v>
      </c>
      <c r="B35" s="364" t="s">
        <v>174</v>
      </c>
      <c r="C35" s="364"/>
      <c r="D35" s="364"/>
      <c r="E35" s="364"/>
      <c r="F35" s="364"/>
      <c r="G35" s="364"/>
      <c r="H35" s="365"/>
      <c r="I35" s="99"/>
      <c r="J35" s="366" t="s">
        <v>154</v>
      </c>
      <c r="K35" s="367"/>
      <c r="L35" s="100"/>
      <c r="M35" s="368" t="s">
        <v>155</v>
      </c>
      <c r="N35" s="369"/>
      <c r="O35" s="100"/>
      <c r="P35" s="368" t="s">
        <v>156</v>
      </c>
      <c r="Q35" s="369"/>
      <c r="R35" s="100"/>
      <c r="S35" s="368" t="s">
        <v>157</v>
      </c>
      <c r="T35" s="369"/>
      <c r="U35" s="101"/>
      <c r="V35" s="368" t="s">
        <v>158</v>
      </c>
      <c r="W35" s="369"/>
      <c r="X35" s="100"/>
      <c r="Y35" s="368" t="s">
        <v>43</v>
      </c>
      <c r="Z35" s="369"/>
      <c r="AA35" s="100"/>
      <c r="AB35" s="368" t="s">
        <v>44</v>
      </c>
      <c r="AC35" s="369"/>
    </row>
    <row r="36" spans="1:29" ht="21" x14ac:dyDescent="0.2">
      <c r="A36" s="353" t="s">
        <v>175</v>
      </c>
      <c r="B36" s="354"/>
      <c r="C36" s="354"/>
      <c r="D36" s="354"/>
      <c r="E36" s="354"/>
      <c r="F36" s="354"/>
      <c r="G36" s="354"/>
      <c r="H36" s="355"/>
      <c r="I36" s="76"/>
      <c r="J36" s="305">
        <f>SUM(J37,J42)</f>
        <v>0</v>
      </c>
      <c r="K36" s="306"/>
      <c r="L36" s="83"/>
      <c r="M36" s="305">
        <f>SUM(M37,M42)</f>
        <v>0</v>
      </c>
      <c r="N36" s="306"/>
      <c r="O36" s="83"/>
      <c r="P36" s="305">
        <f>SUM(P37,P42)</f>
        <v>0</v>
      </c>
      <c r="Q36" s="306"/>
      <c r="R36" s="83"/>
      <c r="S36" s="356">
        <f>SUM(S37,S42)</f>
        <v>0</v>
      </c>
      <c r="T36" s="357"/>
      <c r="U36" s="83"/>
      <c r="V36" s="358">
        <f>SUM(V37,V42)</f>
        <v>0</v>
      </c>
      <c r="W36" s="359"/>
      <c r="X36" s="107"/>
      <c r="Y36" s="356">
        <f t="shared" ref="Y36:Y44" si="0">SUM(J36,M36,P36,S36,V36)</f>
        <v>0</v>
      </c>
      <c r="Z36" s="357"/>
      <c r="AA36" s="83"/>
      <c r="AB36" s="360" t="e">
        <f t="shared" ref="AB36:AB44" si="1">Y36/$C$16*100000</f>
        <v>#DIV/0!</v>
      </c>
      <c r="AC36" s="361"/>
    </row>
    <row r="37" spans="1:29" ht="21" x14ac:dyDescent="0.2">
      <c r="A37" s="112" t="s">
        <v>176</v>
      </c>
      <c r="B37" s="76"/>
      <c r="C37" s="76"/>
      <c r="D37" s="76"/>
      <c r="E37" s="78"/>
      <c r="F37" s="78"/>
      <c r="G37" s="78"/>
      <c r="H37" s="106"/>
      <c r="I37" s="76"/>
      <c r="J37" s="276">
        <f>SUM(J38:K41)</f>
        <v>0</v>
      </c>
      <c r="K37" s="277"/>
      <c r="L37" s="83"/>
      <c r="M37" s="276">
        <f>SUM(M38:N41)</f>
        <v>0</v>
      </c>
      <c r="N37" s="277"/>
      <c r="O37" s="83"/>
      <c r="P37" s="276">
        <f>SUM(P38:Q41)</f>
        <v>0</v>
      </c>
      <c r="Q37" s="277"/>
      <c r="R37" s="83"/>
      <c r="S37" s="351">
        <f>SUM(S38:T41)</f>
        <v>0</v>
      </c>
      <c r="T37" s="352"/>
      <c r="U37" s="83"/>
      <c r="V37" s="351">
        <f>SUM(V38:W41)</f>
        <v>0</v>
      </c>
      <c r="W37" s="352"/>
      <c r="X37" s="107"/>
      <c r="Y37" s="345">
        <f t="shared" si="0"/>
        <v>0</v>
      </c>
      <c r="Z37" s="346"/>
      <c r="AA37" s="83"/>
      <c r="AB37" s="347" t="e">
        <f t="shared" si="1"/>
        <v>#DIV/0!</v>
      </c>
      <c r="AC37" s="348"/>
    </row>
    <row r="38" spans="1:29" ht="21" x14ac:dyDescent="0.2">
      <c r="A38" s="114"/>
      <c r="B38" s="117" t="s">
        <v>177</v>
      </c>
      <c r="C38" s="117"/>
      <c r="D38" s="117"/>
      <c r="E38" s="76"/>
      <c r="F38" s="76"/>
      <c r="G38" s="76"/>
      <c r="H38" s="106"/>
      <c r="I38" s="76"/>
      <c r="J38" s="251">
        <f>TBC!D29</f>
        <v>0</v>
      </c>
      <c r="K38" s="252"/>
      <c r="L38" s="83"/>
      <c r="M38" s="251">
        <f>TBC!E29</f>
        <v>0</v>
      </c>
      <c r="N38" s="252"/>
      <c r="O38" s="83"/>
      <c r="P38" s="251">
        <f>TBC!F29</f>
        <v>0</v>
      </c>
      <c r="Q38" s="252"/>
      <c r="R38" s="107"/>
      <c r="S38" s="349">
        <f>TBC!G29</f>
        <v>0</v>
      </c>
      <c r="T38" s="350"/>
      <c r="U38" s="83"/>
      <c r="V38" s="349">
        <f>TBC!H29</f>
        <v>0</v>
      </c>
      <c r="W38" s="350"/>
      <c r="X38" s="107"/>
      <c r="Y38" s="341">
        <f t="shared" si="0"/>
        <v>0</v>
      </c>
      <c r="Z38" s="342"/>
      <c r="AA38" s="83"/>
      <c r="AB38" s="343" t="e">
        <f t="shared" si="1"/>
        <v>#DIV/0!</v>
      </c>
      <c r="AC38" s="344"/>
    </row>
    <row r="39" spans="1:29" ht="21" x14ac:dyDescent="0.2">
      <c r="A39" s="114"/>
      <c r="B39" s="117" t="s">
        <v>178</v>
      </c>
      <c r="C39" s="117"/>
      <c r="D39" s="117"/>
      <c r="E39" s="76"/>
      <c r="F39" s="76"/>
      <c r="G39" s="76"/>
      <c r="H39" s="106"/>
      <c r="I39" s="76"/>
      <c r="J39" s="251">
        <f>TBC!D30</f>
        <v>0</v>
      </c>
      <c r="K39" s="252"/>
      <c r="L39" s="83"/>
      <c r="M39" s="251">
        <f>TBC!E30</f>
        <v>0</v>
      </c>
      <c r="N39" s="252"/>
      <c r="O39" s="83"/>
      <c r="P39" s="251">
        <f>TBC!F30</f>
        <v>0</v>
      </c>
      <c r="Q39" s="252"/>
      <c r="R39" s="107"/>
      <c r="S39" s="349">
        <f>TBC!G30</f>
        <v>0</v>
      </c>
      <c r="T39" s="350"/>
      <c r="U39" s="83"/>
      <c r="V39" s="349">
        <f>TBC!H30</f>
        <v>0</v>
      </c>
      <c r="W39" s="350"/>
      <c r="X39" s="107"/>
      <c r="Y39" s="341">
        <f t="shared" si="0"/>
        <v>0</v>
      </c>
      <c r="Z39" s="342"/>
      <c r="AA39" s="83"/>
      <c r="AB39" s="343" t="e">
        <f t="shared" si="1"/>
        <v>#DIV/0!</v>
      </c>
      <c r="AC39" s="344"/>
    </row>
    <row r="40" spans="1:29" ht="21" x14ac:dyDescent="0.2">
      <c r="A40" s="114"/>
      <c r="B40" s="91" t="s">
        <v>179</v>
      </c>
      <c r="C40" s="91"/>
      <c r="D40" s="91"/>
      <c r="E40" s="76"/>
      <c r="F40" s="76"/>
      <c r="G40" s="76"/>
      <c r="H40" s="106"/>
      <c r="I40" s="76"/>
      <c r="J40" s="251">
        <f>TBC!D32</f>
        <v>0</v>
      </c>
      <c r="K40" s="252"/>
      <c r="L40" s="83"/>
      <c r="M40" s="251">
        <f>TBC!E32</f>
        <v>0</v>
      </c>
      <c r="N40" s="252"/>
      <c r="O40" s="83"/>
      <c r="P40" s="251">
        <f>TBC!F32</f>
        <v>0</v>
      </c>
      <c r="Q40" s="252"/>
      <c r="R40" s="107"/>
      <c r="S40" s="349">
        <f>TBC!G32</f>
        <v>0</v>
      </c>
      <c r="T40" s="350"/>
      <c r="U40" s="83"/>
      <c r="V40" s="349">
        <f>TBC!H32</f>
        <v>0</v>
      </c>
      <c r="W40" s="350"/>
      <c r="X40" s="107"/>
      <c r="Y40" s="341">
        <f t="shared" si="0"/>
        <v>0</v>
      </c>
      <c r="Z40" s="342"/>
      <c r="AA40" s="83"/>
      <c r="AB40" s="343" t="e">
        <f t="shared" si="1"/>
        <v>#DIV/0!</v>
      </c>
      <c r="AC40" s="344"/>
    </row>
    <row r="41" spans="1:29" ht="21" x14ac:dyDescent="0.2">
      <c r="A41" s="114"/>
      <c r="B41" s="91" t="s">
        <v>180</v>
      </c>
      <c r="C41" s="91"/>
      <c r="D41" s="91"/>
      <c r="E41" s="76"/>
      <c r="F41" s="76"/>
      <c r="G41" s="76"/>
      <c r="H41" s="106"/>
      <c r="I41" s="76"/>
      <c r="J41" s="251">
        <f>TBC!D33</f>
        <v>0</v>
      </c>
      <c r="K41" s="252"/>
      <c r="L41" s="83"/>
      <c r="M41" s="251">
        <f>TBC!E33</f>
        <v>0</v>
      </c>
      <c r="N41" s="252"/>
      <c r="O41" s="83"/>
      <c r="P41" s="251">
        <f>TBC!F33</f>
        <v>0</v>
      </c>
      <c r="Q41" s="252"/>
      <c r="R41" s="107"/>
      <c r="S41" s="349">
        <f>TBC!G33</f>
        <v>0</v>
      </c>
      <c r="T41" s="350"/>
      <c r="U41" s="83"/>
      <c r="V41" s="349">
        <f>TBC!H33</f>
        <v>0</v>
      </c>
      <c r="W41" s="350"/>
      <c r="X41" s="107"/>
      <c r="Y41" s="341">
        <f t="shared" si="0"/>
        <v>0</v>
      </c>
      <c r="Z41" s="342"/>
      <c r="AA41" s="83"/>
      <c r="AB41" s="343" t="e">
        <f t="shared" si="1"/>
        <v>#DIV/0!</v>
      </c>
      <c r="AC41" s="344"/>
    </row>
    <row r="42" spans="1:29" ht="21" x14ac:dyDescent="0.2">
      <c r="A42" s="112" t="s">
        <v>181</v>
      </c>
      <c r="B42" s="76"/>
      <c r="C42" s="76"/>
      <c r="D42" s="76"/>
      <c r="E42" s="78"/>
      <c r="F42" s="78"/>
      <c r="G42" s="76"/>
      <c r="H42" s="106"/>
      <c r="I42" s="76"/>
      <c r="J42" s="276">
        <f>SUM(J43:K44)</f>
        <v>0</v>
      </c>
      <c r="K42" s="277"/>
      <c r="L42" s="83"/>
      <c r="M42" s="276">
        <f>SUM(M43:N44)</f>
        <v>0</v>
      </c>
      <c r="N42" s="277"/>
      <c r="O42" s="83"/>
      <c r="P42" s="276">
        <f>SUM(P43:Q44)</f>
        <v>0</v>
      </c>
      <c r="Q42" s="277"/>
      <c r="R42" s="107"/>
      <c r="S42" s="351">
        <f>SUM(S43:T44)</f>
        <v>0</v>
      </c>
      <c r="T42" s="352"/>
      <c r="U42" s="83"/>
      <c r="V42" s="351">
        <f>SUM(V43:W44)</f>
        <v>0</v>
      </c>
      <c r="W42" s="352"/>
      <c r="X42" s="107"/>
      <c r="Y42" s="345">
        <f t="shared" si="0"/>
        <v>0</v>
      </c>
      <c r="Z42" s="346"/>
      <c r="AA42" s="83"/>
      <c r="AB42" s="347" t="e">
        <f t="shared" si="1"/>
        <v>#DIV/0!</v>
      </c>
      <c r="AC42" s="348"/>
    </row>
    <row r="43" spans="1:29" ht="21" x14ac:dyDescent="0.2">
      <c r="A43" s="118"/>
      <c r="B43" s="91" t="s">
        <v>182</v>
      </c>
      <c r="C43" s="91"/>
      <c r="D43" s="91"/>
      <c r="E43" s="76"/>
      <c r="F43" s="76"/>
      <c r="G43" s="76"/>
      <c r="H43" s="106"/>
      <c r="I43" s="76"/>
      <c r="J43" s="251">
        <f>TBC!D35+TBC!D36</f>
        <v>0</v>
      </c>
      <c r="K43" s="252"/>
      <c r="L43" s="83"/>
      <c r="M43" s="251">
        <f>TBC!E35+TBC!E36</f>
        <v>0</v>
      </c>
      <c r="N43" s="252"/>
      <c r="O43" s="83"/>
      <c r="P43" s="251">
        <f>TBC!F35+TBC!F36</f>
        <v>0</v>
      </c>
      <c r="Q43" s="252"/>
      <c r="R43" s="107"/>
      <c r="S43" s="349">
        <f>TBC!G35+TBC!G36</f>
        <v>0</v>
      </c>
      <c r="T43" s="350"/>
      <c r="U43" s="83"/>
      <c r="V43" s="349">
        <f>TBC!H35+TBC!H36</f>
        <v>0</v>
      </c>
      <c r="W43" s="350"/>
      <c r="X43" s="107"/>
      <c r="Y43" s="341">
        <f t="shared" si="0"/>
        <v>0</v>
      </c>
      <c r="Z43" s="342"/>
      <c r="AA43" s="83"/>
      <c r="AB43" s="343" t="e">
        <f t="shared" si="1"/>
        <v>#DIV/0!</v>
      </c>
      <c r="AC43" s="344"/>
    </row>
    <row r="44" spans="1:29" ht="21.75" thickBot="1" x14ac:dyDescent="0.25">
      <c r="A44" s="119"/>
      <c r="B44" s="91" t="s">
        <v>183</v>
      </c>
      <c r="C44" s="91"/>
      <c r="D44" s="91"/>
      <c r="E44" s="109"/>
      <c r="F44" s="109"/>
      <c r="G44" s="109"/>
      <c r="H44" s="110"/>
      <c r="I44" s="76"/>
      <c r="J44" s="259">
        <f>TBC!D37</f>
        <v>0</v>
      </c>
      <c r="K44" s="260"/>
      <c r="L44" s="83"/>
      <c r="M44" s="259">
        <f>TBC!E37</f>
        <v>0</v>
      </c>
      <c r="N44" s="260"/>
      <c r="O44" s="83"/>
      <c r="P44" s="259">
        <f>TBC!F37</f>
        <v>0</v>
      </c>
      <c r="Q44" s="260"/>
      <c r="R44" s="107"/>
      <c r="S44" s="339">
        <f>TBC!G37</f>
        <v>0</v>
      </c>
      <c r="T44" s="340"/>
      <c r="U44" s="83"/>
      <c r="V44" s="339">
        <f>TBC!H37</f>
        <v>0</v>
      </c>
      <c r="W44" s="340"/>
      <c r="X44" s="107"/>
      <c r="Y44" s="341">
        <f t="shared" si="0"/>
        <v>0</v>
      </c>
      <c r="Z44" s="342"/>
      <c r="AA44" s="83"/>
      <c r="AB44" s="343" t="e">
        <f t="shared" si="1"/>
        <v>#DIV/0!</v>
      </c>
      <c r="AC44" s="344"/>
    </row>
    <row r="45" spans="1:29" ht="21.75" thickBot="1" x14ac:dyDescent="0.25">
      <c r="A45" s="98" t="s">
        <v>184</v>
      </c>
      <c r="B45" s="255" t="s">
        <v>185</v>
      </c>
      <c r="C45" s="255"/>
      <c r="D45" s="255"/>
      <c r="E45" s="255"/>
      <c r="F45" s="255"/>
      <c r="G45" s="255"/>
      <c r="H45" s="256"/>
      <c r="I45" s="76"/>
      <c r="J45" s="257" t="s">
        <v>154</v>
      </c>
      <c r="K45" s="258"/>
      <c r="L45" s="83"/>
      <c r="M45" s="257" t="s">
        <v>155</v>
      </c>
      <c r="N45" s="258"/>
      <c r="O45" s="83"/>
      <c r="P45" s="257" t="s">
        <v>156</v>
      </c>
      <c r="Q45" s="258"/>
      <c r="R45" s="83"/>
      <c r="S45" s="257" t="s">
        <v>157</v>
      </c>
      <c r="T45" s="258"/>
      <c r="U45" s="107"/>
      <c r="V45" s="257" t="s">
        <v>158</v>
      </c>
      <c r="W45" s="258"/>
      <c r="X45" s="83"/>
      <c r="Y45" s="257" t="s">
        <v>43</v>
      </c>
      <c r="Z45" s="258"/>
      <c r="AA45" s="83"/>
      <c r="AB45" s="247" t="s">
        <v>44</v>
      </c>
      <c r="AC45" s="249"/>
    </row>
    <row r="46" spans="1:29" ht="21" x14ac:dyDescent="0.2">
      <c r="A46" s="120" t="s">
        <v>186</v>
      </c>
      <c r="B46" s="103"/>
      <c r="C46" s="103"/>
      <c r="D46" s="103"/>
      <c r="E46" s="121"/>
      <c r="F46" s="121"/>
      <c r="G46" s="121"/>
      <c r="H46" s="122"/>
      <c r="I46" s="78"/>
      <c r="J46" s="303">
        <f>SUM(J47,J50)</f>
        <v>0</v>
      </c>
      <c r="K46" s="304"/>
      <c r="L46" s="83"/>
      <c r="M46" s="303">
        <f>SUM(M47,M50)</f>
        <v>0</v>
      </c>
      <c r="N46" s="304"/>
      <c r="O46" s="83"/>
      <c r="P46" s="303">
        <f>SUM(P47,P50)</f>
        <v>0</v>
      </c>
      <c r="Q46" s="304"/>
      <c r="R46" s="123"/>
      <c r="S46" s="303">
        <f>SUM(S47,S50)</f>
        <v>0</v>
      </c>
      <c r="T46" s="304"/>
      <c r="U46" s="123"/>
      <c r="V46" s="303">
        <f>SUM(V47,V50)</f>
        <v>0</v>
      </c>
      <c r="W46" s="304"/>
      <c r="X46" s="123"/>
      <c r="Y46" s="303">
        <f>SUM(J46,M46,P46,S46,V46)</f>
        <v>0</v>
      </c>
      <c r="Z46" s="304"/>
      <c r="AA46" s="83"/>
      <c r="AB46" s="303" t="e">
        <f>Y46/$C$16*100000</f>
        <v>#DIV/0!</v>
      </c>
      <c r="AC46" s="304"/>
    </row>
    <row r="47" spans="1:29" ht="21" x14ac:dyDescent="0.2">
      <c r="A47" s="112" t="s">
        <v>187</v>
      </c>
      <c r="B47" s="76"/>
      <c r="C47" s="76"/>
      <c r="D47" s="76"/>
      <c r="E47" s="78"/>
      <c r="F47" s="78"/>
      <c r="G47" s="78"/>
      <c r="H47" s="113"/>
      <c r="I47" s="78"/>
      <c r="J47" s="276">
        <f>SUM(J48:K49)</f>
        <v>0</v>
      </c>
      <c r="K47" s="277"/>
      <c r="L47" s="83"/>
      <c r="M47" s="276">
        <f>SUM(M48:N49)</f>
        <v>0</v>
      </c>
      <c r="N47" s="277"/>
      <c r="O47" s="83"/>
      <c r="P47" s="276">
        <f>SUM(P48:Q49)</f>
        <v>0</v>
      </c>
      <c r="Q47" s="277"/>
      <c r="R47" s="83"/>
      <c r="S47" s="276">
        <f>SUM(S48:T49)</f>
        <v>0</v>
      </c>
      <c r="T47" s="277"/>
      <c r="U47" s="83"/>
      <c r="V47" s="276">
        <f>SUM(V48:W49)</f>
        <v>0</v>
      </c>
      <c r="W47" s="277"/>
      <c r="X47" s="107"/>
      <c r="Y47" s="276">
        <f>SUM(J47,M47,P47,S47,V47)</f>
        <v>0</v>
      </c>
      <c r="Z47" s="277"/>
      <c r="AA47" s="83"/>
      <c r="AB47" s="276" t="e">
        <f>Y47/$C$16*100000</f>
        <v>#DIV/0!</v>
      </c>
      <c r="AC47" s="277"/>
    </row>
    <row r="48" spans="1:29" ht="21" x14ac:dyDescent="0.2">
      <c r="A48" s="114"/>
      <c r="B48" s="91" t="s">
        <v>188</v>
      </c>
      <c r="C48" s="91"/>
      <c r="D48" s="91"/>
      <c r="E48" s="76"/>
      <c r="F48" s="76"/>
      <c r="G48" s="76"/>
      <c r="H48" s="106"/>
      <c r="I48" s="76"/>
      <c r="J48" s="251">
        <f>TBC!D41</f>
        <v>0</v>
      </c>
      <c r="K48" s="252"/>
      <c r="L48" s="83"/>
      <c r="M48" s="251">
        <f>TBC!E41</f>
        <v>0</v>
      </c>
      <c r="N48" s="252"/>
      <c r="O48" s="83"/>
      <c r="P48" s="251">
        <f>TBC!F41</f>
        <v>0</v>
      </c>
      <c r="Q48" s="252"/>
      <c r="R48" s="83"/>
      <c r="S48" s="251">
        <f>TBC!G41</f>
        <v>0</v>
      </c>
      <c r="T48" s="252"/>
      <c r="U48" s="83"/>
      <c r="V48" s="251">
        <f>TBC!H41</f>
        <v>0</v>
      </c>
      <c r="W48" s="252"/>
      <c r="X48" s="83"/>
      <c r="Y48" s="251">
        <f>SUM(J48,M48,P48,S48,V48)</f>
        <v>0</v>
      </c>
      <c r="Z48" s="252"/>
      <c r="AA48" s="83"/>
      <c r="AB48" s="251" t="e">
        <f>Y48/C16*100000</f>
        <v>#DIV/0!</v>
      </c>
      <c r="AC48" s="252"/>
    </row>
    <row r="49" spans="1:29" ht="21" x14ac:dyDescent="0.2">
      <c r="A49" s="114"/>
      <c r="B49" s="91" t="s">
        <v>189</v>
      </c>
      <c r="C49" s="91"/>
      <c r="D49" s="91"/>
      <c r="E49" s="76"/>
      <c r="F49" s="76"/>
      <c r="G49" s="76"/>
      <c r="H49" s="106"/>
      <c r="I49" s="76"/>
      <c r="J49" s="251">
        <f>TBC!D42</f>
        <v>0</v>
      </c>
      <c r="K49" s="252"/>
      <c r="L49" s="83"/>
      <c r="M49" s="251">
        <f>TBC!E42</f>
        <v>0</v>
      </c>
      <c r="N49" s="252"/>
      <c r="O49" s="83"/>
      <c r="P49" s="251">
        <f>TBC!F42</f>
        <v>0</v>
      </c>
      <c r="Q49" s="252"/>
      <c r="R49" s="83"/>
      <c r="S49" s="251">
        <f>TBC!G42</f>
        <v>0</v>
      </c>
      <c r="T49" s="252"/>
      <c r="U49" s="83"/>
      <c r="V49" s="251">
        <f>TBC!H42</f>
        <v>0</v>
      </c>
      <c r="W49" s="252"/>
      <c r="X49" s="83"/>
      <c r="Y49" s="251">
        <f>SUM(J49,M49,P49,S49,V49)</f>
        <v>0</v>
      </c>
      <c r="Z49" s="252"/>
      <c r="AA49" s="83"/>
      <c r="AB49" s="251" t="e">
        <f>Y49/$C$16*100000</f>
        <v>#DIV/0!</v>
      </c>
      <c r="AC49" s="252"/>
    </row>
    <row r="50" spans="1:29" ht="21.75" thickBot="1" x14ac:dyDescent="0.25">
      <c r="A50" s="124" t="s">
        <v>190</v>
      </c>
      <c r="B50" s="109"/>
      <c r="C50" s="109"/>
      <c r="D50" s="109"/>
      <c r="E50" s="125"/>
      <c r="F50" s="125"/>
      <c r="G50" s="125"/>
      <c r="H50" s="126"/>
      <c r="I50" s="78"/>
      <c r="J50" s="251">
        <f>TBC!D43</f>
        <v>0</v>
      </c>
      <c r="K50" s="252"/>
      <c r="L50" s="83"/>
      <c r="M50" s="251">
        <f>TBC!E43</f>
        <v>0</v>
      </c>
      <c r="N50" s="252"/>
      <c r="O50" s="83"/>
      <c r="P50" s="251">
        <f>TBC!F43</f>
        <v>0</v>
      </c>
      <c r="Q50" s="252"/>
      <c r="R50" s="83"/>
      <c r="S50" s="251">
        <f>TBC!G43</f>
        <v>0</v>
      </c>
      <c r="T50" s="252"/>
      <c r="U50" s="83"/>
      <c r="V50" s="251">
        <f>TBC!H43</f>
        <v>0</v>
      </c>
      <c r="W50" s="252"/>
      <c r="X50" s="107"/>
      <c r="Y50" s="251">
        <f>SUM(J50,M50,P50,S50,V50)</f>
        <v>0</v>
      </c>
      <c r="Z50" s="252"/>
      <c r="AA50" s="83"/>
      <c r="AB50" s="251" t="e">
        <f>Y50/$C$16*100000</f>
        <v>#DIV/0!</v>
      </c>
      <c r="AC50" s="252"/>
    </row>
    <row r="51" spans="1:29" ht="21.75" thickBot="1" x14ac:dyDescent="0.25">
      <c r="A51" s="98" t="s">
        <v>191</v>
      </c>
      <c r="B51" s="255" t="s">
        <v>36</v>
      </c>
      <c r="C51" s="255"/>
      <c r="D51" s="255"/>
      <c r="E51" s="255"/>
      <c r="F51" s="255"/>
      <c r="G51" s="255"/>
      <c r="H51" s="256"/>
      <c r="I51" s="76"/>
      <c r="J51" s="257" t="s">
        <v>154</v>
      </c>
      <c r="K51" s="258"/>
      <c r="L51" s="83"/>
      <c r="M51" s="257" t="s">
        <v>155</v>
      </c>
      <c r="N51" s="258"/>
      <c r="O51" s="83"/>
      <c r="P51" s="257" t="s">
        <v>156</v>
      </c>
      <c r="Q51" s="258"/>
      <c r="R51" s="83"/>
      <c r="S51" s="257" t="s">
        <v>157</v>
      </c>
      <c r="T51" s="258"/>
      <c r="U51" s="107"/>
      <c r="V51" s="257" t="s">
        <v>158</v>
      </c>
      <c r="W51" s="258"/>
      <c r="X51" s="83"/>
      <c r="Y51" s="257" t="s">
        <v>43</v>
      </c>
      <c r="Z51" s="258"/>
      <c r="AA51" s="83"/>
      <c r="AB51" s="257" t="s">
        <v>44</v>
      </c>
      <c r="AC51" s="258"/>
    </row>
    <row r="52" spans="1:29" ht="21" x14ac:dyDescent="0.2">
      <c r="A52" s="120" t="s">
        <v>192</v>
      </c>
      <c r="B52" s="103"/>
      <c r="C52" s="103"/>
      <c r="D52" s="103"/>
      <c r="E52" s="121"/>
      <c r="F52" s="121"/>
      <c r="G52" s="121"/>
      <c r="H52" s="122"/>
      <c r="I52" s="78"/>
      <c r="J52" s="303">
        <f>SUM(J53,J56)</f>
        <v>0</v>
      </c>
      <c r="K52" s="304"/>
      <c r="L52" s="83"/>
      <c r="M52" s="303">
        <f>SUM(M53,M56)</f>
        <v>0</v>
      </c>
      <c r="N52" s="304"/>
      <c r="O52" s="83"/>
      <c r="P52" s="303">
        <f>SUM(P53,P56)</f>
        <v>0</v>
      </c>
      <c r="Q52" s="304"/>
      <c r="R52" s="123"/>
      <c r="S52" s="303">
        <f>SUM(S53,S56)</f>
        <v>0</v>
      </c>
      <c r="T52" s="304"/>
      <c r="U52" s="123"/>
      <c r="V52" s="303">
        <f>SUM(V53,V56)</f>
        <v>0</v>
      </c>
      <c r="W52" s="304"/>
      <c r="X52" s="123"/>
      <c r="Y52" s="303">
        <f>SUM(J52,M52,P52,S52,V52)</f>
        <v>0</v>
      </c>
      <c r="Z52" s="304"/>
      <c r="AA52" s="83"/>
      <c r="AB52" s="303" t="e">
        <f>Y52/$C$16*100000</f>
        <v>#DIV/0!</v>
      </c>
      <c r="AC52" s="304"/>
    </row>
    <row r="53" spans="1:29" ht="21" x14ac:dyDescent="0.2">
      <c r="A53" s="112" t="s">
        <v>193</v>
      </c>
      <c r="B53" s="76"/>
      <c r="C53" s="76"/>
      <c r="D53" s="76"/>
      <c r="E53" s="78"/>
      <c r="F53" s="78"/>
      <c r="G53" s="78"/>
      <c r="H53" s="113"/>
      <c r="I53" s="76"/>
      <c r="J53" s="276">
        <f>SUM(J54:K55)</f>
        <v>0</v>
      </c>
      <c r="K53" s="277"/>
      <c r="L53" s="83"/>
      <c r="M53" s="276">
        <f>SUM(M54:N55)</f>
        <v>0</v>
      </c>
      <c r="N53" s="277"/>
      <c r="O53" s="83"/>
      <c r="P53" s="276">
        <f>SUM(P54:Q55)</f>
        <v>0</v>
      </c>
      <c r="Q53" s="277"/>
      <c r="R53" s="83"/>
      <c r="S53" s="276">
        <f>SUM(S54:T55)</f>
        <v>0</v>
      </c>
      <c r="T53" s="277"/>
      <c r="U53" s="123"/>
      <c r="V53" s="276">
        <f>SUM(V54:W55)</f>
        <v>0</v>
      </c>
      <c r="W53" s="277"/>
      <c r="X53" s="123"/>
      <c r="Y53" s="276">
        <f>SUM(J53,M53,P53,S53,V53)</f>
        <v>0</v>
      </c>
      <c r="Z53" s="277"/>
      <c r="AA53" s="83"/>
      <c r="AB53" s="276" t="e">
        <f>Y53/$C$16*100000</f>
        <v>#DIV/0!</v>
      </c>
      <c r="AC53" s="277"/>
    </row>
    <row r="54" spans="1:29" ht="21" x14ac:dyDescent="0.2">
      <c r="A54" s="114"/>
      <c r="B54" s="91" t="s">
        <v>194</v>
      </c>
      <c r="C54" s="91"/>
      <c r="D54" s="91"/>
      <c r="E54" s="76"/>
      <c r="F54" s="76"/>
      <c r="G54" s="76"/>
      <c r="H54" s="106"/>
      <c r="I54" s="76"/>
      <c r="J54" s="251">
        <f>TBC!D47</f>
        <v>0</v>
      </c>
      <c r="K54" s="252"/>
      <c r="L54" s="83"/>
      <c r="M54" s="251">
        <f>TBC!E47</f>
        <v>0</v>
      </c>
      <c r="N54" s="252"/>
      <c r="O54" s="83"/>
      <c r="P54" s="251">
        <f>TBC!F47</f>
        <v>0</v>
      </c>
      <c r="Q54" s="252"/>
      <c r="R54" s="83"/>
      <c r="S54" s="251">
        <f>TBC!G47</f>
        <v>0</v>
      </c>
      <c r="T54" s="252"/>
      <c r="U54" s="83"/>
      <c r="V54" s="251">
        <f>TBC!H47</f>
        <v>0</v>
      </c>
      <c r="W54" s="252"/>
      <c r="X54" s="83"/>
      <c r="Y54" s="251">
        <f>SUM(J54,M54,P54,S54,V54)</f>
        <v>0</v>
      </c>
      <c r="Z54" s="252"/>
      <c r="AA54" s="83"/>
      <c r="AB54" s="251" t="e">
        <f>Y54/$C$16*100000</f>
        <v>#DIV/0!</v>
      </c>
      <c r="AC54" s="252"/>
    </row>
    <row r="55" spans="1:29" ht="21" x14ac:dyDescent="0.2">
      <c r="A55" s="114"/>
      <c r="B55" s="91" t="s">
        <v>195</v>
      </c>
      <c r="C55" s="91"/>
      <c r="D55" s="91"/>
      <c r="E55" s="76"/>
      <c r="F55" s="76"/>
      <c r="G55" s="76"/>
      <c r="H55" s="106"/>
      <c r="I55" s="76"/>
      <c r="J55" s="251">
        <f>TBC!D48</f>
        <v>0</v>
      </c>
      <c r="K55" s="252"/>
      <c r="L55" s="83"/>
      <c r="M55" s="251">
        <f>TBC!E48</f>
        <v>0</v>
      </c>
      <c r="N55" s="252"/>
      <c r="O55" s="83"/>
      <c r="P55" s="251">
        <f>TBC!F48</f>
        <v>0</v>
      </c>
      <c r="Q55" s="252"/>
      <c r="R55" s="83"/>
      <c r="S55" s="251">
        <f>TBC!G48</f>
        <v>0</v>
      </c>
      <c r="T55" s="252"/>
      <c r="U55" s="83"/>
      <c r="V55" s="251">
        <f>TBC!H48</f>
        <v>0</v>
      </c>
      <c r="W55" s="252"/>
      <c r="X55" s="83"/>
      <c r="Y55" s="251">
        <f>SUM(J55,M55,P55,S55,V55)</f>
        <v>0</v>
      </c>
      <c r="Z55" s="252"/>
      <c r="AA55" s="83"/>
      <c r="AB55" s="251" t="e">
        <f>Y55/$C$16*100000</f>
        <v>#DIV/0!</v>
      </c>
      <c r="AC55" s="252"/>
    </row>
    <row r="56" spans="1:29" ht="21.75" thickBot="1" x14ac:dyDescent="0.25">
      <c r="A56" s="124" t="s">
        <v>196</v>
      </c>
      <c r="B56" s="109"/>
      <c r="C56" s="109"/>
      <c r="D56" s="109"/>
      <c r="E56" s="125"/>
      <c r="F56" s="125"/>
      <c r="G56" s="125"/>
      <c r="H56" s="126"/>
      <c r="I56" s="76"/>
      <c r="J56" s="251">
        <f>TBC!D49</f>
        <v>0</v>
      </c>
      <c r="K56" s="252"/>
      <c r="L56" s="83"/>
      <c r="M56" s="251">
        <f>TBC!E49</f>
        <v>0</v>
      </c>
      <c r="N56" s="252"/>
      <c r="O56" s="83"/>
      <c r="P56" s="251">
        <f>TBC!F49</f>
        <v>0</v>
      </c>
      <c r="Q56" s="252"/>
      <c r="R56" s="83"/>
      <c r="S56" s="251">
        <f>TBC!G49</f>
        <v>0</v>
      </c>
      <c r="T56" s="252"/>
      <c r="U56" s="83"/>
      <c r="V56" s="251">
        <f>TBC!H49</f>
        <v>0</v>
      </c>
      <c r="W56" s="252"/>
      <c r="X56" s="83"/>
      <c r="Y56" s="251">
        <f>SUM(J56,M56,P56,S56,V56)</f>
        <v>0</v>
      </c>
      <c r="Z56" s="252"/>
      <c r="AA56" s="83"/>
      <c r="AB56" s="251" t="e">
        <f>Y56/$C$16*100000</f>
        <v>#DIV/0!</v>
      </c>
      <c r="AC56" s="252"/>
    </row>
    <row r="57" spans="1:29" ht="21.75" thickBot="1" x14ac:dyDescent="0.25">
      <c r="A57" s="98" t="s">
        <v>197</v>
      </c>
      <c r="B57" s="255" t="s">
        <v>198</v>
      </c>
      <c r="C57" s="255"/>
      <c r="D57" s="255"/>
      <c r="E57" s="255"/>
      <c r="F57" s="255"/>
      <c r="G57" s="255"/>
      <c r="H57" s="256"/>
      <c r="I57" s="76"/>
      <c r="J57" s="257" t="s">
        <v>154</v>
      </c>
      <c r="K57" s="258"/>
      <c r="L57" s="83"/>
      <c r="M57" s="257" t="s">
        <v>155</v>
      </c>
      <c r="N57" s="258"/>
      <c r="O57" s="83"/>
      <c r="P57" s="257" t="s">
        <v>156</v>
      </c>
      <c r="Q57" s="258"/>
      <c r="R57" s="83"/>
      <c r="S57" s="257" t="s">
        <v>157</v>
      </c>
      <c r="T57" s="258"/>
      <c r="U57" s="83"/>
      <c r="V57" s="257" t="s">
        <v>158</v>
      </c>
      <c r="W57" s="258"/>
      <c r="X57" s="83"/>
      <c r="Y57" s="257" t="s">
        <v>43</v>
      </c>
      <c r="Z57" s="258"/>
      <c r="AA57" s="83"/>
      <c r="AB57" s="247" t="s">
        <v>44</v>
      </c>
      <c r="AC57" s="249"/>
    </row>
    <row r="58" spans="1:29" ht="21.75" thickBot="1" x14ac:dyDescent="0.25">
      <c r="A58" s="334" t="s">
        <v>199</v>
      </c>
      <c r="B58" s="335"/>
      <c r="C58" s="335"/>
      <c r="D58" s="335"/>
      <c r="E58" s="335"/>
      <c r="F58" s="335"/>
      <c r="G58" s="335"/>
      <c r="H58" s="336"/>
      <c r="I58" s="76"/>
      <c r="J58" s="236">
        <f>TBC!D51</f>
        <v>0</v>
      </c>
      <c r="K58" s="237"/>
      <c r="L58" s="83"/>
      <c r="M58" s="236">
        <f>TBC!E51</f>
        <v>0</v>
      </c>
      <c r="N58" s="237"/>
      <c r="O58" s="83"/>
      <c r="P58" s="337">
        <f>TBC!F51</f>
        <v>0</v>
      </c>
      <c r="Q58" s="338"/>
      <c r="R58" s="83"/>
      <c r="S58" s="263">
        <f>TBC!G51</f>
        <v>0</v>
      </c>
      <c r="T58" s="263"/>
      <c r="U58" s="83"/>
      <c r="V58" s="337">
        <f>TBC!H51</f>
        <v>0</v>
      </c>
      <c r="W58" s="338"/>
      <c r="X58" s="83"/>
      <c r="Y58" s="337">
        <f>SUM(J58,M58,P58,S58,V58)</f>
        <v>0</v>
      </c>
      <c r="Z58" s="338"/>
      <c r="AA58" s="83"/>
      <c r="AB58" s="251"/>
      <c r="AC58" s="252"/>
    </row>
    <row r="59" spans="1:29" ht="21.75" thickBot="1" x14ac:dyDescent="0.25">
      <c r="A59" s="98" t="s">
        <v>200</v>
      </c>
      <c r="B59" s="255" t="s">
        <v>201</v>
      </c>
      <c r="C59" s="255"/>
      <c r="D59" s="255"/>
      <c r="E59" s="255"/>
      <c r="F59" s="255"/>
      <c r="G59" s="255"/>
      <c r="H59" s="256"/>
      <c r="I59" s="76"/>
      <c r="J59" s="322" t="s">
        <v>154</v>
      </c>
      <c r="K59" s="323"/>
      <c r="L59" s="83"/>
      <c r="M59" s="284" t="s">
        <v>155</v>
      </c>
      <c r="N59" s="285"/>
      <c r="O59" s="83"/>
      <c r="P59" s="322" t="s">
        <v>156</v>
      </c>
      <c r="Q59" s="323"/>
      <c r="R59" s="83"/>
      <c r="S59" s="282" t="s">
        <v>157</v>
      </c>
      <c r="T59" s="283"/>
      <c r="U59" s="83"/>
      <c r="V59" s="282" t="s">
        <v>158</v>
      </c>
      <c r="W59" s="283"/>
      <c r="X59" s="83"/>
      <c r="Y59" s="282" t="s">
        <v>43</v>
      </c>
      <c r="Z59" s="283"/>
      <c r="AA59" s="83"/>
      <c r="AB59" s="247" t="s">
        <v>44</v>
      </c>
      <c r="AC59" s="249"/>
    </row>
    <row r="60" spans="1:29" ht="21.75" thickBot="1" x14ac:dyDescent="0.25">
      <c r="A60" s="127" t="s">
        <v>202</v>
      </c>
      <c r="B60" s="128"/>
      <c r="C60" s="128"/>
      <c r="D60" s="128"/>
      <c r="E60" s="128"/>
      <c r="F60" s="128"/>
      <c r="G60" s="128"/>
      <c r="H60" s="129"/>
      <c r="I60" s="76"/>
      <c r="J60" s="234">
        <f>J36+J46+J52+J58</f>
        <v>0</v>
      </c>
      <c r="K60" s="235"/>
      <c r="L60" s="83"/>
      <c r="M60" s="234">
        <f>M36+M46+M52+M58</f>
        <v>0</v>
      </c>
      <c r="N60" s="235"/>
      <c r="O60" s="83"/>
      <c r="P60" s="331">
        <f>P36+P46+P52+P58</f>
        <v>0</v>
      </c>
      <c r="Q60" s="332"/>
      <c r="R60" s="83"/>
      <c r="S60" s="333">
        <f>S36+S46+S52+S58</f>
        <v>0</v>
      </c>
      <c r="T60" s="332"/>
      <c r="U60" s="83"/>
      <c r="V60" s="333">
        <f>V36+V46+V52+V58</f>
        <v>0</v>
      </c>
      <c r="W60" s="332"/>
      <c r="X60" s="83"/>
      <c r="Y60" s="331">
        <f>SUM(J60,M60,P60,S60,V60)</f>
        <v>0</v>
      </c>
      <c r="Z60" s="332"/>
      <c r="AA60" s="83"/>
      <c r="AB60" s="251" t="e">
        <f>Y60/$C$16*100000</f>
        <v>#DIV/0!</v>
      </c>
      <c r="AC60" s="252"/>
    </row>
    <row r="61" spans="1:29" ht="21.75" thickBot="1" x14ac:dyDescent="0.25">
      <c r="A61" s="98" t="s">
        <v>203</v>
      </c>
      <c r="B61" s="255" t="s">
        <v>204</v>
      </c>
      <c r="C61" s="255"/>
      <c r="D61" s="255"/>
      <c r="E61" s="255"/>
      <c r="F61" s="255"/>
      <c r="G61" s="255"/>
      <c r="H61" s="256"/>
      <c r="I61" s="76"/>
      <c r="J61" s="322" t="s">
        <v>154</v>
      </c>
      <c r="K61" s="323"/>
      <c r="L61" s="83"/>
      <c r="M61" s="322" t="s">
        <v>155</v>
      </c>
      <c r="N61" s="323"/>
      <c r="O61" s="83"/>
      <c r="P61" s="322" t="s">
        <v>156</v>
      </c>
      <c r="Q61" s="323"/>
      <c r="R61" s="83"/>
      <c r="S61" s="284" t="s">
        <v>157</v>
      </c>
      <c r="T61" s="285"/>
      <c r="U61" s="107"/>
      <c r="V61" s="284" t="s">
        <v>158</v>
      </c>
      <c r="W61" s="285"/>
      <c r="X61" s="83"/>
      <c r="Y61" s="284" t="s">
        <v>43</v>
      </c>
      <c r="Z61" s="285"/>
      <c r="AA61" s="83"/>
      <c r="AB61" s="257" t="s">
        <v>44</v>
      </c>
      <c r="AC61" s="258"/>
    </row>
    <row r="62" spans="1:29" ht="21" x14ac:dyDescent="0.2">
      <c r="A62" s="324" t="s">
        <v>205</v>
      </c>
      <c r="B62" s="325"/>
      <c r="C62" s="325"/>
      <c r="D62" s="325"/>
      <c r="E62" s="325"/>
      <c r="F62" s="325"/>
      <c r="G62" s="325"/>
      <c r="H62" s="326"/>
      <c r="I62" s="130"/>
      <c r="J62" s="327">
        <f>TBC!D62</f>
        <v>0</v>
      </c>
      <c r="K62" s="328"/>
      <c r="L62" s="85"/>
      <c r="M62" s="327">
        <f>TBC!E62</f>
        <v>0</v>
      </c>
      <c r="N62" s="328"/>
      <c r="O62" s="85"/>
      <c r="P62" s="327">
        <f>TBC!F62</f>
        <v>0</v>
      </c>
      <c r="Q62" s="328"/>
      <c r="R62" s="85"/>
      <c r="S62" s="327">
        <f>TBC!G62</f>
        <v>0</v>
      </c>
      <c r="T62" s="328"/>
      <c r="U62" s="85"/>
      <c r="V62" s="327">
        <f>TBC!H62</f>
        <v>0</v>
      </c>
      <c r="W62" s="328"/>
      <c r="X62" s="85"/>
      <c r="Y62" s="329">
        <f>SUM(J62,M62,P62,S62,V62)</f>
        <v>0</v>
      </c>
      <c r="Z62" s="330"/>
      <c r="AA62" s="85"/>
      <c r="AB62" s="251"/>
      <c r="AC62" s="252"/>
    </row>
    <row r="63" spans="1:29" ht="21" x14ac:dyDescent="0.2">
      <c r="A63" s="312" t="s">
        <v>206</v>
      </c>
      <c r="B63" s="313"/>
      <c r="C63" s="313"/>
      <c r="D63" s="313"/>
      <c r="E63" s="313"/>
      <c r="F63" s="313"/>
      <c r="G63" s="313"/>
      <c r="H63" s="314"/>
      <c r="I63" s="130"/>
      <c r="J63" s="320">
        <f>TBC!D57</f>
        <v>0</v>
      </c>
      <c r="K63" s="321"/>
      <c r="L63" s="85"/>
      <c r="M63" s="320">
        <f>TBC!E57</f>
        <v>0</v>
      </c>
      <c r="N63" s="321"/>
      <c r="O63" s="85"/>
      <c r="P63" s="320">
        <f>TBC!F57</f>
        <v>0</v>
      </c>
      <c r="Q63" s="321"/>
      <c r="R63" s="85"/>
      <c r="S63" s="320">
        <f>TBC!G57</f>
        <v>0</v>
      </c>
      <c r="T63" s="321"/>
      <c r="U63" s="85"/>
      <c r="V63" s="320">
        <f>TBC!H57</f>
        <v>0</v>
      </c>
      <c r="W63" s="321"/>
      <c r="X63" s="85"/>
      <c r="Y63" s="291">
        <f>SUM(J63,M63,P63,S63,V63)</f>
        <v>0</v>
      </c>
      <c r="Z63" s="292"/>
      <c r="AA63" s="85"/>
      <c r="AB63" s="251"/>
      <c r="AC63" s="252"/>
    </row>
    <row r="64" spans="1:29" ht="21" x14ac:dyDescent="0.2">
      <c r="A64" s="312" t="s">
        <v>207</v>
      </c>
      <c r="B64" s="313"/>
      <c r="C64" s="313"/>
      <c r="D64" s="313"/>
      <c r="E64" s="313"/>
      <c r="F64" s="313"/>
      <c r="G64" s="313"/>
      <c r="H64" s="314"/>
      <c r="I64" s="130"/>
      <c r="J64" s="320">
        <f>TBC!D58</f>
        <v>0</v>
      </c>
      <c r="K64" s="321"/>
      <c r="L64" s="85"/>
      <c r="M64" s="320">
        <f>TBC!E58</f>
        <v>0</v>
      </c>
      <c r="N64" s="321"/>
      <c r="O64" s="85"/>
      <c r="P64" s="320">
        <f>TBC!F58</f>
        <v>0</v>
      </c>
      <c r="Q64" s="321"/>
      <c r="R64" s="85"/>
      <c r="S64" s="320">
        <f>TBC!G58</f>
        <v>0</v>
      </c>
      <c r="T64" s="321"/>
      <c r="U64" s="85"/>
      <c r="V64" s="320">
        <f>TBC!H58</f>
        <v>0</v>
      </c>
      <c r="W64" s="321"/>
      <c r="X64" s="85"/>
      <c r="Y64" s="251">
        <f>SUM(J64,M64,P64,S64,V64)</f>
        <v>0</v>
      </c>
      <c r="Z64" s="252"/>
      <c r="AA64" s="85"/>
      <c r="AB64" s="251"/>
      <c r="AC64" s="252"/>
    </row>
    <row r="65" spans="1:29" ht="21" x14ac:dyDescent="0.2">
      <c r="A65" s="312" t="s">
        <v>208</v>
      </c>
      <c r="B65" s="313"/>
      <c r="C65" s="313"/>
      <c r="D65" s="313"/>
      <c r="E65" s="313"/>
      <c r="F65" s="313"/>
      <c r="G65" s="313"/>
      <c r="H65" s="314"/>
      <c r="I65" s="130"/>
      <c r="J65" s="315">
        <f>TBC!D60</f>
        <v>0</v>
      </c>
      <c r="K65" s="316"/>
      <c r="L65" s="85"/>
      <c r="M65" s="315">
        <f>TBC!E60</f>
        <v>0</v>
      </c>
      <c r="N65" s="316"/>
      <c r="O65" s="85"/>
      <c r="P65" s="315">
        <f>TBC!F60</f>
        <v>0</v>
      </c>
      <c r="Q65" s="316"/>
      <c r="R65" s="85"/>
      <c r="S65" s="315">
        <f>TBC!G60</f>
        <v>0</v>
      </c>
      <c r="T65" s="316"/>
      <c r="U65" s="85"/>
      <c r="V65" s="315">
        <f>TBC!H60</f>
        <v>0</v>
      </c>
      <c r="W65" s="316"/>
      <c r="X65" s="85"/>
      <c r="Y65" s="251">
        <f>SUM(J65,M65,P65,S65,V65)</f>
        <v>0</v>
      </c>
      <c r="Z65" s="252"/>
      <c r="AA65" s="85"/>
      <c r="AB65" s="251"/>
      <c r="AC65" s="252"/>
    </row>
    <row r="66" spans="1:29" ht="21.75" thickBot="1" x14ac:dyDescent="0.25">
      <c r="A66" s="317" t="s">
        <v>209</v>
      </c>
      <c r="B66" s="318"/>
      <c r="C66" s="318"/>
      <c r="D66" s="318"/>
      <c r="E66" s="318"/>
      <c r="F66" s="318"/>
      <c r="G66" s="318"/>
      <c r="H66" s="319"/>
      <c r="I66" s="130"/>
      <c r="J66" s="315">
        <f>TBC!D61</f>
        <v>0</v>
      </c>
      <c r="K66" s="316"/>
      <c r="L66" s="85"/>
      <c r="M66" s="315">
        <f>TBC!E61</f>
        <v>0</v>
      </c>
      <c r="N66" s="316"/>
      <c r="O66" s="85"/>
      <c r="P66" s="315">
        <f>TBC!F61</f>
        <v>0</v>
      </c>
      <c r="Q66" s="316"/>
      <c r="R66" s="85"/>
      <c r="S66" s="315">
        <f>TBC!G61</f>
        <v>0</v>
      </c>
      <c r="T66" s="316"/>
      <c r="U66" s="85"/>
      <c r="V66" s="315">
        <f>TBC!H61</f>
        <v>0</v>
      </c>
      <c r="W66" s="316"/>
      <c r="X66" s="85"/>
      <c r="Y66" s="259">
        <f>SUM(J66,M66,P66,S66,V66)</f>
        <v>0</v>
      </c>
      <c r="Z66" s="260"/>
      <c r="AA66" s="85"/>
      <c r="AB66" s="251"/>
      <c r="AC66" s="252"/>
    </row>
    <row r="67" spans="1:29" ht="21.75" thickBot="1" x14ac:dyDescent="0.25">
      <c r="A67" s="98" t="s">
        <v>210</v>
      </c>
      <c r="B67" s="131" t="s">
        <v>211</v>
      </c>
      <c r="C67" s="131"/>
      <c r="D67" s="131"/>
      <c r="E67" s="131"/>
      <c r="F67" s="131"/>
      <c r="G67" s="131"/>
      <c r="H67" s="132"/>
      <c r="I67" s="76"/>
      <c r="J67" s="284" t="s">
        <v>154</v>
      </c>
      <c r="K67" s="285"/>
      <c r="L67" s="83"/>
      <c r="M67" s="284" t="s">
        <v>155</v>
      </c>
      <c r="N67" s="285"/>
      <c r="O67" s="83"/>
      <c r="P67" s="284" t="s">
        <v>156</v>
      </c>
      <c r="Q67" s="285"/>
      <c r="R67" s="83"/>
      <c r="S67" s="284" t="s">
        <v>157</v>
      </c>
      <c r="T67" s="285"/>
      <c r="U67" s="83"/>
      <c r="V67" s="284" t="s">
        <v>158</v>
      </c>
      <c r="W67" s="285"/>
      <c r="X67" s="83"/>
      <c r="Y67" s="257" t="s">
        <v>43</v>
      </c>
      <c r="Z67" s="258"/>
      <c r="AA67" s="83"/>
      <c r="AB67" s="257" t="s">
        <v>44</v>
      </c>
      <c r="AC67" s="258"/>
    </row>
    <row r="68" spans="1:29" ht="21.75" thickBot="1" x14ac:dyDescent="0.25">
      <c r="A68" s="102" t="s">
        <v>212</v>
      </c>
      <c r="B68" s="103"/>
      <c r="C68" s="103"/>
      <c r="D68" s="103"/>
      <c r="E68" s="103"/>
      <c r="F68" s="103"/>
      <c r="G68" s="103"/>
      <c r="H68" s="104"/>
      <c r="I68" s="76"/>
      <c r="J68" s="309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1"/>
      <c r="X68" s="83"/>
      <c r="Y68" s="286">
        <f>Y60*4</f>
        <v>0</v>
      </c>
      <c r="Z68" s="287"/>
      <c r="AA68" s="83"/>
      <c r="AB68" s="286"/>
      <c r="AC68" s="287"/>
    </row>
    <row r="69" spans="1:29" ht="21" x14ac:dyDescent="0.2">
      <c r="A69" s="105" t="s">
        <v>213</v>
      </c>
      <c r="B69" s="76"/>
      <c r="C69" s="76"/>
      <c r="D69" s="76"/>
      <c r="E69" s="76"/>
      <c r="F69" s="76"/>
      <c r="G69" s="76"/>
      <c r="H69" s="106"/>
      <c r="I69" s="76"/>
      <c r="J69" s="286">
        <f>TBC!D68</f>
        <v>0</v>
      </c>
      <c r="K69" s="287"/>
      <c r="L69" s="83"/>
      <c r="M69" s="286">
        <f>TBC!E68</f>
        <v>0</v>
      </c>
      <c r="N69" s="287"/>
      <c r="O69" s="83"/>
      <c r="P69" s="286">
        <f>TBC!F68</f>
        <v>0</v>
      </c>
      <c r="Q69" s="287"/>
      <c r="R69" s="83"/>
      <c r="S69" s="286">
        <f>TBC!G68</f>
        <v>0</v>
      </c>
      <c r="T69" s="287"/>
      <c r="U69" s="83"/>
      <c r="V69" s="286">
        <f>TBC!H68</f>
        <v>0</v>
      </c>
      <c r="W69" s="287"/>
      <c r="X69" s="83"/>
      <c r="Y69" s="251">
        <f>SUM(J69,M69,P69,S69,V69)</f>
        <v>0</v>
      </c>
      <c r="Z69" s="252"/>
      <c r="AA69" s="83"/>
      <c r="AB69" s="251"/>
      <c r="AC69" s="252"/>
    </row>
    <row r="70" spans="1:29" ht="21" x14ac:dyDescent="0.2">
      <c r="A70" s="105" t="s">
        <v>214</v>
      </c>
      <c r="B70" s="76"/>
      <c r="C70" s="76"/>
      <c r="D70" s="76"/>
      <c r="E70" s="76"/>
      <c r="F70" s="76"/>
      <c r="G70" s="76"/>
      <c r="H70" s="106"/>
      <c r="I70" s="76"/>
      <c r="J70" s="251">
        <f>TBC!D72</f>
        <v>0</v>
      </c>
      <c r="K70" s="252"/>
      <c r="L70" s="83"/>
      <c r="M70" s="251">
        <f>TBC!E72</f>
        <v>0</v>
      </c>
      <c r="N70" s="252"/>
      <c r="O70" s="83"/>
      <c r="P70" s="251">
        <f>TBC!F72</f>
        <v>0</v>
      </c>
      <c r="Q70" s="252"/>
      <c r="R70" s="83"/>
      <c r="S70" s="251">
        <f>TBC!G72</f>
        <v>0</v>
      </c>
      <c r="T70" s="252"/>
      <c r="U70" s="83"/>
      <c r="V70" s="251">
        <f>TBC!H72</f>
        <v>0</v>
      </c>
      <c r="W70" s="252"/>
      <c r="X70" s="83"/>
      <c r="Y70" s="251">
        <f>SUM(J70,M70,P70,S70,V70)</f>
        <v>0</v>
      </c>
      <c r="Z70" s="252"/>
      <c r="AA70" s="83"/>
      <c r="AB70" s="251"/>
      <c r="AC70" s="252"/>
    </row>
    <row r="71" spans="1:29" ht="21" x14ac:dyDescent="0.2">
      <c r="A71" s="105" t="s">
        <v>215</v>
      </c>
      <c r="B71" s="76"/>
      <c r="C71" s="76"/>
      <c r="D71" s="76"/>
      <c r="E71" s="76"/>
      <c r="F71" s="76"/>
      <c r="G71" s="76"/>
      <c r="H71" s="106"/>
      <c r="I71" s="76"/>
      <c r="J71" s="251">
        <f>TBC!D73</f>
        <v>0</v>
      </c>
      <c r="K71" s="252"/>
      <c r="L71" s="83"/>
      <c r="M71" s="251">
        <f>TBC!E73</f>
        <v>0</v>
      </c>
      <c r="N71" s="252"/>
      <c r="O71" s="83"/>
      <c r="P71" s="251">
        <f>TBC!F73</f>
        <v>0</v>
      </c>
      <c r="Q71" s="252"/>
      <c r="R71" s="83"/>
      <c r="S71" s="251">
        <f>TBC!G73</f>
        <v>0</v>
      </c>
      <c r="T71" s="252"/>
      <c r="U71" s="83"/>
      <c r="V71" s="251">
        <f>TBC!H73</f>
        <v>0</v>
      </c>
      <c r="W71" s="252"/>
      <c r="X71" s="83"/>
      <c r="Y71" s="251">
        <f>SUM(J71,M71,P71,S71,V71)</f>
        <v>0</v>
      </c>
      <c r="Z71" s="252"/>
      <c r="AA71" s="83"/>
      <c r="AB71" s="251"/>
      <c r="AC71" s="252"/>
    </row>
    <row r="72" spans="1:29" ht="21.75" thickBot="1" x14ac:dyDescent="0.25">
      <c r="A72" s="108" t="s">
        <v>216</v>
      </c>
      <c r="B72" s="109"/>
      <c r="C72" s="109"/>
      <c r="D72" s="109"/>
      <c r="E72" s="109"/>
      <c r="F72" s="109"/>
      <c r="G72" s="109"/>
      <c r="H72" s="110"/>
      <c r="I72" s="76"/>
      <c r="J72" s="251">
        <f>TBC!D74</f>
        <v>0</v>
      </c>
      <c r="K72" s="252"/>
      <c r="L72" s="83"/>
      <c r="M72" s="251">
        <f>TBC!E74</f>
        <v>0</v>
      </c>
      <c r="N72" s="252"/>
      <c r="O72" s="83"/>
      <c r="P72" s="251">
        <f>TBC!F74</f>
        <v>0</v>
      </c>
      <c r="Q72" s="252"/>
      <c r="R72" s="83"/>
      <c r="S72" s="251">
        <f>TBC!G74</f>
        <v>0</v>
      </c>
      <c r="T72" s="252"/>
      <c r="U72" s="83"/>
      <c r="V72" s="251">
        <f>TBC!H74</f>
        <v>0</v>
      </c>
      <c r="W72" s="252"/>
      <c r="X72" s="83"/>
      <c r="Y72" s="259">
        <f>SUM(J72,M72,P72,S72,V72)</f>
        <v>0</v>
      </c>
      <c r="Z72" s="260"/>
      <c r="AA72" s="83"/>
      <c r="AB72" s="274"/>
      <c r="AC72" s="275"/>
    </row>
    <row r="73" spans="1:29" ht="21.75" thickBot="1" x14ac:dyDescent="0.25">
      <c r="A73" s="98" t="s">
        <v>217</v>
      </c>
      <c r="B73" s="255" t="s">
        <v>218</v>
      </c>
      <c r="C73" s="255"/>
      <c r="D73" s="255"/>
      <c r="E73" s="255"/>
      <c r="F73" s="255"/>
      <c r="G73" s="255"/>
      <c r="H73" s="256"/>
      <c r="I73" s="76"/>
      <c r="J73" s="284" t="s">
        <v>154</v>
      </c>
      <c r="K73" s="285"/>
      <c r="L73" s="133"/>
      <c r="M73" s="284" t="s">
        <v>155</v>
      </c>
      <c r="N73" s="285"/>
      <c r="O73" s="133"/>
      <c r="P73" s="284" t="s">
        <v>156</v>
      </c>
      <c r="Q73" s="285"/>
      <c r="R73" s="133"/>
      <c r="S73" s="284" t="s">
        <v>157</v>
      </c>
      <c r="T73" s="285"/>
      <c r="U73" s="133"/>
      <c r="V73" s="284" t="s">
        <v>158</v>
      </c>
      <c r="W73" s="285"/>
      <c r="X73" s="83"/>
      <c r="Y73" s="257" t="s">
        <v>43</v>
      </c>
      <c r="Z73" s="258"/>
      <c r="AA73" s="83"/>
      <c r="AB73" s="257" t="s">
        <v>44</v>
      </c>
      <c r="AC73" s="258"/>
    </row>
    <row r="74" spans="1:29" ht="21" x14ac:dyDescent="0.2">
      <c r="A74" s="102" t="s">
        <v>219</v>
      </c>
      <c r="B74" s="103"/>
      <c r="C74" s="103"/>
      <c r="D74" s="103"/>
      <c r="E74" s="103"/>
      <c r="F74" s="103"/>
      <c r="G74" s="103"/>
      <c r="H74" s="104"/>
      <c r="I74" s="76"/>
      <c r="J74" s="134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6"/>
      <c r="X74" s="83"/>
      <c r="Y74" s="301">
        <f>TBC!C78</f>
        <v>0</v>
      </c>
      <c r="Z74" s="302"/>
      <c r="AA74" s="83"/>
      <c r="AB74" s="307"/>
      <c r="AC74" s="308"/>
    </row>
    <row r="75" spans="1:29" ht="21" x14ac:dyDescent="0.2">
      <c r="A75" s="105" t="s">
        <v>220</v>
      </c>
      <c r="B75" s="76"/>
      <c r="C75" s="76"/>
      <c r="D75" s="76"/>
      <c r="E75" s="76"/>
      <c r="F75" s="76"/>
      <c r="G75" s="76"/>
      <c r="H75" s="106"/>
      <c r="I75" s="76"/>
      <c r="J75" s="137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9"/>
      <c r="X75" s="83"/>
      <c r="Y75" s="291">
        <f>TBC!C79</f>
        <v>0</v>
      </c>
      <c r="Z75" s="292"/>
      <c r="AA75" s="83"/>
      <c r="AB75" s="251"/>
      <c r="AC75" s="252"/>
    </row>
    <row r="76" spans="1:29" ht="21" x14ac:dyDescent="0.2">
      <c r="A76" s="105" t="s">
        <v>221</v>
      </c>
      <c r="B76" s="76"/>
      <c r="C76" s="76"/>
      <c r="D76" s="76"/>
      <c r="E76" s="76"/>
      <c r="F76" s="76"/>
      <c r="G76" s="76"/>
      <c r="H76" s="106"/>
      <c r="I76" s="76"/>
      <c r="J76" s="137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9"/>
      <c r="X76" s="83"/>
      <c r="Y76" s="291">
        <f>TBC!C80</f>
        <v>0</v>
      </c>
      <c r="Z76" s="292"/>
      <c r="AA76" s="83"/>
      <c r="AB76" s="251"/>
      <c r="AC76" s="252"/>
    </row>
    <row r="77" spans="1:29" ht="21" x14ac:dyDescent="0.2">
      <c r="A77" s="105" t="s">
        <v>222</v>
      </c>
      <c r="B77" s="76"/>
      <c r="C77" s="76"/>
      <c r="D77" s="76"/>
      <c r="E77" s="76"/>
      <c r="F77" s="76"/>
      <c r="G77" s="76"/>
      <c r="H77" s="106"/>
      <c r="I77" s="76"/>
      <c r="J77" s="137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9"/>
      <c r="X77" s="83"/>
      <c r="Y77" s="291">
        <f>TBC!C81</f>
        <v>0</v>
      </c>
      <c r="Z77" s="292"/>
      <c r="AA77" s="83"/>
      <c r="AB77" s="251"/>
      <c r="AC77" s="252"/>
    </row>
    <row r="78" spans="1:29" ht="21" x14ac:dyDescent="0.2">
      <c r="A78" s="105" t="s">
        <v>223</v>
      </c>
      <c r="B78" s="76"/>
      <c r="C78" s="76"/>
      <c r="D78" s="76"/>
      <c r="E78" s="76"/>
      <c r="F78" s="76"/>
      <c r="G78" s="76"/>
      <c r="H78" s="106"/>
      <c r="I78" s="76"/>
      <c r="J78" s="137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9"/>
      <c r="X78" s="83"/>
      <c r="Y78" s="291">
        <f>TBC!C82</f>
        <v>0</v>
      </c>
      <c r="Z78" s="292"/>
      <c r="AA78" s="83"/>
      <c r="AB78" s="251"/>
      <c r="AC78" s="252"/>
    </row>
    <row r="79" spans="1:29" ht="21.75" thickBot="1" x14ac:dyDescent="0.25">
      <c r="A79" s="108" t="s">
        <v>224</v>
      </c>
      <c r="B79" s="109"/>
      <c r="C79" s="109"/>
      <c r="D79" s="109"/>
      <c r="E79" s="109"/>
      <c r="F79" s="109"/>
      <c r="G79" s="109"/>
      <c r="H79" s="110"/>
      <c r="I79" s="76"/>
      <c r="J79" s="140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2"/>
      <c r="X79" s="83"/>
      <c r="Y79" s="296">
        <f>TBC!C83</f>
        <v>0</v>
      </c>
      <c r="Z79" s="297"/>
      <c r="AA79" s="83"/>
      <c r="AB79" s="274"/>
      <c r="AC79" s="275"/>
    </row>
    <row r="80" spans="1:29" ht="29.25" customHeight="1" thickBot="1" x14ac:dyDescent="0.25">
      <c r="A80" s="98" t="s">
        <v>225</v>
      </c>
      <c r="B80" s="255" t="s">
        <v>226</v>
      </c>
      <c r="C80" s="255"/>
      <c r="D80" s="255"/>
      <c r="E80" s="255"/>
      <c r="F80" s="255"/>
      <c r="G80" s="255"/>
      <c r="H80" s="256"/>
      <c r="I80" s="76"/>
      <c r="J80" s="257" t="s">
        <v>154</v>
      </c>
      <c r="K80" s="258"/>
      <c r="L80" s="83"/>
      <c r="M80" s="257" t="s">
        <v>155</v>
      </c>
      <c r="N80" s="258"/>
      <c r="O80" s="83"/>
      <c r="P80" s="257" t="s">
        <v>156</v>
      </c>
      <c r="Q80" s="258"/>
      <c r="R80" s="83"/>
      <c r="S80" s="257" t="s">
        <v>157</v>
      </c>
      <c r="T80" s="258"/>
      <c r="U80" s="107"/>
      <c r="V80" s="257" t="s">
        <v>158</v>
      </c>
      <c r="W80" s="258"/>
      <c r="X80" s="83"/>
      <c r="Y80" s="257" t="s">
        <v>43</v>
      </c>
      <c r="Z80" s="258"/>
      <c r="AA80" s="83"/>
      <c r="AB80" s="257" t="s">
        <v>44</v>
      </c>
      <c r="AC80" s="258"/>
    </row>
    <row r="81" spans="1:29" ht="29.25" customHeight="1" x14ac:dyDescent="0.2">
      <c r="A81" s="143" t="s">
        <v>227</v>
      </c>
      <c r="B81" s="76"/>
      <c r="C81" s="76"/>
      <c r="D81" s="76"/>
      <c r="E81" s="144"/>
      <c r="F81" s="144"/>
      <c r="G81" s="144"/>
      <c r="H81" s="145"/>
      <c r="I81" s="78"/>
      <c r="J81" s="305">
        <f>SUM(J82,J85)</f>
        <v>0</v>
      </c>
      <c r="K81" s="306"/>
      <c r="L81" s="83"/>
      <c r="M81" s="305">
        <f>SUM(M82,M85)</f>
        <v>0</v>
      </c>
      <c r="N81" s="306"/>
      <c r="O81" s="83"/>
      <c r="P81" s="305">
        <f>SUM(P82,P85)</f>
        <v>0</v>
      </c>
      <c r="Q81" s="306"/>
      <c r="R81" s="83"/>
      <c r="S81" s="305">
        <f>SUM(S82,S85)</f>
        <v>0</v>
      </c>
      <c r="T81" s="306"/>
      <c r="U81" s="83"/>
      <c r="V81" s="305">
        <f>SUM(V82,V85)</f>
        <v>0</v>
      </c>
      <c r="W81" s="306"/>
      <c r="X81" s="83"/>
      <c r="Y81" s="305">
        <f t="shared" ref="Y81:Y88" si="2">SUM(J81,M81,P81,S81,V81)</f>
        <v>0</v>
      </c>
      <c r="Z81" s="306"/>
      <c r="AA81" s="83"/>
      <c r="AB81" s="303"/>
      <c r="AC81" s="304"/>
    </row>
    <row r="82" spans="1:29" ht="29.25" customHeight="1" x14ac:dyDescent="0.2">
      <c r="A82" s="118"/>
      <c r="B82" s="78" t="s">
        <v>228</v>
      </c>
      <c r="C82" s="78"/>
      <c r="D82" s="78"/>
      <c r="E82" s="78"/>
      <c r="F82" s="78"/>
      <c r="G82" s="78"/>
      <c r="H82" s="113"/>
      <c r="I82" s="76"/>
      <c r="J82" s="276">
        <f>SUM(J83:K84)</f>
        <v>0</v>
      </c>
      <c r="K82" s="277"/>
      <c r="L82" s="83"/>
      <c r="M82" s="276">
        <f>SUM(M83:N84)</f>
        <v>0</v>
      </c>
      <c r="N82" s="277"/>
      <c r="O82" s="83"/>
      <c r="P82" s="276">
        <f>SUM(P83:Q84)</f>
        <v>0</v>
      </c>
      <c r="Q82" s="277"/>
      <c r="R82" s="123"/>
      <c r="S82" s="276">
        <f>SUM(S83:T84)</f>
        <v>0</v>
      </c>
      <c r="T82" s="277"/>
      <c r="U82" s="123"/>
      <c r="V82" s="276">
        <f>SUM(V83:W84)</f>
        <v>0</v>
      </c>
      <c r="W82" s="277"/>
      <c r="X82" s="123"/>
      <c r="Y82" s="276">
        <f t="shared" si="2"/>
        <v>0</v>
      </c>
      <c r="Z82" s="277"/>
      <c r="AA82" s="83"/>
      <c r="AB82" s="276"/>
      <c r="AC82" s="277"/>
    </row>
    <row r="83" spans="1:29" ht="29.25" customHeight="1" x14ac:dyDescent="0.2">
      <c r="A83" s="118"/>
      <c r="B83" s="91" t="s">
        <v>229</v>
      </c>
      <c r="C83" s="91"/>
      <c r="D83" s="91"/>
      <c r="E83" s="78"/>
      <c r="F83" s="78"/>
      <c r="G83" s="78"/>
      <c r="H83" s="113"/>
      <c r="I83" s="76"/>
      <c r="J83" s="251">
        <f>TBC!D89</f>
        <v>0</v>
      </c>
      <c r="K83" s="252"/>
      <c r="L83" s="83"/>
      <c r="M83" s="251">
        <f>TBC!E89</f>
        <v>0</v>
      </c>
      <c r="N83" s="252"/>
      <c r="O83" s="83"/>
      <c r="P83" s="251">
        <f>TBC!F89</f>
        <v>0</v>
      </c>
      <c r="Q83" s="252"/>
      <c r="R83" s="123"/>
      <c r="S83" s="251">
        <f>TBC!G89</f>
        <v>0</v>
      </c>
      <c r="T83" s="252"/>
      <c r="U83" s="123"/>
      <c r="V83" s="251">
        <f>TBC!H89</f>
        <v>0</v>
      </c>
      <c r="W83" s="252"/>
      <c r="X83" s="123"/>
      <c r="Y83" s="251">
        <f t="shared" si="2"/>
        <v>0</v>
      </c>
      <c r="Z83" s="252"/>
      <c r="AA83" s="83"/>
      <c r="AB83" s="251"/>
      <c r="AC83" s="252"/>
    </row>
    <row r="84" spans="1:29" ht="29.25" customHeight="1" x14ac:dyDescent="0.2">
      <c r="A84" s="114"/>
      <c r="B84" s="76" t="s">
        <v>230</v>
      </c>
      <c r="C84" s="76"/>
      <c r="D84" s="76"/>
      <c r="E84" s="78"/>
      <c r="F84" s="78"/>
      <c r="G84" s="76"/>
      <c r="H84" s="106"/>
      <c r="I84" s="76"/>
      <c r="J84" s="251">
        <f>TBC!D90</f>
        <v>0</v>
      </c>
      <c r="K84" s="252"/>
      <c r="L84" s="83"/>
      <c r="M84" s="251">
        <f>TBC!E90</f>
        <v>0</v>
      </c>
      <c r="N84" s="252"/>
      <c r="O84" s="83"/>
      <c r="P84" s="251">
        <f>TBC!F90</f>
        <v>0</v>
      </c>
      <c r="Q84" s="252"/>
      <c r="R84" s="83"/>
      <c r="S84" s="251">
        <f>TBC!G90</f>
        <v>0</v>
      </c>
      <c r="T84" s="252"/>
      <c r="U84" s="83"/>
      <c r="V84" s="251">
        <f>TBC!H90</f>
        <v>0</v>
      </c>
      <c r="W84" s="252"/>
      <c r="X84" s="83"/>
      <c r="Y84" s="251">
        <f t="shared" si="2"/>
        <v>0</v>
      </c>
      <c r="Z84" s="252"/>
      <c r="AA84" s="83"/>
      <c r="AB84" s="251"/>
      <c r="AC84" s="252"/>
    </row>
    <row r="85" spans="1:29" ht="29.25" customHeight="1" x14ac:dyDescent="0.2">
      <c r="A85" s="118"/>
      <c r="B85" s="78" t="s">
        <v>231</v>
      </c>
      <c r="C85" s="78"/>
      <c r="D85" s="78"/>
      <c r="E85" s="78"/>
      <c r="F85" s="78"/>
      <c r="G85" s="78"/>
      <c r="H85" s="113"/>
      <c r="I85" s="78"/>
      <c r="J85" s="276">
        <f>SUM(J86,J87)</f>
        <v>0</v>
      </c>
      <c r="K85" s="277"/>
      <c r="L85" s="83"/>
      <c r="M85" s="276">
        <f>SUM(M86,M87)</f>
        <v>0</v>
      </c>
      <c r="N85" s="277"/>
      <c r="O85" s="83"/>
      <c r="P85" s="276">
        <f>SUM(P86,P87)</f>
        <v>0</v>
      </c>
      <c r="Q85" s="277"/>
      <c r="R85" s="123"/>
      <c r="S85" s="276">
        <f>SUM(S86,S87)</f>
        <v>0</v>
      </c>
      <c r="T85" s="277"/>
      <c r="U85" s="123">
        <f>SUM(S86,S87)</f>
        <v>0</v>
      </c>
      <c r="V85" s="276">
        <f>SUM(V86,V87)</f>
        <v>0</v>
      </c>
      <c r="W85" s="277"/>
      <c r="X85" s="123"/>
      <c r="Y85" s="276">
        <f t="shared" si="2"/>
        <v>0</v>
      </c>
      <c r="Z85" s="277"/>
      <c r="AA85" s="83"/>
      <c r="AB85" s="276"/>
      <c r="AC85" s="277"/>
    </row>
    <row r="86" spans="1:29" ht="29.25" customHeight="1" x14ac:dyDescent="0.2">
      <c r="A86" s="114"/>
      <c r="B86" s="76" t="s">
        <v>232</v>
      </c>
      <c r="C86" s="76"/>
      <c r="D86" s="76"/>
      <c r="E86" s="78"/>
      <c r="F86" s="78"/>
      <c r="G86" s="76"/>
      <c r="H86" s="106"/>
      <c r="I86" s="76"/>
      <c r="J86" s="251">
        <f>TBC!D92</f>
        <v>0</v>
      </c>
      <c r="K86" s="252"/>
      <c r="L86" s="83"/>
      <c r="M86" s="251">
        <f>TBC!E92</f>
        <v>0</v>
      </c>
      <c r="N86" s="252"/>
      <c r="O86" s="83"/>
      <c r="P86" s="251">
        <f>TBC!F92</f>
        <v>0</v>
      </c>
      <c r="Q86" s="252"/>
      <c r="R86" s="83"/>
      <c r="S86" s="251">
        <f>TBC!G92</f>
        <v>0</v>
      </c>
      <c r="T86" s="252"/>
      <c r="U86" s="83"/>
      <c r="V86" s="251">
        <f>TBC!H92</f>
        <v>0</v>
      </c>
      <c r="W86" s="252"/>
      <c r="X86" s="83"/>
      <c r="Y86" s="251">
        <f t="shared" si="2"/>
        <v>0</v>
      </c>
      <c r="Z86" s="252"/>
      <c r="AA86" s="83"/>
      <c r="AB86" s="251"/>
      <c r="AC86" s="252"/>
    </row>
    <row r="87" spans="1:29" ht="29.25" customHeight="1" x14ac:dyDescent="0.2">
      <c r="A87" s="114"/>
      <c r="B87" s="76" t="s">
        <v>233</v>
      </c>
      <c r="C87" s="76"/>
      <c r="D87" s="76"/>
      <c r="E87" s="78"/>
      <c r="F87" s="78"/>
      <c r="G87" s="76"/>
      <c r="H87" s="106"/>
      <c r="I87" s="76"/>
      <c r="J87" s="251">
        <f>TBC!D93</f>
        <v>0</v>
      </c>
      <c r="K87" s="252"/>
      <c r="L87" s="83"/>
      <c r="M87" s="251">
        <f>TBC!E93</f>
        <v>0</v>
      </c>
      <c r="N87" s="252"/>
      <c r="O87" s="83"/>
      <c r="P87" s="251">
        <f>TBC!F93</f>
        <v>0</v>
      </c>
      <c r="Q87" s="252"/>
      <c r="R87" s="83"/>
      <c r="S87" s="251">
        <f>TBC!G93</f>
        <v>0</v>
      </c>
      <c r="T87" s="252"/>
      <c r="U87" s="83"/>
      <c r="V87" s="251">
        <f>TBC!H93</f>
        <v>0</v>
      </c>
      <c r="W87" s="252"/>
      <c r="X87" s="83"/>
      <c r="Y87" s="251">
        <f t="shared" si="2"/>
        <v>0</v>
      </c>
      <c r="Z87" s="252"/>
      <c r="AA87" s="83"/>
      <c r="AB87" s="251"/>
      <c r="AC87" s="252"/>
    </row>
    <row r="88" spans="1:29" ht="29.25" customHeight="1" thickBot="1" x14ac:dyDescent="0.25">
      <c r="A88" s="124" t="s">
        <v>234</v>
      </c>
      <c r="B88" s="76"/>
      <c r="C88" s="76"/>
      <c r="D88" s="76"/>
      <c r="E88" s="125"/>
      <c r="F88" s="125"/>
      <c r="G88" s="109"/>
      <c r="H88" s="110"/>
      <c r="I88" s="76"/>
      <c r="J88" s="259"/>
      <c r="K88" s="260"/>
      <c r="L88" s="83"/>
      <c r="M88" s="259"/>
      <c r="N88" s="260"/>
      <c r="O88" s="83"/>
      <c r="P88" s="259"/>
      <c r="Q88" s="260"/>
      <c r="R88" s="83"/>
      <c r="S88" s="259"/>
      <c r="T88" s="260"/>
      <c r="U88" s="83"/>
      <c r="V88" s="259"/>
      <c r="W88" s="260"/>
      <c r="X88" s="83"/>
      <c r="Y88" s="259">
        <f t="shared" si="2"/>
        <v>0</v>
      </c>
      <c r="Z88" s="260"/>
      <c r="AA88" s="83"/>
      <c r="AB88" s="251"/>
      <c r="AC88" s="252"/>
    </row>
    <row r="89" spans="1:29" ht="29.25" customHeight="1" thickBot="1" x14ac:dyDescent="0.25">
      <c r="A89" s="146" t="s">
        <v>235</v>
      </c>
      <c r="B89" s="255" t="s">
        <v>236</v>
      </c>
      <c r="C89" s="255"/>
      <c r="D89" s="255"/>
      <c r="E89" s="255"/>
      <c r="F89" s="255"/>
      <c r="G89" s="255"/>
      <c r="H89" s="256"/>
      <c r="I89" s="76"/>
      <c r="J89" s="282" t="s">
        <v>154</v>
      </c>
      <c r="K89" s="283"/>
      <c r="L89" s="83"/>
      <c r="M89" s="282" t="s">
        <v>155</v>
      </c>
      <c r="N89" s="283"/>
      <c r="O89" s="83"/>
      <c r="P89" s="282" t="s">
        <v>156</v>
      </c>
      <c r="Q89" s="283"/>
      <c r="R89" s="83"/>
      <c r="S89" s="282" t="s">
        <v>157</v>
      </c>
      <c r="T89" s="283"/>
      <c r="U89" s="83"/>
      <c r="V89" s="282" t="s">
        <v>158</v>
      </c>
      <c r="W89" s="283"/>
      <c r="X89" s="83"/>
      <c r="Y89" s="282" t="s">
        <v>43</v>
      </c>
      <c r="Z89" s="283"/>
      <c r="AA89" s="83"/>
      <c r="AB89" s="257" t="s">
        <v>44</v>
      </c>
      <c r="AC89" s="258"/>
    </row>
    <row r="90" spans="1:29" ht="29.25" customHeight="1" x14ac:dyDescent="0.2">
      <c r="A90" s="298" t="s">
        <v>237</v>
      </c>
      <c r="B90" s="299"/>
      <c r="C90" s="299"/>
      <c r="D90" s="299"/>
      <c r="E90" s="299"/>
      <c r="F90" s="299"/>
      <c r="G90" s="299"/>
      <c r="H90" s="300"/>
      <c r="I90" s="76"/>
      <c r="J90" s="301">
        <f>TBC!D98</f>
        <v>0</v>
      </c>
      <c r="K90" s="302"/>
      <c r="L90" s="83"/>
      <c r="M90" s="301">
        <f>TBC!E98</f>
        <v>0</v>
      </c>
      <c r="N90" s="302"/>
      <c r="O90" s="83"/>
      <c r="P90" s="301">
        <f>TBC!F98</f>
        <v>0</v>
      </c>
      <c r="Q90" s="302"/>
      <c r="R90" s="83"/>
      <c r="S90" s="301">
        <f>TBC!G98</f>
        <v>0</v>
      </c>
      <c r="T90" s="302"/>
      <c r="U90" s="83"/>
      <c r="V90" s="301">
        <f>TBC!H98</f>
        <v>0</v>
      </c>
      <c r="W90" s="302"/>
      <c r="X90" s="83"/>
      <c r="Y90" s="301">
        <f>SUM(J90,M90,P90,S90,V90)</f>
        <v>0</v>
      </c>
      <c r="Z90" s="302"/>
      <c r="AA90" s="83"/>
      <c r="AB90" s="286"/>
      <c r="AC90" s="287"/>
    </row>
    <row r="91" spans="1:29" ht="29.25" customHeight="1" x14ac:dyDescent="0.2">
      <c r="A91" s="288" t="s">
        <v>238</v>
      </c>
      <c r="B91" s="289"/>
      <c r="C91" s="289"/>
      <c r="D91" s="289"/>
      <c r="E91" s="289"/>
      <c r="F91" s="289"/>
      <c r="G91" s="289"/>
      <c r="H91" s="290"/>
      <c r="I91" s="76"/>
      <c r="J91" s="291">
        <f>TBC!D99</f>
        <v>0</v>
      </c>
      <c r="K91" s="292"/>
      <c r="L91" s="83"/>
      <c r="M91" s="251">
        <f>TBC!E99</f>
        <v>0</v>
      </c>
      <c r="N91" s="252"/>
      <c r="O91" s="83"/>
      <c r="P91" s="251">
        <f>TBC!F99</f>
        <v>0</v>
      </c>
      <c r="Q91" s="252"/>
      <c r="R91" s="83"/>
      <c r="S91" s="251">
        <f>TBC!G99</f>
        <v>0</v>
      </c>
      <c r="T91" s="252"/>
      <c r="U91" s="83"/>
      <c r="V91" s="251">
        <f>TBC!H99</f>
        <v>0</v>
      </c>
      <c r="W91" s="252"/>
      <c r="X91" s="83"/>
      <c r="Y91" s="251">
        <f>SUM(J91,M91,P91,S91,V91)</f>
        <v>0</v>
      </c>
      <c r="Z91" s="252"/>
      <c r="AA91" s="83"/>
      <c r="AB91" s="251"/>
      <c r="AC91" s="252"/>
    </row>
    <row r="92" spans="1:29" ht="29.25" customHeight="1" thickBot="1" x14ac:dyDescent="0.25">
      <c r="A92" s="293" t="s">
        <v>239</v>
      </c>
      <c r="B92" s="294"/>
      <c r="C92" s="294"/>
      <c r="D92" s="294"/>
      <c r="E92" s="294"/>
      <c r="F92" s="294"/>
      <c r="G92" s="294"/>
      <c r="H92" s="295"/>
      <c r="I92" s="76"/>
      <c r="J92" s="296">
        <f>TBC!D100</f>
        <v>0</v>
      </c>
      <c r="K92" s="297"/>
      <c r="L92" s="83"/>
      <c r="M92" s="274">
        <f>TBC!E100</f>
        <v>0</v>
      </c>
      <c r="N92" s="275"/>
      <c r="O92" s="83"/>
      <c r="P92" s="274">
        <f>TBC!F100</f>
        <v>0</v>
      </c>
      <c r="Q92" s="275"/>
      <c r="R92" s="83"/>
      <c r="S92" s="274">
        <f>TBC!G100</f>
        <v>0</v>
      </c>
      <c r="T92" s="275"/>
      <c r="U92" s="83"/>
      <c r="V92" s="274">
        <f>TBC!H100</f>
        <v>0</v>
      </c>
      <c r="W92" s="275"/>
      <c r="X92" s="83"/>
      <c r="Y92" s="251">
        <f>SUM(J92,M92,P92,S92,V92)</f>
        <v>0</v>
      </c>
      <c r="Z92" s="252"/>
      <c r="AA92" s="83"/>
      <c r="AB92" s="274"/>
      <c r="AC92" s="275"/>
    </row>
    <row r="93" spans="1:29" ht="29.25" customHeight="1" thickBot="1" x14ac:dyDescent="0.25">
      <c r="A93" s="98" t="s">
        <v>240</v>
      </c>
      <c r="B93" s="255" t="s">
        <v>241</v>
      </c>
      <c r="C93" s="255"/>
      <c r="D93" s="255"/>
      <c r="E93" s="255"/>
      <c r="F93" s="255"/>
      <c r="G93" s="255"/>
      <c r="H93" s="256"/>
      <c r="I93" s="76"/>
      <c r="J93" s="284" t="s">
        <v>154</v>
      </c>
      <c r="K93" s="285"/>
      <c r="L93" s="133"/>
      <c r="M93" s="284" t="s">
        <v>155</v>
      </c>
      <c r="N93" s="285"/>
      <c r="O93" s="133"/>
      <c r="P93" s="284" t="s">
        <v>156</v>
      </c>
      <c r="Q93" s="285"/>
      <c r="R93" s="133"/>
      <c r="S93" s="284" t="s">
        <v>157</v>
      </c>
      <c r="T93" s="285"/>
      <c r="U93" s="133"/>
      <c r="V93" s="284" t="s">
        <v>158</v>
      </c>
      <c r="W93" s="285"/>
      <c r="X93" s="83"/>
      <c r="Y93" s="257" t="s">
        <v>43</v>
      </c>
      <c r="Z93" s="258"/>
      <c r="AA93" s="83"/>
      <c r="AB93" s="247" t="s">
        <v>44</v>
      </c>
      <c r="AC93" s="249"/>
    </row>
    <row r="94" spans="1:29" ht="29.25" customHeight="1" thickBot="1" x14ac:dyDescent="0.25">
      <c r="A94" s="105" t="s">
        <v>242</v>
      </c>
      <c r="B94" s="76"/>
      <c r="C94" s="76"/>
      <c r="D94" s="76"/>
      <c r="E94" s="76"/>
      <c r="F94" s="76"/>
      <c r="G94" s="76"/>
      <c r="H94" s="106"/>
      <c r="I94" s="76"/>
      <c r="J94" s="147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9"/>
      <c r="X94" s="83"/>
      <c r="Y94" s="286">
        <f>TBC!C104</f>
        <v>0</v>
      </c>
      <c r="Z94" s="287"/>
      <c r="AA94" s="83"/>
      <c r="AB94" s="253"/>
      <c r="AC94" s="254"/>
    </row>
    <row r="95" spans="1:29" ht="29.25" customHeight="1" thickBot="1" x14ac:dyDescent="0.25">
      <c r="A95" s="98" t="s">
        <v>243</v>
      </c>
      <c r="B95" s="255" t="s">
        <v>244</v>
      </c>
      <c r="C95" s="255"/>
      <c r="D95" s="255"/>
      <c r="E95" s="255"/>
      <c r="F95" s="255"/>
      <c r="G95" s="255"/>
      <c r="H95" s="256"/>
      <c r="I95" s="76"/>
      <c r="J95" s="282" t="s">
        <v>154</v>
      </c>
      <c r="K95" s="283"/>
      <c r="L95" s="83"/>
      <c r="M95" s="282" t="s">
        <v>155</v>
      </c>
      <c r="N95" s="283"/>
      <c r="O95" s="83"/>
      <c r="P95" s="282" t="s">
        <v>156</v>
      </c>
      <c r="Q95" s="283"/>
      <c r="R95" s="83"/>
      <c r="S95" s="282" t="s">
        <v>157</v>
      </c>
      <c r="T95" s="283"/>
      <c r="U95" s="83"/>
      <c r="V95" s="282" t="s">
        <v>158</v>
      </c>
      <c r="W95" s="283"/>
      <c r="X95" s="83"/>
      <c r="Y95" s="257" t="s">
        <v>43</v>
      </c>
      <c r="Z95" s="258"/>
      <c r="AA95" s="83"/>
      <c r="AB95" s="257" t="s">
        <v>44</v>
      </c>
      <c r="AC95" s="258"/>
    </row>
    <row r="96" spans="1:29" ht="29.25" customHeight="1" x14ac:dyDescent="0.2">
      <c r="A96" s="112" t="s">
        <v>245</v>
      </c>
      <c r="B96" s="76"/>
      <c r="C96" s="76"/>
      <c r="D96" s="76"/>
      <c r="E96" s="78"/>
      <c r="F96" s="78"/>
      <c r="G96" s="78"/>
      <c r="H96" s="113"/>
      <c r="I96" s="76"/>
      <c r="J96" s="276">
        <f>SUM(J97:K98)</f>
        <v>0</v>
      </c>
      <c r="K96" s="277"/>
      <c r="L96" s="83"/>
      <c r="M96" s="276">
        <f>SUM(M97:N98)</f>
        <v>0</v>
      </c>
      <c r="N96" s="277"/>
      <c r="O96" s="83"/>
      <c r="P96" s="276">
        <f>SUM(P97:Q98)</f>
        <v>0</v>
      </c>
      <c r="Q96" s="277"/>
      <c r="R96" s="83"/>
      <c r="S96" s="276">
        <f>SUM(S97:T98)</f>
        <v>0</v>
      </c>
      <c r="T96" s="277"/>
      <c r="U96" s="83"/>
      <c r="V96" s="276">
        <f>SUM(V97:W98)</f>
        <v>0</v>
      </c>
      <c r="W96" s="277"/>
      <c r="X96" s="83"/>
      <c r="Y96" s="276">
        <f>SUM(J96,M96,P96,S96,V96)</f>
        <v>0</v>
      </c>
      <c r="Z96" s="277"/>
      <c r="AA96" s="83"/>
      <c r="AB96" s="278"/>
      <c r="AC96" s="279"/>
    </row>
    <row r="97" spans="1:29" ht="29.25" customHeight="1" x14ac:dyDescent="0.2">
      <c r="A97" s="150"/>
      <c r="B97" s="261" t="s">
        <v>246</v>
      </c>
      <c r="C97" s="261"/>
      <c r="D97" s="261"/>
      <c r="E97" s="261"/>
      <c r="F97" s="261"/>
      <c r="G97" s="261"/>
      <c r="H97" s="262"/>
      <c r="I97" s="76"/>
      <c r="J97" s="251">
        <f>TBC!D109</f>
        <v>0</v>
      </c>
      <c r="K97" s="252"/>
      <c r="L97" s="83"/>
      <c r="M97" s="251">
        <f>TBC!E109</f>
        <v>0</v>
      </c>
      <c r="N97" s="252"/>
      <c r="O97" s="83"/>
      <c r="P97" s="251">
        <f>TBC!F109</f>
        <v>0</v>
      </c>
      <c r="Q97" s="252"/>
      <c r="R97" s="83"/>
      <c r="S97" s="251">
        <f>TBC!G109</f>
        <v>0</v>
      </c>
      <c r="T97" s="252"/>
      <c r="U97" s="83"/>
      <c r="V97" s="251">
        <f>TBC!H109</f>
        <v>0</v>
      </c>
      <c r="W97" s="252"/>
      <c r="X97" s="83"/>
      <c r="Y97" s="251">
        <f>SUM(J97,M97,P97,S97,V97)</f>
        <v>0</v>
      </c>
      <c r="Z97" s="252"/>
      <c r="AA97" s="83"/>
      <c r="AB97" s="251"/>
      <c r="AC97" s="252"/>
    </row>
    <row r="98" spans="1:29" ht="29.25" customHeight="1" thickBot="1" x14ac:dyDescent="0.25">
      <c r="A98" s="150"/>
      <c r="B98" s="280" t="s">
        <v>247</v>
      </c>
      <c r="C98" s="280"/>
      <c r="D98" s="280"/>
      <c r="E98" s="280"/>
      <c r="F98" s="280"/>
      <c r="G98" s="280"/>
      <c r="H98" s="281"/>
      <c r="I98" s="76"/>
      <c r="J98" s="251">
        <f>TBC!D110</f>
        <v>0</v>
      </c>
      <c r="K98" s="252"/>
      <c r="L98" s="83"/>
      <c r="M98" s="251">
        <f>TBC!E110</f>
        <v>0</v>
      </c>
      <c r="N98" s="252"/>
      <c r="O98" s="83"/>
      <c r="P98" s="251">
        <f>TBC!F110</f>
        <v>0</v>
      </c>
      <c r="Q98" s="252"/>
      <c r="R98" s="83"/>
      <c r="S98" s="251">
        <f>TBC!G110</f>
        <v>0</v>
      </c>
      <c r="T98" s="252"/>
      <c r="U98" s="83"/>
      <c r="V98" s="251">
        <f>TBC!H110</f>
        <v>0</v>
      </c>
      <c r="W98" s="252"/>
      <c r="X98" s="83"/>
      <c r="Y98" s="251">
        <f>SUM(J98,M98,P98,S98,V98)</f>
        <v>0</v>
      </c>
      <c r="Z98" s="252"/>
      <c r="AA98" s="83"/>
      <c r="AB98" s="274"/>
      <c r="AC98" s="275"/>
    </row>
    <row r="99" spans="1:29" ht="29.25" customHeight="1" thickBot="1" x14ac:dyDescent="0.25">
      <c r="A99" s="98" t="s">
        <v>248</v>
      </c>
      <c r="B99" s="255" t="s">
        <v>249</v>
      </c>
      <c r="C99" s="255"/>
      <c r="D99" s="255"/>
      <c r="E99" s="255"/>
      <c r="F99" s="255"/>
      <c r="G99" s="255"/>
      <c r="H99" s="256"/>
      <c r="I99" s="76"/>
      <c r="J99" s="257" t="s">
        <v>154</v>
      </c>
      <c r="K99" s="258"/>
      <c r="L99" s="83"/>
      <c r="M99" s="257" t="s">
        <v>155</v>
      </c>
      <c r="N99" s="258"/>
      <c r="O99" s="83"/>
      <c r="P99" s="257" t="s">
        <v>156</v>
      </c>
      <c r="Q99" s="258"/>
      <c r="R99" s="83"/>
      <c r="S99" s="257" t="s">
        <v>157</v>
      </c>
      <c r="T99" s="258"/>
      <c r="U99" s="83"/>
      <c r="V99" s="257" t="s">
        <v>158</v>
      </c>
      <c r="W99" s="258"/>
      <c r="X99" s="83"/>
      <c r="Y99" s="257" t="s">
        <v>43</v>
      </c>
      <c r="Z99" s="258"/>
      <c r="AA99" s="83"/>
      <c r="AB99" s="257" t="s">
        <v>44</v>
      </c>
      <c r="AC99" s="258"/>
    </row>
    <row r="100" spans="1:29" ht="29.25" customHeight="1" x14ac:dyDescent="0.2">
      <c r="A100" s="264" t="s">
        <v>250</v>
      </c>
      <c r="B100" s="265"/>
      <c r="C100" s="265"/>
      <c r="D100" s="265"/>
      <c r="E100" s="265"/>
      <c r="F100" s="265"/>
      <c r="G100" s="265"/>
      <c r="H100" s="266"/>
      <c r="I100" s="76"/>
      <c r="J100" s="276">
        <f>SUM(J101:K102)</f>
        <v>0</v>
      </c>
      <c r="K100" s="277"/>
      <c r="L100" s="83"/>
      <c r="M100" s="276">
        <f>SUM(M101:N102)</f>
        <v>0</v>
      </c>
      <c r="N100" s="277"/>
      <c r="O100" s="83"/>
      <c r="P100" s="276">
        <f>SUM(P101:Q102)</f>
        <v>0</v>
      </c>
      <c r="Q100" s="277"/>
      <c r="R100" s="83"/>
      <c r="S100" s="276">
        <f>SUM(S101:T102)</f>
        <v>0</v>
      </c>
      <c r="T100" s="277"/>
      <c r="U100" s="83"/>
      <c r="V100" s="276">
        <f>SUM(V101:W102)</f>
        <v>0</v>
      </c>
      <c r="W100" s="277"/>
      <c r="X100" s="83"/>
      <c r="Y100" s="276">
        <f>SUM(V100,S100,P100,M100,J100)</f>
        <v>0</v>
      </c>
      <c r="Z100" s="277"/>
      <c r="AA100" s="83"/>
      <c r="AB100" s="278"/>
      <c r="AC100" s="279"/>
    </row>
    <row r="101" spans="1:29" ht="29.25" customHeight="1" x14ac:dyDescent="0.2">
      <c r="A101" s="150"/>
      <c r="B101" s="261" t="s">
        <v>251</v>
      </c>
      <c r="C101" s="261"/>
      <c r="D101" s="261"/>
      <c r="E101" s="261"/>
      <c r="F101" s="261"/>
      <c r="G101" s="261"/>
      <c r="H101" s="262"/>
      <c r="I101" s="76"/>
      <c r="J101" s="251">
        <f>TBC!D115</f>
        <v>0</v>
      </c>
      <c r="K101" s="252"/>
      <c r="L101" s="83"/>
      <c r="M101" s="251">
        <f>TBC!E115</f>
        <v>0</v>
      </c>
      <c r="N101" s="252"/>
      <c r="O101" s="83"/>
      <c r="P101" s="251">
        <f>TBC!F115</f>
        <v>0</v>
      </c>
      <c r="Q101" s="252"/>
      <c r="R101" s="83"/>
      <c r="S101" s="251">
        <f>TBC!G115</f>
        <v>0</v>
      </c>
      <c r="T101" s="252"/>
      <c r="U101" s="83"/>
      <c r="V101" s="251">
        <f>TBC!H115</f>
        <v>0</v>
      </c>
      <c r="W101" s="252"/>
      <c r="X101" s="83"/>
      <c r="Y101" s="251">
        <f>SUM(J101,M101,P101,S101,V101)</f>
        <v>0</v>
      </c>
      <c r="Z101" s="252"/>
      <c r="AA101" s="83"/>
      <c r="AB101" s="251"/>
      <c r="AC101" s="252"/>
    </row>
    <row r="102" spans="1:29" ht="29.25" customHeight="1" x14ac:dyDescent="0.2">
      <c r="A102" s="150"/>
      <c r="B102" s="261" t="s">
        <v>252</v>
      </c>
      <c r="C102" s="261"/>
      <c r="D102" s="261"/>
      <c r="E102" s="261"/>
      <c r="F102" s="261"/>
      <c r="G102" s="261"/>
      <c r="H102" s="262"/>
      <c r="I102" s="76"/>
      <c r="J102" s="251">
        <f>TBC!D116</f>
        <v>0</v>
      </c>
      <c r="K102" s="252"/>
      <c r="L102" s="83"/>
      <c r="M102" s="251">
        <f>TBC!E116</f>
        <v>0</v>
      </c>
      <c r="N102" s="252"/>
      <c r="O102" s="83"/>
      <c r="P102" s="251">
        <f>TBC!F116</f>
        <v>0</v>
      </c>
      <c r="Q102" s="252"/>
      <c r="R102" s="83"/>
      <c r="S102" s="251">
        <f>TBC!G116</f>
        <v>0</v>
      </c>
      <c r="T102" s="252"/>
      <c r="U102" s="83"/>
      <c r="V102" s="251">
        <f>TBC!H116</f>
        <v>0</v>
      </c>
      <c r="W102" s="252"/>
      <c r="X102" s="83"/>
      <c r="Y102" s="251">
        <f>SUM(J102,M102,P102,S102,V102)</f>
        <v>0</v>
      </c>
      <c r="Z102" s="252"/>
      <c r="AA102" s="83"/>
      <c r="AB102" s="251"/>
      <c r="AC102" s="252"/>
    </row>
    <row r="103" spans="1:29" ht="29.25" customHeight="1" thickBot="1" x14ac:dyDescent="0.25">
      <c r="A103" s="271" t="s">
        <v>253</v>
      </c>
      <c r="B103" s="272"/>
      <c r="C103" s="272"/>
      <c r="D103" s="272"/>
      <c r="E103" s="272"/>
      <c r="F103" s="272"/>
      <c r="G103" s="272"/>
      <c r="H103" s="273"/>
      <c r="I103" s="76"/>
      <c r="J103" s="251">
        <f>TBC!D117</f>
        <v>0</v>
      </c>
      <c r="K103" s="252"/>
      <c r="L103" s="83"/>
      <c r="M103" s="251">
        <f>TBC!E117</f>
        <v>0</v>
      </c>
      <c r="N103" s="252"/>
      <c r="O103" s="83"/>
      <c r="P103" s="251">
        <f>TBC!F117</f>
        <v>0</v>
      </c>
      <c r="Q103" s="252"/>
      <c r="R103" s="83"/>
      <c r="S103" s="251">
        <f>TBC!G117</f>
        <v>0</v>
      </c>
      <c r="T103" s="252"/>
      <c r="U103" s="83"/>
      <c r="V103" s="251">
        <f>TBC!H117</f>
        <v>0</v>
      </c>
      <c r="W103" s="252"/>
      <c r="X103" s="83"/>
      <c r="Y103" s="251">
        <f>SUM(J103,M103,P103,S103,V103)</f>
        <v>0</v>
      </c>
      <c r="Z103" s="252"/>
      <c r="AA103" s="83"/>
      <c r="AB103" s="274"/>
      <c r="AC103" s="275"/>
    </row>
    <row r="104" spans="1:29" ht="29.25" customHeight="1" thickBot="1" x14ac:dyDescent="0.25">
      <c r="A104" s="98" t="s">
        <v>254</v>
      </c>
      <c r="B104" s="255" t="s">
        <v>255</v>
      </c>
      <c r="C104" s="255"/>
      <c r="D104" s="255"/>
      <c r="E104" s="255"/>
      <c r="F104" s="255"/>
      <c r="G104" s="255"/>
      <c r="H104" s="256"/>
      <c r="I104" s="76"/>
      <c r="J104" s="257" t="s">
        <v>154</v>
      </c>
      <c r="K104" s="258"/>
      <c r="L104" s="83"/>
      <c r="M104" s="257" t="s">
        <v>155</v>
      </c>
      <c r="N104" s="258"/>
      <c r="O104" s="83"/>
      <c r="P104" s="257" t="s">
        <v>156</v>
      </c>
      <c r="Q104" s="258"/>
      <c r="R104" s="83"/>
      <c r="S104" s="257" t="s">
        <v>157</v>
      </c>
      <c r="T104" s="258"/>
      <c r="U104" s="83"/>
      <c r="V104" s="257" t="s">
        <v>158</v>
      </c>
      <c r="W104" s="258"/>
      <c r="X104" s="83"/>
      <c r="Y104" s="257" t="s">
        <v>43</v>
      </c>
      <c r="Z104" s="258"/>
      <c r="AA104" s="83"/>
      <c r="AB104" s="257" t="s">
        <v>44</v>
      </c>
      <c r="AC104" s="258"/>
    </row>
    <row r="105" spans="1:29" ht="29.25" customHeight="1" x14ac:dyDescent="0.2">
      <c r="A105" s="264" t="s">
        <v>256</v>
      </c>
      <c r="B105" s="265"/>
      <c r="C105" s="265"/>
      <c r="D105" s="265"/>
      <c r="E105" s="265"/>
      <c r="F105" s="265"/>
      <c r="G105" s="265"/>
      <c r="H105" s="266"/>
      <c r="I105" s="76"/>
      <c r="J105" s="267">
        <f>SUM(J106,J107)</f>
        <v>0</v>
      </c>
      <c r="K105" s="268"/>
      <c r="L105" s="83"/>
      <c r="M105" s="267">
        <f>SUM(M106,M107)</f>
        <v>0</v>
      </c>
      <c r="N105" s="268"/>
      <c r="O105" s="83"/>
      <c r="P105" s="267">
        <f>SUM(P106,P107)</f>
        <v>0</v>
      </c>
      <c r="Q105" s="268"/>
      <c r="R105" s="83"/>
      <c r="S105" s="267">
        <f>SUM(S106,S107)</f>
        <v>0</v>
      </c>
      <c r="T105" s="268"/>
      <c r="U105" s="83"/>
      <c r="V105" s="267">
        <f>SUM(V106,V107)</f>
        <v>0</v>
      </c>
      <c r="W105" s="268"/>
      <c r="X105" s="83"/>
      <c r="Y105" s="267">
        <f>SUM(J105,M105,P105,S105,V105)</f>
        <v>0</v>
      </c>
      <c r="Z105" s="268"/>
      <c r="AA105" s="83"/>
      <c r="AB105" s="269"/>
      <c r="AC105" s="269"/>
    </row>
    <row r="106" spans="1:29" ht="29.25" customHeight="1" x14ac:dyDescent="0.2">
      <c r="A106" s="150"/>
      <c r="B106" s="261" t="s">
        <v>257</v>
      </c>
      <c r="C106" s="261"/>
      <c r="D106" s="261"/>
      <c r="E106" s="261"/>
      <c r="F106" s="261"/>
      <c r="G106" s="261"/>
      <c r="H106" s="262"/>
      <c r="I106" s="76"/>
      <c r="J106" s="251">
        <f>TBC!D124</f>
        <v>0</v>
      </c>
      <c r="K106" s="252"/>
      <c r="L106" s="83"/>
      <c r="M106" s="251">
        <f>TBC!E124</f>
        <v>0</v>
      </c>
      <c r="N106" s="252"/>
      <c r="O106" s="83"/>
      <c r="P106" s="251">
        <f>TBC!F124</f>
        <v>0</v>
      </c>
      <c r="Q106" s="252"/>
      <c r="R106" s="83"/>
      <c r="S106" s="251">
        <f>TBC!G124</f>
        <v>0</v>
      </c>
      <c r="T106" s="252"/>
      <c r="U106" s="83"/>
      <c r="V106" s="251">
        <f>TBC!H124</f>
        <v>0</v>
      </c>
      <c r="W106" s="252"/>
      <c r="X106" s="83"/>
      <c r="Y106" s="251">
        <f>SUM(J106,M106,P106,S106,V106)</f>
        <v>0</v>
      </c>
      <c r="Z106" s="252"/>
      <c r="AA106" s="83"/>
      <c r="AB106" s="263"/>
      <c r="AC106" s="263"/>
    </row>
    <row r="107" spans="1:29" ht="29.25" customHeight="1" thickBot="1" x14ac:dyDescent="0.25">
      <c r="A107" s="150"/>
      <c r="B107" s="261" t="s">
        <v>258</v>
      </c>
      <c r="C107" s="261"/>
      <c r="D107" s="261"/>
      <c r="E107" s="261"/>
      <c r="F107" s="261"/>
      <c r="G107" s="261"/>
      <c r="H107" s="262"/>
      <c r="I107" s="76"/>
      <c r="J107" s="251">
        <f>TBC!D125</f>
        <v>0</v>
      </c>
      <c r="K107" s="252"/>
      <c r="L107" s="83"/>
      <c r="M107" s="251">
        <f>TBC!E125</f>
        <v>0</v>
      </c>
      <c r="N107" s="252"/>
      <c r="O107" s="83"/>
      <c r="P107" s="251">
        <f>TBC!F125</f>
        <v>0</v>
      </c>
      <c r="Q107" s="252"/>
      <c r="R107" s="83"/>
      <c r="S107" s="251">
        <f>TBC!G125</f>
        <v>0</v>
      </c>
      <c r="T107" s="252"/>
      <c r="U107" s="83"/>
      <c r="V107" s="251">
        <f>TBC!H125</f>
        <v>0</v>
      </c>
      <c r="W107" s="252"/>
      <c r="X107" s="83"/>
      <c r="Y107" s="259">
        <f>SUM(J107,M107,P107,S107,V107)</f>
        <v>0</v>
      </c>
      <c r="Z107" s="260"/>
      <c r="AA107" s="83"/>
      <c r="AB107" s="270"/>
      <c r="AC107" s="270"/>
    </row>
    <row r="108" spans="1:29" ht="29.25" customHeight="1" thickBot="1" x14ac:dyDescent="0.25">
      <c r="A108" s="98" t="s">
        <v>259</v>
      </c>
      <c r="B108" s="255" t="s">
        <v>260</v>
      </c>
      <c r="C108" s="255"/>
      <c r="D108" s="255"/>
      <c r="E108" s="255"/>
      <c r="F108" s="255"/>
      <c r="G108" s="255"/>
      <c r="H108" s="256"/>
      <c r="I108" s="76"/>
      <c r="J108" s="257" t="s">
        <v>154</v>
      </c>
      <c r="K108" s="258"/>
      <c r="L108" s="83"/>
      <c r="M108" s="257" t="s">
        <v>155</v>
      </c>
      <c r="N108" s="258"/>
      <c r="O108" s="83"/>
      <c r="P108" s="257" t="s">
        <v>156</v>
      </c>
      <c r="Q108" s="258"/>
      <c r="R108" s="83"/>
      <c r="S108" s="257" t="s">
        <v>157</v>
      </c>
      <c r="T108" s="258"/>
      <c r="U108" s="83"/>
      <c r="V108" s="257" t="s">
        <v>158</v>
      </c>
      <c r="W108" s="258"/>
      <c r="X108" s="83"/>
      <c r="Y108" s="257" t="s">
        <v>43</v>
      </c>
      <c r="Z108" s="258"/>
      <c r="AA108" s="83"/>
      <c r="AB108" s="247" t="s">
        <v>44</v>
      </c>
      <c r="AC108" s="249"/>
    </row>
    <row r="109" spans="1:29" ht="29.25" customHeight="1" thickBot="1" x14ac:dyDescent="0.25">
      <c r="A109" s="231" t="s">
        <v>261</v>
      </c>
      <c r="B109" s="232"/>
      <c r="C109" s="232"/>
      <c r="D109" s="232"/>
      <c r="E109" s="232"/>
      <c r="F109" s="232"/>
      <c r="G109" s="232"/>
      <c r="H109" s="233"/>
      <c r="I109" s="76"/>
      <c r="J109" s="251">
        <f>TBC!D129</f>
        <v>0</v>
      </c>
      <c r="K109" s="252"/>
      <c r="L109" s="83"/>
      <c r="M109" s="251">
        <f>TBC!E129</f>
        <v>0</v>
      </c>
      <c r="N109" s="252"/>
      <c r="O109" s="83"/>
      <c r="P109" s="251">
        <f>TBC!F129</f>
        <v>0</v>
      </c>
      <c r="Q109" s="252"/>
      <c r="R109" s="83"/>
      <c r="S109" s="251">
        <f>TBC!G129</f>
        <v>0</v>
      </c>
      <c r="T109" s="252"/>
      <c r="U109" s="83"/>
      <c r="V109" s="251">
        <f>TBC!H129</f>
        <v>0</v>
      </c>
      <c r="W109" s="252"/>
      <c r="X109" s="83"/>
      <c r="Y109" s="251">
        <f>SUM(J109,M109,P109,S109,V109)</f>
        <v>0</v>
      </c>
      <c r="Z109" s="252"/>
      <c r="AA109" s="83"/>
      <c r="AB109" s="253"/>
      <c r="AC109" s="254"/>
    </row>
    <row r="110" spans="1:29" ht="29.25" customHeight="1" thickBot="1" x14ac:dyDescent="0.25">
      <c r="A110" s="98" t="s">
        <v>262</v>
      </c>
      <c r="B110" s="255" t="s">
        <v>263</v>
      </c>
      <c r="C110" s="255"/>
      <c r="D110" s="255"/>
      <c r="E110" s="255"/>
      <c r="F110" s="255"/>
      <c r="G110" s="255"/>
      <c r="H110" s="256"/>
      <c r="I110" s="76"/>
      <c r="J110" s="257" t="s">
        <v>154</v>
      </c>
      <c r="K110" s="258"/>
      <c r="L110" s="83"/>
      <c r="M110" s="257" t="s">
        <v>155</v>
      </c>
      <c r="N110" s="258"/>
      <c r="O110" s="83"/>
      <c r="P110" s="257" t="s">
        <v>156</v>
      </c>
      <c r="Q110" s="258"/>
      <c r="R110" s="83"/>
      <c r="S110" s="257" t="s">
        <v>157</v>
      </c>
      <c r="T110" s="258"/>
      <c r="U110" s="83"/>
      <c r="V110" s="257" t="s">
        <v>158</v>
      </c>
      <c r="W110" s="258"/>
      <c r="X110" s="83"/>
      <c r="Y110" s="257" t="s">
        <v>43</v>
      </c>
      <c r="Z110" s="258"/>
      <c r="AA110" s="83"/>
      <c r="AB110" s="247" t="s">
        <v>44</v>
      </c>
      <c r="AC110" s="249"/>
    </row>
    <row r="111" spans="1:29" ht="29.25" customHeight="1" thickBot="1" x14ac:dyDescent="0.25">
      <c r="A111" s="151" t="s">
        <v>264</v>
      </c>
      <c r="B111" s="152"/>
      <c r="C111" s="152"/>
      <c r="D111" s="152"/>
      <c r="E111" s="152"/>
      <c r="F111" s="152"/>
      <c r="G111" s="152"/>
      <c r="H111" s="153"/>
      <c r="I111" s="76"/>
      <c r="J111" s="251"/>
      <c r="K111" s="252"/>
      <c r="L111" s="83"/>
      <c r="M111" s="251"/>
      <c r="N111" s="252"/>
      <c r="O111" s="83"/>
      <c r="P111" s="251"/>
      <c r="Q111" s="252"/>
      <c r="R111" s="83"/>
      <c r="S111" s="251"/>
      <c r="T111" s="252"/>
      <c r="U111" s="83"/>
      <c r="V111" s="251"/>
      <c r="W111" s="252"/>
      <c r="X111" s="83"/>
      <c r="Y111" s="251">
        <f>SUM(J111,M111,P111,S111,V111)</f>
        <v>0</v>
      </c>
      <c r="Z111" s="252"/>
      <c r="AA111" s="83"/>
      <c r="AB111" s="253"/>
      <c r="AC111" s="254"/>
    </row>
    <row r="112" spans="1:29" ht="29.25" customHeight="1" thickBot="1" x14ac:dyDescent="0.25">
      <c r="A112" s="98" t="s">
        <v>265</v>
      </c>
      <c r="B112" s="255" t="s">
        <v>266</v>
      </c>
      <c r="C112" s="255"/>
      <c r="D112" s="255"/>
      <c r="E112" s="255"/>
      <c r="F112" s="255"/>
      <c r="G112" s="255"/>
      <c r="H112" s="256"/>
      <c r="I112" s="76"/>
      <c r="J112" s="257" t="s">
        <v>154</v>
      </c>
      <c r="K112" s="258"/>
      <c r="L112" s="83"/>
      <c r="M112" s="257" t="s">
        <v>155</v>
      </c>
      <c r="N112" s="258"/>
      <c r="O112" s="83"/>
      <c r="P112" s="257" t="s">
        <v>156</v>
      </c>
      <c r="Q112" s="258"/>
      <c r="R112" s="83"/>
      <c r="S112" s="257" t="s">
        <v>157</v>
      </c>
      <c r="T112" s="258"/>
      <c r="U112" s="83"/>
      <c r="V112" s="257" t="s">
        <v>158</v>
      </c>
      <c r="W112" s="258"/>
      <c r="X112" s="83"/>
      <c r="Y112" s="257" t="s">
        <v>43</v>
      </c>
      <c r="Z112" s="258"/>
      <c r="AA112" s="83"/>
      <c r="AB112" s="247" t="s">
        <v>44</v>
      </c>
      <c r="AC112" s="249"/>
    </row>
    <row r="113" spans="1:29" ht="29.25" customHeight="1" thickBot="1" x14ac:dyDescent="0.25">
      <c r="A113" s="231" t="s">
        <v>267</v>
      </c>
      <c r="B113" s="232"/>
      <c r="C113" s="232"/>
      <c r="D113" s="232"/>
      <c r="E113" s="232"/>
      <c r="F113" s="232"/>
      <c r="G113" s="232"/>
      <c r="H113" s="233"/>
      <c r="I113" s="76"/>
      <c r="J113" s="234"/>
      <c r="K113" s="235"/>
      <c r="L113" s="83"/>
      <c r="M113" s="234"/>
      <c r="N113" s="235"/>
      <c r="O113" s="83"/>
      <c r="P113" s="234"/>
      <c r="Q113" s="235"/>
      <c r="R113" s="83"/>
      <c r="S113" s="234"/>
      <c r="T113" s="235"/>
      <c r="U113" s="83"/>
      <c r="V113" s="234"/>
      <c r="W113" s="235"/>
      <c r="X113" s="83"/>
      <c r="Y113" s="234">
        <f>SUM(J113,M113,P113,S113,V113)</f>
        <v>0</v>
      </c>
      <c r="Z113" s="235"/>
      <c r="AA113" s="83"/>
      <c r="AB113" s="236"/>
      <c r="AC113" s="237"/>
    </row>
    <row r="114" spans="1:29" ht="29.25" customHeight="1" thickBot="1" x14ac:dyDescent="0.25">
      <c r="A114" s="83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</row>
    <row r="115" spans="1:29" ht="29.25" customHeight="1" thickBot="1" x14ac:dyDescent="0.25">
      <c r="A115" s="238" t="s">
        <v>268</v>
      </c>
      <c r="B115" s="241" t="s">
        <v>269</v>
      </c>
      <c r="C115" s="241"/>
      <c r="D115" s="241"/>
      <c r="E115" s="242"/>
      <c r="F115" s="154"/>
      <c r="G115" s="247" t="s">
        <v>270</v>
      </c>
      <c r="H115" s="248"/>
      <c r="I115" s="248"/>
      <c r="J115" s="248"/>
      <c r="K115" s="248"/>
      <c r="L115" s="248"/>
      <c r="M115" s="248"/>
      <c r="N115" s="248"/>
      <c r="O115" s="248"/>
      <c r="P115" s="248"/>
      <c r="Q115" s="248"/>
      <c r="R115" s="248"/>
      <c r="S115" s="248"/>
      <c r="T115" s="248"/>
      <c r="U115" s="248"/>
      <c r="V115" s="248"/>
      <c r="W115" s="248"/>
      <c r="X115" s="248"/>
      <c r="Y115" s="248"/>
      <c r="Z115" s="248"/>
      <c r="AA115" s="248"/>
      <c r="AB115" s="248"/>
      <c r="AC115" s="249"/>
    </row>
    <row r="116" spans="1:29" ht="29.25" customHeight="1" thickBot="1" x14ac:dyDescent="0.25">
      <c r="A116" s="239"/>
      <c r="B116" s="243"/>
      <c r="C116" s="243"/>
      <c r="D116" s="243"/>
      <c r="E116" s="244"/>
      <c r="F116" s="154"/>
      <c r="G116" s="247" t="s">
        <v>271</v>
      </c>
      <c r="H116" s="249"/>
      <c r="I116" s="78"/>
      <c r="J116" s="240" t="s">
        <v>272</v>
      </c>
      <c r="K116" s="250"/>
      <c r="L116" s="85"/>
      <c r="M116" s="240" t="s">
        <v>273</v>
      </c>
      <c r="N116" s="250"/>
      <c r="O116" s="85"/>
      <c r="P116" s="240" t="s">
        <v>274</v>
      </c>
      <c r="Q116" s="250"/>
      <c r="R116" s="85"/>
      <c r="S116" s="240" t="s">
        <v>275</v>
      </c>
      <c r="T116" s="250"/>
      <c r="U116" s="85"/>
      <c r="V116" s="240" t="s">
        <v>276</v>
      </c>
      <c r="W116" s="250"/>
      <c r="X116" s="76"/>
      <c r="Y116" s="240" t="s">
        <v>277</v>
      </c>
      <c r="Z116" s="250"/>
      <c r="AA116" s="76"/>
      <c r="AB116" s="240" t="s">
        <v>278</v>
      </c>
      <c r="AC116" s="250"/>
    </row>
    <row r="117" spans="1:29" ht="29.25" customHeight="1" thickBot="1" x14ac:dyDescent="0.25">
      <c r="A117" s="240"/>
      <c r="B117" s="245"/>
      <c r="C117" s="245"/>
      <c r="D117" s="245"/>
      <c r="E117" s="246"/>
      <c r="F117" s="154"/>
      <c r="G117" s="155" t="s">
        <v>108</v>
      </c>
      <c r="H117" s="156" t="s">
        <v>114</v>
      </c>
      <c r="I117" s="125"/>
      <c r="J117" s="157" t="s">
        <v>108</v>
      </c>
      <c r="K117" s="158" t="s">
        <v>114</v>
      </c>
      <c r="L117" s="159"/>
      <c r="M117" s="157" t="s">
        <v>108</v>
      </c>
      <c r="N117" s="158" t="s">
        <v>114</v>
      </c>
      <c r="O117" s="159"/>
      <c r="P117" s="157" t="s">
        <v>108</v>
      </c>
      <c r="Q117" s="158" t="s">
        <v>114</v>
      </c>
      <c r="R117" s="160"/>
      <c r="S117" s="157" t="s">
        <v>108</v>
      </c>
      <c r="T117" s="158" t="s">
        <v>114</v>
      </c>
      <c r="U117" s="159"/>
      <c r="V117" s="157" t="s">
        <v>108</v>
      </c>
      <c r="W117" s="158" t="s">
        <v>114</v>
      </c>
      <c r="X117" s="109"/>
      <c r="Y117" s="157" t="s">
        <v>108</v>
      </c>
      <c r="Z117" s="158" t="s">
        <v>114</v>
      </c>
      <c r="AA117" s="109"/>
      <c r="AB117" s="157" t="s">
        <v>108</v>
      </c>
      <c r="AC117" s="158" t="s">
        <v>114</v>
      </c>
    </row>
    <row r="118" spans="1:29" ht="29.25" customHeight="1" x14ac:dyDescent="0.2">
      <c r="A118" s="161" t="s">
        <v>279</v>
      </c>
      <c r="B118" s="104"/>
      <c r="C118" s="103"/>
      <c r="D118" s="103"/>
      <c r="E118" s="104"/>
      <c r="F118" s="76"/>
      <c r="G118" s="162">
        <f>TBC!C152</f>
        <v>0</v>
      </c>
      <c r="H118" s="163">
        <f>TBC!D152</f>
        <v>0</v>
      </c>
      <c r="I118" s="83"/>
      <c r="J118" s="162">
        <f>TBC!E152</f>
        <v>0</v>
      </c>
      <c r="K118" s="163">
        <f>TBC!F152</f>
        <v>0</v>
      </c>
      <c r="L118" s="83"/>
      <c r="M118" s="162">
        <f>TBC!G152</f>
        <v>0</v>
      </c>
      <c r="N118" s="163">
        <f>TBC!H152</f>
        <v>0</v>
      </c>
      <c r="O118" s="83"/>
      <c r="P118" s="162">
        <f>TBC!I152</f>
        <v>0</v>
      </c>
      <c r="Q118" s="163">
        <f>TBC!J152</f>
        <v>0</v>
      </c>
      <c r="R118" s="107"/>
      <c r="S118" s="162">
        <f>TBC!K152</f>
        <v>0</v>
      </c>
      <c r="T118" s="163">
        <f>TBC!L152</f>
        <v>0</v>
      </c>
      <c r="U118" s="83"/>
      <c r="V118" s="162">
        <f>TBC!M152</f>
        <v>0</v>
      </c>
      <c r="W118" s="163">
        <f>TBC!N152</f>
        <v>0</v>
      </c>
      <c r="X118" s="83"/>
      <c r="Y118" s="162">
        <f>TBC!O152</f>
        <v>0</v>
      </c>
      <c r="Z118" s="163">
        <f>TBC!P152</f>
        <v>0</v>
      </c>
      <c r="AA118" s="83"/>
      <c r="AB118" s="162">
        <f>TBC!Q152</f>
        <v>0</v>
      </c>
      <c r="AC118" s="163">
        <f>TBC!R152</f>
        <v>0</v>
      </c>
    </row>
    <row r="119" spans="1:29" ht="29.25" customHeight="1" x14ac:dyDescent="0.2">
      <c r="A119" s="114"/>
      <c r="B119" s="115" t="s">
        <v>280</v>
      </c>
      <c r="C119" s="91"/>
      <c r="D119" s="91"/>
      <c r="E119" s="106"/>
      <c r="F119" s="76"/>
      <c r="G119" s="164">
        <f>TBC!C153</f>
        <v>0</v>
      </c>
      <c r="H119" s="165">
        <f>TBC!D153</f>
        <v>0</v>
      </c>
      <c r="I119" s="83"/>
      <c r="J119" s="164">
        <f>TBC!E153</f>
        <v>0</v>
      </c>
      <c r="K119" s="165">
        <f>TBC!F153</f>
        <v>0</v>
      </c>
      <c r="L119" s="83"/>
      <c r="M119" s="164">
        <f>TBC!G153</f>
        <v>0</v>
      </c>
      <c r="N119" s="165">
        <f>TBC!H153</f>
        <v>0</v>
      </c>
      <c r="O119" s="83"/>
      <c r="P119" s="164">
        <f>TBC!I153</f>
        <v>0</v>
      </c>
      <c r="Q119" s="165">
        <f>TBC!J153</f>
        <v>0</v>
      </c>
      <c r="R119" s="107"/>
      <c r="S119" s="164">
        <f>TBC!K153</f>
        <v>0</v>
      </c>
      <c r="T119" s="165">
        <f>TBC!L153</f>
        <v>0</v>
      </c>
      <c r="U119" s="83"/>
      <c r="V119" s="164">
        <f>TBC!M153</f>
        <v>0</v>
      </c>
      <c r="W119" s="165">
        <f>TBC!N153</f>
        <v>0</v>
      </c>
      <c r="X119" s="83"/>
      <c r="Y119" s="164">
        <f>TBC!O153</f>
        <v>0</v>
      </c>
      <c r="Z119" s="165">
        <f>TBC!P153</f>
        <v>0</v>
      </c>
      <c r="AA119" s="83"/>
      <c r="AB119" s="164">
        <f>TBC!Q153</f>
        <v>0</v>
      </c>
      <c r="AC119" s="165">
        <f>TBC!R153</f>
        <v>0</v>
      </c>
    </row>
    <row r="120" spans="1:29" ht="29.25" customHeight="1" x14ac:dyDescent="0.2">
      <c r="A120" s="114"/>
      <c r="B120" s="115" t="s">
        <v>281</v>
      </c>
      <c r="C120" s="91"/>
      <c r="D120" s="91"/>
      <c r="E120" s="106"/>
      <c r="F120" s="76"/>
      <c r="G120" s="164">
        <f>TBC!C154</f>
        <v>0</v>
      </c>
      <c r="H120" s="165">
        <f>TBC!D154</f>
        <v>0</v>
      </c>
      <c r="I120" s="83"/>
      <c r="J120" s="164">
        <f>TBC!E154</f>
        <v>0</v>
      </c>
      <c r="K120" s="165">
        <f>TBC!F154</f>
        <v>0</v>
      </c>
      <c r="L120" s="83"/>
      <c r="M120" s="164">
        <f>TBC!G154</f>
        <v>0</v>
      </c>
      <c r="N120" s="165">
        <f>TBC!H154</f>
        <v>0</v>
      </c>
      <c r="O120" s="83"/>
      <c r="P120" s="164">
        <f>TBC!I154</f>
        <v>0</v>
      </c>
      <c r="Q120" s="165">
        <f>TBC!J154</f>
        <v>0</v>
      </c>
      <c r="R120" s="107"/>
      <c r="S120" s="164">
        <f>TBC!K154</f>
        <v>0</v>
      </c>
      <c r="T120" s="165">
        <f>TBC!L154</f>
        <v>0</v>
      </c>
      <c r="U120" s="83"/>
      <c r="V120" s="164">
        <f>TBC!M154</f>
        <v>0</v>
      </c>
      <c r="W120" s="165">
        <f>TBC!N154</f>
        <v>0</v>
      </c>
      <c r="X120" s="83"/>
      <c r="Y120" s="164">
        <f>TBC!O154</f>
        <v>0</v>
      </c>
      <c r="Z120" s="165">
        <f>TBC!P154</f>
        <v>0</v>
      </c>
      <c r="AA120" s="83"/>
      <c r="AB120" s="164">
        <f>TBC!Q154</f>
        <v>0</v>
      </c>
      <c r="AC120" s="165">
        <f>TBC!R154</f>
        <v>0</v>
      </c>
    </row>
    <row r="121" spans="1:29" ht="29.25" customHeight="1" x14ac:dyDescent="0.2">
      <c r="A121" s="114"/>
      <c r="B121" s="115" t="s">
        <v>282</v>
      </c>
      <c r="C121" s="91"/>
      <c r="D121" s="91"/>
      <c r="E121" s="106"/>
      <c r="F121" s="76"/>
      <c r="G121" s="164">
        <f>TBC!C155</f>
        <v>0</v>
      </c>
      <c r="H121" s="165">
        <f>TBC!D155</f>
        <v>0</v>
      </c>
      <c r="I121" s="83"/>
      <c r="J121" s="164">
        <f>TBC!E155</f>
        <v>0</v>
      </c>
      <c r="K121" s="165">
        <f>TBC!F155</f>
        <v>0</v>
      </c>
      <c r="L121" s="83"/>
      <c r="M121" s="164">
        <f>TBC!G155</f>
        <v>0</v>
      </c>
      <c r="N121" s="165">
        <f>TBC!H155</f>
        <v>0</v>
      </c>
      <c r="O121" s="83"/>
      <c r="P121" s="164">
        <f>TBC!I155</f>
        <v>0</v>
      </c>
      <c r="Q121" s="165">
        <f>TBC!J155</f>
        <v>0</v>
      </c>
      <c r="R121" s="107"/>
      <c r="S121" s="164">
        <f>TBC!K155</f>
        <v>0</v>
      </c>
      <c r="T121" s="165">
        <f>TBC!L155</f>
        <v>0</v>
      </c>
      <c r="U121" s="83"/>
      <c r="V121" s="164">
        <f>TBC!M155</f>
        <v>0</v>
      </c>
      <c r="W121" s="165">
        <f>TBC!N155</f>
        <v>0</v>
      </c>
      <c r="X121" s="83"/>
      <c r="Y121" s="164">
        <f>TBC!O155</f>
        <v>0</v>
      </c>
      <c r="Z121" s="165">
        <f>TBC!P155</f>
        <v>0</v>
      </c>
      <c r="AA121" s="83"/>
      <c r="AB121" s="164">
        <f>TBC!Q155</f>
        <v>0</v>
      </c>
      <c r="AC121" s="165">
        <f>TBC!R155</f>
        <v>0</v>
      </c>
    </row>
    <row r="122" spans="1:29" ht="29.25" customHeight="1" x14ac:dyDescent="0.2">
      <c r="A122" s="166" t="s">
        <v>283</v>
      </c>
      <c r="B122" s="106"/>
      <c r="C122" s="76"/>
      <c r="D122" s="76"/>
      <c r="E122" s="106"/>
      <c r="F122" s="76"/>
      <c r="G122" s="164">
        <f>TBC!C156</f>
        <v>0</v>
      </c>
      <c r="H122" s="165">
        <f>TBC!D156</f>
        <v>0</v>
      </c>
      <c r="I122" s="83"/>
      <c r="J122" s="164">
        <f>TBC!E156</f>
        <v>0</v>
      </c>
      <c r="K122" s="165">
        <f>TBC!F156</f>
        <v>0</v>
      </c>
      <c r="L122" s="83"/>
      <c r="M122" s="164">
        <f>TBC!G156</f>
        <v>0</v>
      </c>
      <c r="N122" s="165">
        <f>TBC!H156</f>
        <v>0</v>
      </c>
      <c r="O122" s="83"/>
      <c r="P122" s="164">
        <f>TBC!I156</f>
        <v>0</v>
      </c>
      <c r="Q122" s="165">
        <f>TBC!J156</f>
        <v>0</v>
      </c>
      <c r="R122" s="107"/>
      <c r="S122" s="164">
        <f>TBC!K156</f>
        <v>0</v>
      </c>
      <c r="T122" s="165">
        <f>TBC!L156</f>
        <v>0</v>
      </c>
      <c r="U122" s="83"/>
      <c r="V122" s="164">
        <f>TBC!M156</f>
        <v>0</v>
      </c>
      <c r="W122" s="165">
        <f>TBC!N156</f>
        <v>0</v>
      </c>
      <c r="X122" s="83"/>
      <c r="Y122" s="164">
        <f>TBC!O156</f>
        <v>0</v>
      </c>
      <c r="Z122" s="165">
        <f>TBC!P156</f>
        <v>0</v>
      </c>
      <c r="AA122" s="83"/>
      <c r="AB122" s="164">
        <f>TBC!Q156</f>
        <v>0</v>
      </c>
      <c r="AC122" s="165">
        <f>TBC!R156</f>
        <v>0</v>
      </c>
    </row>
    <row r="123" spans="1:29" ht="29.25" customHeight="1" x14ac:dyDescent="0.2">
      <c r="A123" s="118"/>
      <c r="B123" s="115" t="s">
        <v>284</v>
      </c>
      <c r="C123" s="91"/>
      <c r="D123" s="91"/>
      <c r="E123" s="106"/>
      <c r="F123" s="76"/>
      <c r="G123" s="164">
        <f>TBC!C157</f>
        <v>0</v>
      </c>
      <c r="H123" s="165">
        <f>TBC!D157</f>
        <v>0</v>
      </c>
      <c r="I123" s="83"/>
      <c r="J123" s="164">
        <f>TBC!E157</f>
        <v>0</v>
      </c>
      <c r="K123" s="165">
        <f>TBC!F157</f>
        <v>0</v>
      </c>
      <c r="L123" s="83"/>
      <c r="M123" s="164">
        <f>TBC!G157</f>
        <v>0</v>
      </c>
      <c r="N123" s="165">
        <f>TBC!H157</f>
        <v>0</v>
      </c>
      <c r="O123" s="83"/>
      <c r="P123" s="164">
        <f>TBC!I157</f>
        <v>0</v>
      </c>
      <c r="Q123" s="165">
        <f>TBC!J157</f>
        <v>0</v>
      </c>
      <c r="R123" s="107"/>
      <c r="S123" s="164">
        <f>TBC!K157</f>
        <v>0</v>
      </c>
      <c r="T123" s="165">
        <f>TBC!L157</f>
        <v>0</v>
      </c>
      <c r="U123" s="83"/>
      <c r="V123" s="164">
        <f>TBC!M157</f>
        <v>0</v>
      </c>
      <c r="W123" s="165">
        <f>TBC!N157</f>
        <v>0</v>
      </c>
      <c r="X123" s="83"/>
      <c r="Y123" s="164">
        <f>TBC!O157</f>
        <v>0</v>
      </c>
      <c r="Z123" s="165">
        <f>TBC!P157</f>
        <v>0</v>
      </c>
      <c r="AA123" s="83"/>
      <c r="AB123" s="164">
        <f>TBC!Q157</f>
        <v>0</v>
      </c>
      <c r="AC123" s="165">
        <f>TBC!R157</f>
        <v>0</v>
      </c>
    </row>
    <row r="124" spans="1:29" ht="29.25" customHeight="1" thickBot="1" x14ac:dyDescent="0.25">
      <c r="A124" s="167"/>
      <c r="B124" s="168" t="s">
        <v>285</v>
      </c>
      <c r="C124" s="169"/>
      <c r="D124" s="169"/>
      <c r="E124" s="110"/>
      <c r="F124" s="76"/>
      <c r="G124" s="170">
        <f>TBC!C158</f>
        <v>0</v>
      </c>
      <c r="H124" s="171">
        <f>TBC!D158</f>
        <v>0</v>
      </c>
      <c r="I124" s="172"/>
      <c r="J124" s="173">
        <f>TBC!E158</f>
        <v>0</v>
      </c>
      <c r="K124" s="174">
        <f>TBC!F158</f>
        <v>0</v>
      </c>
      <c r="L124" s="172"/>
      <c r="M124" s="173">
        <f>TBC!G158</f>
        <v>0</v>
      </c>
      <c r="N124" s="174">
        <f>TBC!H158</f>
        <v>0</v>
      </c>
      <c r="O124" s="172"/>
      <c r="P124" s="173">
        <f>TBC!I158</f>
        <v>0</v>
      </c>
      <c r="Q124" s="174">
        <f>TBC!J158</f>
        <v>0</v>
      </c>
      <c r="R124" s="172"/>
      <c r="S124" s="173">
        <f>TBC!K158</f>
        <v>0</v>
      </c>
      <c r="T124" s="174">
        <f>TBC!L158</f>
        <v>0</v>
      </c>
      <c r="U124" s="172"/>
      <c r="V124" s="173">
        <f>TBC!M158</f>
        <v>0</v>
      </c>
      <c r="W124" s="174">
        <f>TBC!N158</f>
        <v>0</v>
      </c>
      <c r="X124" s="172"/>
      <c r="Y124" s="173">
        <f>TBC!O158</f>
        <v>0</v>
      </c>
      <c r="Z124" s="174">
        <f>TBC!P158</f>
        <v>0</v>
      </c>
      <c r="AA124" s="172"/>
      <c r="AB124" s="173">
        <f>TBC!Q158</f>
        <v>0</v>
      </c>
      <c r="AC124" s="174">
        <f>TBC!R158</f>
        <v>0</v>
      </c>
    </row>
    <row r="125" spans="1:29" x14ac:dyDescent="0.2">
      <c r="B125" s="175"/>
      <c r="C125" s="175"/>
      <c r="D125" s="175"/>
      <c r="E125" s="176"/>
      <c r="F125" s="176"/>
      <c r="G125" s="177"/>
      <c r="H125" s="177"/>
      <c r="I125" s="176"/>
      <c r="J125" s="176"/>
      <c r="K125" s="176"/>
      <c r="L125" s="176"/>
      <c r="M125" s="176"/>
      <c r="N125" s="176"/>
      <c r="O125" s="176"/>
      <c r="P125" s="176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176"/>
      <c r="AB125" s="176"/>
      <c r="AC125" s="176"/>
    </row>
    <row r="126" spans="1:29" x14ac:dyDescent="0.2">
      <c r="B126" s="175"/>
      <c r="C126" s="175"/>
      <c r="D126" s="175"/>
      <c r="E126" s="176"/>
      <c r="F126" s="176"/>
      <c r="G126" s="177"/>
      <c r="H126" s="177"/>
      <c r="I126" s="176"/>
      <c r="J126" s="176"/>
      <c r="K126" s="176"/>
      <c r="L126" s="176"/>
      <c r="M126" s="176"/>
      <c r="N126" s="176"/>
      <c r="O126" s="176"/>
      <c r="P126" s="176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176"/>
      <c r="AB126" s="176"/>
      <c r="AC126" s="176"/>
    </row>
    <row r="127" spans="1:29" x14ac:dyDescent="0.2">
      <c r="G127" s="4"/>
      <c r="H127" s="4"/>
      <c r="Q127" s="178"/>
      <c r="R127" s="178"/>
      <c r="W127" s="178"/>
      <c r="X127" s="178"/>
      <c r="Y127" s="178"/>
      <c r="Z127" s="178"/>
    </row>
    <row r="128" spans="1:29" ht="21.75" thickBot="1" x14ac:dyDescent="0.25">
      <c r="A128" s="83"/>
      <c r="B128" s="179"/>
      <c r="C128" s="179"/>
      <c r="D128" s="179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83"/>
      <c r="R128" s="83"/>
      <c r="V128" s="229"/>
      <c r="W128" s="229"/>
      <c r="X128" s="229"/>
      <c r="Y128" s="229"/>
      <c r="Z128" s="83"/>
      <c r="AA128" s="76"/>
      <c r="AB128" s="76"/>
      <c r="AC128" s="76"/>
    </row>
    <row r="129" spans="1:29" ht="21" x14ac:dyDescent="0.2">
      <c r="A129" s="175"/>
      <c r="B129" s="230" t="s">
        <v>286</v>
      </c>
      <c r="C129" s="230"/>
      <c r="D129" s="230"/>
      <c r="E129" s="180"/>
      <c r="F129" s="180"/>
      <c r="G129" s="180"/>
      <c r="H129" s="180"/>
      <c r="I129" s="180"/>
      <c r="J129" s="180"/>
      <c r="K129" s="176"/>
      <c r="L129" s="176"/>
      <c r="M129" s="176"/>
      <c r="N129" s="176"/>
      <c r="O129" s="176"/>
      <c r="P129" s="176"/>
      <c r="Q129" s="176"/>
      <c r="R129" s="176"/>
      <c r="S129" s="180"/>
      <c r="T129" s="76"/>
      <c r="U129" s="76"/>
      <c r="V129" s="230" t="s">
        <v>287</v>
      </c>
      <c r="W129" s="230"/>
      <c r="X129" s="230"/>
      <c r="Y129" s="230"/>
      <c r="Z129" s="176"/>
      <c r="AA129" s="176"/>
      <c r="AB129" s="176"/>
      <c r="AC129" s="180"/>
    </row>
  </sheetData>
  <mergeCells count="636">
    <mergeCell ref="A2:W2"/>
    <mergeCell ref="Z2:AB2"/>
    <mergeCell ref="C4:D4"/>
    <mergeCell ref="J4:P4"/>
    <mergeCell ref="C6:D6"/>
    <mergeCell ref="M6:T6"/>
    <mergeCell ref="U7:V7"/>
    <mergeCell ref="P8:T8"/>
    <mergeCell ref="Z8:AB8"/>
    <mergeCell ref="M10:T10"/>
    <mergeCell ref="W10:Y10"/>
    <mergeCell ref="Z10:AB10"/>
    <mergeCell ref="D12:H12"/>
    <mergeCell ref="W12:Y14"/>
    <mergeCell ref="A16:B16"/>
    <mergeCell ref="H16:K16"/>
    <mergeCell ref="Y16:AB16"/>
    <mergeCell ref="N17:W17"/>
    <mergeCell ref="B20:H20"/>
    <mergeCell ref="J20:K20"/>
    <mergeCell ref="M20:N20"/>
    <mergeCell ref="P20:Q20"/>
    <mergeCell ref="S20:T20"/>
    <mergeCell ref="V20:W20"/>
    <mergeCell ref="Y20:Z20"/>
    <mergeCell ref="AB20:AC20"/>
    <mergeCell ref="J21:W21"/>
    <mergeCell ref="Y21:Z21"/>
    <mergeCell ref="AB21:AC21"/>
    <mergeCell ref="J22:K22"/>
    <mergeCell ref="M22:N22"/>
    <mergeCell ref="P22:Q22"/>
    <mergeCell ref="S22:T22"/>
    <mergeCell ref="V22:W22"/>
    <mergeCell ref="Y22:Z22"/>
    <mergeCell ref="AB22:AC22"/>
    <mergeCell ref="J23:K23"/>
    <mergeCell ref="M23:N23"/>
    <mergeCell ref="P23:Q23"/>
    <mergeCell ref="S23:T23"/>
    <mergeCell ref="V23:W23"/>
    <mergeCell ref="Y23:Z23"/>
    <mergeCell ref="AB23:AC23"/>
    <mergeCell ref="J24:K24"/>
    <mergeCell ref="M24:N24"/>
    <mergeCell ref="P24:Q24"/>
    <mergeCell ref="S24:T24"/>
    <mergeCell ref="V24:W24"/>
    <mergeCell ref="Y24:Z24"/>
    <mergeCell ref="AB24:AC24"/>
    <mergeCell ref="J25:W34"/>
    <mergeCell ref="Y25:Z25"/>
    <mergeCell ref="AB25:AC25"/>
    <mergeCell ref="Y26:Z26"/>
    <mergeCell ref="AB26:AC26"/>
    <mergeCell ref="Y27:Z27"/>
    <mergeCell ref="AB27:AC27"/>
    <mergeCell ref="Y28:Z28"/>
    <mergeCell ref="AB28:AC28"/>
    <mergeCell ref="Y29:Z29"/>
    <mergeCell ref="AB29:AC29"/>
    <mergeCell ref="Y30:Z30"/>
    <mergeCell ref="AB30:AC30"/>
    <mergeCell ref="Y31:Z31"/>
    <mergeCell ref="AB31:AC31"/>
    <mergeCell ref="Y32:Z32"/>
    <mergeCell ref="AB32:AC32"/>
    <mergeCell ref="Y33:Z33"/>
    <mergeCell ref="AB33:AC33"/>
    <mergeCell ref="Y34:Z34"/>
    <mergeCell ref="AB34:AC34"/>
    <mergeCell ref="B35:H35"/>
    <mergeCell ref="J35:K35"/>
    <mergeCell ref="M35:N35"/>
    <mergeCell ref="P35:Q35"/>
    <mergeCell ref="S35:T35"/>
    <mergeCell ref="V35:W35"/>
    <mergeCell ref="Y35:Z35"/>
    <mergeCell ref="AB35:AC35"/>
    <mergeCell ref="AB37:AC37"/>
    <mergeCell ref="J38:K38"/>
    <mergeCell ref="M38:N38"/>
    <mergeCell ref="P38:Q38"/>
    <mergeCell ref="S38:T38"/>
    <mergeCell ref="V38:W38"/>
    <mergeCell ref="AB39:AC39"/>
    <mergeCell ref="A36:H36"/>
    <mergeCell ref="J36:K36"/>
    <mergeCell ref="M36:N36"/>
    <mergeCell ref="P36:Q36"/>
    <mergeCell ref="S36:T36"/>
    <mergeCell ref="V36:W36"/>
    <mergeCell ref="Y36:Z36"/>
    <mergeCell ref="AB36:AC36"/>
    <mergeCell ref="Y38:Z38"/>
    <mergeCell ref="AB38:AC38"/>
    <mergeCell ref="J37:K37"/>
    <mergeCell ref="M37:N37"/>
    <mergeCell ref="P37:Q37"/>
    <mergeCell ref="S37:T37"/>
    <mergeCell ref="V37:W37"/>
    <mergeCell ref="Y37:Z37"/>
    <mergeCell ref="J40:K40"/>
    <mergeCell ref="M40:N40"/>
    <mergeCell ref="P40:Q40"/>
    <mergeCell ref="S40:T40"/>
    <mergeCell ref="V40:W40"/>
    <mergeCell ref="Y40:Z40"/>
    <mergeCell ref="AB40:AC40"/>
    <mergeCell ref="J39:K39"/>
    <mergeCell ref="M39:N39"/>
    <mergeCell ref="P39:Q39"/>
    <mergeCell ref="S39:T39"/>
    <mergeCell ref="V39:W39"/>
    <mergeCell ref="Y39:Z39"/>
    <mergeCell ref="Y42:Z42"/>
    <mergeCell ref="AB42:AC42"/>
    <mergeCell ref="J41:K41"/>
    <mergeCell ref="M41:N41"/>
    <mergeCell ref="P41:Q41"/>
    <mergeCell ref="S41:T41"/>
    <mergeCell ref="V41:W41"/>
    <mergeCell ref="Y41:Z41"/>
    <mergeCell ref="P43:Q43"/>
    <mergeCell ref="S43:T43"/>
    <mergeCell ref="V43:W43"/>
    <mergeCell ref="Y43:Z43"/>
    <mergeCell ref="AB41:AC41"/>
    <mergeCell ref="J42:K42"/>
    <mergeCell ref="M42:N42"/>
    <mergeCell ref="P42:Q42"/>
    <mergeCell ref="S42:T42"/>
    <mergeCell ref="V42:W42"/>
    <mergeCell ref="AB43:AC43"/>
    <mergeCell ref="J44:K44"/>
    <mergeCell ref="M44:N44"/>
    <mergeCell ref="P44:Q44"/>
    <mergeCell ref="S44:T44"/>
    <mergeCell ref="V44:W44"/>
    <mergeCell ref="Y44:Z44"/>
    <mergeCell ref="AB44:AC44"/>
    <mergeCell ref="J43:K43"/>
    <mergeCell ref="M43:N43"/>
    <mergeCell ref="B45:H45"/>
    <mergeCell ref="J45:K45"/>
    <mergeCell ref="M45:N45"/>
    <mergeCell ref="P45:Q45"/>
    <mergeCell ref="S45:T45"/>
    <mergeCell ref="V45:W45"/>
    <mergeCell ref="Y45:Z45"/>
    <mergeCell ref="AB45:AC45"/>
    <mergeCell ref="J46:K46"/>
    <mergeCell ref="M46:N46"/>
    <mergeCell ref="P46:Q46"/>
    <mergeCell ref="S46:T46"/>
    <mergeCell ref="V46:W46"/>
    <mergeCell ref="Y46:Z46"/>
    <mergeCell ref="AB46:AC46"/>
    <mergeCell ref="Y48:Z48"/>
    <mergeCell ref="AB48:AC48"/>
    <mergeCell ref="J47:K47"/>
    <mergeCell ref="M47:N47"/>
    <mergeCell ref="P47:Q47"/>
    <mergeCell ref="S47:T47"/>
    <mergeCell ref="V47:W47"/>
    <mergeCell ref="Y47:Z47"/>
    <mergeCell ref="P49:Q49"/>
    <mergeCell ref="S49:T49"/>
    <mergeCell ref="V49:W49"/>
    <mergeCell ref="Y49:Z49"/>
    <mergeCell ref="AB47:AC47"/>
    <mergeCell ref="J48:K48"/>
    <mergeCell ref="M48:N48"/>
    <mergeCell ref="P48:Q48"/>
    <mergeCell ref="S48:T48"/>
    <mergeCell ref="V48:W48"/>
    <mergeCell ref="AB49:AC49"/>
    <mergeCell ref="J50:K50"/>
    <mergeCell ref="M50:N50"/>
    <mergeCell ref="P50:Q50"/>
    <mergeCell ref="S50:T50"/>
    <mergeCell ref="V50:W50"/>
    <mergeCell ref="Y50:Z50"/>
    <mergeCell ref="AB50:AC50"/>
    <mergeCell ref="J49:K49"/>
    <mergeCell ref="M49:N49"/>
    <mergeCell ref="B51:H51"/>
    <mergeCell ref="J51:K51"/>
    <mergeCell ref="M51:N51"/>
    <mergeCell ref="P51:Q51"/>
    <mergeCell ref="S51:T51"/>
    <mergeCell ref="V51:W51"/>
    <mergeCell ref="Y51:Z51"/>
    <mergeCell ref="AB51:AC51"/>
    <mergeCell ref="J52:K52"/>
    <mergeCell ref="M52:N52"/>
    <mergeCell ref="P52:Q52"/>
    <mergeCell ref="S52:T52"/>
    <mergeCell ref="V52:W52"/>
    <mergeCell ref="Y52:Z52"/>
    <mergeCell ref="AB52:AC52"/>
    <mergeCell ref="Y54:Z54"/>
    <mergeCell ref="AB54:AC54"/>
    <mergeCell ref="J53:K53"/>
    <mergeCell ref="M53:N53"/>
    <mergeCell ref="P53:Q53"/>
    <mergeCell ref="S53:T53"/>
    <mergeCell ref="V53:W53"/>
    <mergeCell ref="Y53:Z53"/>
    <mergeCell ref="P55:Q55"/>
    <mergeCell ref="S55:T55"/>
    <mergeCell ref="V55:W55"/>
    <mergeCell ref="Y55:Z55"/>
    <mergeCell ref="AB53:AC53"/>
    <mergeCell ref="J54:K54"/>
    <mergeCell ref="M54:N54"/>
    <mergeCell ref="P54:Q54"/>
    <mergeCell ref="S54:T54"/>
    <mergeCell ref="V54:W54"/>
    <mergeCell ref="AB55:AC55"/>
    <mergeCell ref="J56:K56"/>
    <mergeCell ref="M56:N56"/>
    <mergeCell ref="P56:Q56"/>
    <mergeCell ref="S56:T56"/>
    <mergeCell ref="V56:W56"/>
    <mergeCell ref="Y56:Z56"/>
    <mergeCell ref="AB56:AC56"/>
    <mergeCell ref="J55:K55"/>
    <mergeCell ref="M55:N55"/>
    <mergeCell ref="B57:H57"/>
    <mergeCell ref="J57:K57"/>
    <mergeCell ref="M57:N57"/>
    <mergeCell ref="P57:Q57"/>
    <mergeCell ref="S57:T57"/>
    <mergeCell ref="V57:W57"/>
    <mergeCell ref="Y57:Z57"/>
    <mergeCell ref="AB57:AC57"/>
    <mergeCell ref="A58:H58"/>
    <mergeCell ref="J58:K58"/>
    <mergeCell ref="M58:N58"/>
    <mergeCell ref="P58:Q58"/>
    <mergeCell ref="S58:T58"/>
    <mergeCell ref="V58:W58"/>
    <mergeCell ref="Y58:Z58"/>
    <mergeCell ref="AB58:AC58"/>
    <mergeCell ref="B59:H59"/>
    <mergeCell ref="J59:K59"/>
    <mergeCell ref="M59:N59"/>
    <mergeCell ref="P59:Q59"/>
    <mergeCell ref="S59:T59"/>
    <mergeCell ref="V59:W59"/>
    <mergeCell ref="Y59:Z59"/>
    <mergeCell ref="AB59:AC59"/>
    <mergeCell ref="J60:K60"/>
    <mergeCell ref="M60:N60"/>
    <mergeCell ref="P60:Q60"/>
    <mergeCell ref="S60:T60"/>
    <mergeCell ref="V60:W60"/>
    <mergeCell ref="Y60:Z60"/>
    <mergeCell ref="AB60:AC60"/>
    <mergeCell ref="B61:H61"/>
    <mergeCell ref="J61:K61"/>
    <mergeCell ref="M61:N61"/>
    <mergeCell ref="P61:Q61"/>
    <mergeCell ref="S61:T61"/>
    <mergeCell ref="V61:W61"/>
    <mergeCell ref="Y61:Z61"/>
    <mergeCell ref="AB61:AC61"/>
    <mergeCell ref="A62:H62"/>
    <mergeCell ref="J62:K62"/>
    <mergeCell ref="M62:N62"/>
    <mergeCell ref="P62:Q62"/>
    <mergeCell ref="S62:T62"/>
    <mergeCell ref="V62:W62"/>
    <mergeCell ref="Y62:Z62"/>
    <mergeCell ref="AB62:AC62"/>
    <mergeCell ref="A63:H63"/>
    <mergeCell ref="J63:K63"/>
    <mergeCell ref="M63:N63"/>
    <mergeCell ref="P63:Q63"/>
    <mergeCell ref="S63:T63"/>
    <mergeCell ref="V63:W63"/>
    <mergeCell ref="Y63:Z63"/>
    <mergeCell ref="AB63:AC63"/>
    <mergeCell ref="A64:H64"/>
    <mergeCell ref="J64:K64"/>
    <mergeCell ref="M64:N64"/>
    <mergeCell ref="P64:Q64"/>
    <mergeCell ref="S64:T64"/>
    <mergeCell ref="V64:W64"/>
    <mergeCell ref="Y64:Z64"/>
    <mergeCell ref="AB64:AC64"/>
    <mergeCell ref="A65:H65"/>
    <mergeCell ref="J65:K65"/>
    <mergeCell ref="M65:N65"/>
    <mergeCell ref="P65:Q65"/>
    <mergeCell ref="S65:T65"/>
    <mergeCell ref="V65:W65"/>
    <mergeCell ref="Y65:Z65"/>
    <mergeCell ref="AB65:AC65"/>
    <mergeCell ref="A66:H66"/>
    <mergeCell ref="J66:K66"/>
    <mergeCell ref="M66:N66"/>
    <mergeCell ref="P66:Q66"/>
    <mergeCell ref="S66:T66"/>
    <mergeCell ref="V66:W66"/>
    <mergeCell ref="Y66:Z66"/>
    <mergeCell ref="AB66:AC66"/>
    <mergeCell ref="AB70:AC70"/>
    <mergeCell ref="AB67:AC67"/>
    <mergeCell ref="J68:W68"/>
    <mergeCell ref="Y68:Z68"/>
    <mergeCell ref="AB68:AC68"/>
    <mergeCell ref="J69:K69"/>
    <mergeCell ref="M69:N69"/>
    <mergeCell ref="P69:Q69"/>
    <mergeCell ref="S69:T69"/>
    <mergeCell ref="V69:W69"/>
    <mergeCell ref="Y69:Z69"/>
    <mergeCell ref="J67:K67"/>
    <mergeCell ref="M67:N67"/>
    <mergeCell ref="P67:Q67"/>
    <mergeCell ref="S67:T67"/>
    <mergeCell ref="V67:W67"/>
    <mergeCell ref="Y67:Z67"/>
    <mergeCell ref="Y70:Z70"/>
    <mergeCell ref="AB69:AC69"/>
    <mergeCell ref="J70:K70"/>
    <mergeCell ref="M70:N70"/>
    <mergeCell ref="P70:Q70"/>
    <mergeCell ref="S70:T70"/>
    <mergeCell ref="V70:W70"/>
    <mergeCell ref="J72:K72"/>
    <mergeCell ref="M72:N72"/>
    <mergeCell ref="P72:Q72"/>
    <mergeCell ref="S72:T72"/>
    <mergeCell ref="V72:W72"/>
    <mergeCell ref="Y72:Z72"/>
    <mergeCell ref="AB72:AC72"/>
    <mergeCell ref="J71:K71"/>
    <mergeCell ref="M71:N71"/>
    <mergeCell ref="P71:Q71"/>
    <mergeCell ref="S71:T71"/>
    <mergeCell ref="V71:W71"/>
    <mergeCell ref="Y71:Z71"/>
    <mergeCell ref="AB71:AC71"/>
    <mergeCell ref="B73:H73"/>
    <mergeCell ref="J73:K73"/>
    <mergeCell ref="M73:N73"/>
    <mergeCell ref="P73:Q73"/>
    <mergeCell ref="S73:T73"/>
    <mergeCell ref="V73:W73"/>
    <mergeCell ref="Y73:Z73"/>
    <mergeCell ref="AB73:AC73"/>
    <mergeCell ref="Y74:Z74"/>
    <mergeCell ref="AB74:AC74"/>
    <mergeCell ref="Y75:Z75"/>
    <mergeCell ref="AB75:AC75"/>
    <mergeCell ref="Y76:Z76"/>
    <mergeCell ref="AB76:AC76"/>
    <mergeCell ref="Y77:Z77"/>
    <mergeCell ref="AB77:AC77"/>
    <mergeCell ref="Y78:Z78"/>
    <mergeCell ref="AB78:AC78"/>
    <mergeCell ref="Y79:Z79"/>
    <mergeCell ref="AB79:AC79"/>
    <mergeCell ref="AB81:AC81"/>
    <mergeCell ref="J82:K82"/>
    <mergeCell ref="M82:N82"/>
    <mergeCell ref="P82:Q82"/>
    <mergeCell ref="S82:T82"/>
    <mergeCell ref="V82:W82"/>
    <mergeCell ref="AB83:AC83"/>
    <mergeCell ref="B80:H80"/>
    <mergeCell ref="J80:K80"/>
    <mergeCell ref="M80:N80"/>
    <mergeCell ref="P80:Q80"/>
    <mergeCell ref="S80:T80"/>
    <mergeCell ref="V80:W80"/>
    <mergeCell ref="Y80:Z80"/>
    <mergeCell ref="AB80:AC80"/>
    <mergeCell ref="Y82:Z82"/>
    <mergeCell ref="AB82:AC82"/>
    <mergeCell ref="J81:K81"/>
    <mergeCell ref="M81:N81"/>
    <mergeCell ref="P81:Q81"/>
    <mergeCell ref="S81:T81"/>
    <mergeCell ref="V81:W81"/>
    <mergeCell ref="Y81:Z81"/>
    <mergeCell ref="J84:K84"/>
    <mergeCell ref="M84:N84"/>
    <mergeCell ref="P84:Q84"/>
    <mergeCell ref="S84:T84"/>
    <mergeCell ref="V84:W84"/>
    <mergeCell ref="Y84:Z84"/>
    <mergeCell ref="AB84:AC84"/>
    <mergeCell ref="J83:K83"/>
    <mergeCell ref="M83:N83"/>
    <mergeCell ref="P83:Q83"/>
    <mergeCell ref="S83:T83"/>
    <mergeCell ref="V83:W83"/>
    <mergeCell ref="Y83:Z83"/>
    <mergeCell ref="Y86:Z86"/>
    <mergeCell ref="AB86:AC86"/>
    <mergeCell ref="J85:K85"/>
    <mergeCell ref="M85:N85"/>
    <mergeCell ref="P85:Q85"/>
    <mergeCell ref="S85:T85"/>
    <mergeCell ref="V85:W85"/>
    <mergeCell ref="Y85:Z85"/>
    <mergeCell ref="P87:Q87"/>
    <mergeCell ref="S87:T87"/>
    <mergeCell ref="V87:W87"/>
    <mergeCell ref="Y87:Z87"/>
    <mergeCell ref="AB85:AC85"/>
    <mergeCell ref="J86:K86"/>
    <mergeCell ref="M86:N86"/>
    <mergeCell ref="P86:Q86"/>
    <mergeCell ref="S86:T86"/>
    <mergeCell ref="V86:W86"/>
    <mergeCell ref="AB87:AC87"/>
    <mergeCell ref="J88:K88"/>
    <mergeCell ref="M88:N88"/>
    <mergeCell ref="P88:Q88"/>
    <mergeCell ref="S88:T88"/>
    <mergeCell ref="V88:W88"/>
    <mergeCell ref="Y88:Z88"/>
    <mergeCell ref="AB88:AC88"/>
    <mergeCell ref="J87:K87"/>
    <mergeCell ref="M87:N87"/>
    <mergeCell ref="B89:H89"/>
    <mergeCell ref="J89:K89"/>
    <mergeCell ref="M89:N89"/>
    <mergeCell ref="P89:Q89"/>
    <mergeCell ref="S89:T89"/>
    <mergeCell ref="V89:W89"/>
    <mergeCell ref="Y89:Z89"/>
    <mergeCell ref="AB89:AC89"/>
    <mergeCell ref="A90:H90"/>
    <mergeCell ref="J90:K90"/>
    <mergeCell ref="M90:N90"/>
    <mergeCell ref="P90:Q90"/>
    <mergeCell ref="S90:T90"/>
    <mergeCell ref="V90:W90"/>
    <mergeCell ref="Y90:Z90"/>
    <mergeCell ref="AB90:AC90"/>
    <mergeCell ref="A91:H91"/>
    <mergeCell ref="J91:K91"/>
    <mergeCell ref="M91:N91"/>
    <mergeCell ref="P91:Q91"/>
    <mergeCell ref="S91:T91"/>
    <mergeCell ref="V91:W91"/>
    <mergeCell ref="Y91:Z91"/>
    <mergeCell ref="AB91:AC91"/>
    <mergeCell ref="A92:H92"/>
    <mergeCell ref="J92:K92"/>
    <mergeCell ref="M92:N92"/>
    <mergeCell ref="P92:Q92"/>
    <mergeCell ref="S92:T92"/>
    <mergeCell ref="V92:W92"/>
    <mergeCell ref="Y92:Z92"/>
    <mergeCell ref="AB92:AC92"/>
    <mergeCell ref="B93:H93"/>
    <mergeCell ref="J93:K93"/>
    <mergeCell ref="M93:N93"/>
    <mergeCell ref="P93:Q93"/>
    <mergeCell ref="S93:T93"/>
    <mergeCell ref="V93:W93"/>
    <mergeCell ref="Y93:Z93"/>
    <mergeCell ref="AB93:AC93"/>
    <mergeCell ref="Y94:Z94"/>
    <mergeCell ref="AB94:AC94"/>
    <mergeCell ref="B95:H95"/>
    <mergeCell ref="J95:K95"/>
    <mergeCell ref="M95:N95"/>
    <mergeCell ref="P95:Q95"/>
    <mergeCell ref="S95:T95"/>
    <mergeCell ref="V95:W95"/>
    <mergeCell ref="Y95:Z95"/>
    <mergeCell ref="AB95:AC95"/>
    <mergeCell ref="J96:K96"/>
    <mergeCell ref="M96:N96"/>
    <mergeCell ref="P96:Q96"/>
    <mergeCell ref="S96:T96"/>
    <mergeCell ref="V96:W96"/>
    <mergeCell ref="Y96:Z96"/>
    <mergeCell ref="AB96:AC96"/>
    <mergeCell ref="B97:H97"/>
    <mergeCell ref="J97:K97"/>
    <mergeCell ref="M97:N97"/>
    <mergeCell ref="P97:Q97"/>
    <mergeCell ref="S97:T97"/>
    <mergeCell ref="V97:W97"/>
    <mergeCell ref="Y97:Z97"/>
    <mergeCell ref="AB97:AC97"/>
    <mergeCell ref="B98:H98"/>
    <mergeCell ref="J98:K98"/>
    <mergeCell ref="M98:N98"/>
    <mergeCell ref="P98:Q98"/>
    <mergeCell ref="S98:T98"/>
    <mergeCell ref="V98:W98"/>
    <mergeCell ref="Y98:Z98"/>
    <mergeCell ref="AB98:AC98"/>
    <mergeCell ref="B99:H99"/>
    <mergeCell ref="J99:K99"/>
    <mergeCell ref="M99:N99"/>
    <mergeCell ref="P99:Q99"/>
    <mergeCell ref="S99:T99"/>
    <mergeCell ref="V99:W99"/>
    <mergeCell ref="Y99:Z99"/>
    <mergeCell ref="AB99:AC99"/>
    <mergeCell ref="A100:H100"/>
    <mergeCell ref="J100:K100"/>
    <mergeCell ref="M100:N100"/>
    <mergeCell ref="P100:Q100"/>
    <mergeCell ref="S100:T100"/>
    <mergeCell ref="V100:W100"/>
    <mergeCell ref="Y100:Z100"/>
    <mergeCell ref="AB100:AC100"/>
    <mergeCell ref="B101:H101"/>
    <mergeCell ref="J101:K101"/>
    <mergeCell ref="M101:N101"/>
    <mergeCell ref="P101:Q101"/>
    <mergeCell ref="S101:T101"/>
    <mergeCell ref="V101:W101"/>
    <mergeCell ref="Y101:Z101"/>
    <mergeCell ref="AB101:AC101"/>
    <mergeCell ref="B102:H102"/>
    <mergeCell ref="J102:K102"/>
    <mergeCell ref="M102:N102"/>
    <mergeCell ref="P102:Q102"/>
    <mergeCell ref="S102:T102"/>
    <mergeCell ref="V102:W102"/>
    <mergeCell ref="Y102:Z102"/>
    <mergeCell ref="AB102:AC102"/>
    <mergeCell ref="A103:H103"/>
    <mergeCell ref="J103:K103"/>
    <mergeCell ref="M103:N103"/>
    <mergeCell ref="P103:Q103"/>
    <mergeCell ref="S103:T103"/>
    <mergeCell ref="V103:W103"/>
    <mergeCell ref="Y103:Z103"/>
    <mergeCell ref="AB103:AC103"/>
    <mergeCell ref="B104:H104"/>
    <mergeCell ref="J104:K104"/>
    <mergeCell ref="M104:N104"/>
    <mergeCell ref="P104:Q104"/>
    <mergeCell ref="S104:T104"/>
    <mergeCell ref="V104:W104"/>
    <mergeCell ref="Y104:Z104"/>
    <mergeCell ref="AB104:AC104"/>
    <mergeCell ref="AB106:AC106"/>
    <mergeCell ref="A105:H105"/>
    <mergeCell ref="J105:K105"/>
    <mergeCell ref="M105:N105"/>
    <mergeCell ref="P105:Q105"/>
    <mergeCell ref="S105:T105"/>
    <mergeCell ref="V105:W105"/>
    <mergeCell ref="V107:W107"/>
    <mergeCell ref="Y105:Z105"/>
    <mergeCell ref="AB105:AC105"/>
    <mergeCell ref="B106:H106"/>
    <mergeCell ref="J106:K106"/>
    <mergeCell ref="M106:N106"/>
    <mergeCell ref="P106:Q106"/>
    <mergeCell ref="S106:T106"/>
    <mergeCell ref="V106:W106"/>
    <mergeCell ref="Y106:Z106"/>
    <mergeCell ref="AB107:AC107"/>
    <mergeCell ref="AB110:AC110"/>
    <mergeCell ref="A109:H109"/>
    <mergeCell ref="J109:K109"/>
    <mergeCell ref="M109:N109"/>
    <mergeCell ref="P109:Q109"/>
    <mergeCell ref="S109:T109"/>
    <mergeCell ref="V109:W109"/>
    <mergeCell ref="Y107:Z107"/>
    <mergeCell ref="J107:K107"/>
    <mergeCell ref="M107:N107"/>
    <mergeCell ref="P107:Q107"/>
    <mergeCell ref="S107:T107"/>
    <mergeCell ref="B108:H108"/>
    <mergeCell ref="J108:K108"/>
    <mergeCell ref="M108:N108"/>
    <mergeCell ref="P108:Q108"/>
    <mergeCell ref="S108:T108"/>
    <mergeCell ref="V108:W108"/>
    <mergeCell ref="Y108:Z108"/>
    <mergeCell ref="AB108:AC108"/>
    <mergeCell ref="B107:H107"/>
    <mergeCell ref="M111:N111"/>
    <mergeCell ref="P111:Q111"/>
    <mergeCell ref="S111:T111"/>
    <mergeCell ref="V111:W111"/>
    <mergeCell ref="Y111:Z111"/>
    <mergeCell ref="Y109:Z109"/>
    <mergeCell ref="AB111:AC111"/>
    <mergeCell ref="B112:H112"/>
    <mergeCell ref="J112:K112"/>
    <mergeCell ref="M112:N112"/>
    <mergeCell ref="P112:Q112"/>
    <mergeCell ref="S112:T112"/>
    <mergeCell ref="V112:W112"/>
    <mergeCell ref="Y112:Z112"/>
    <mergeCell ref="AB112:AC112"/>
    <mergeCell ref="J111:K111"/>
    <mergeCell ref="AB109:AC109"/>
    <mergeCell ref="B110:H110"/>
    <mergeCell ref="J110:K110"/>
    <mergeCell ref="M110:N110"/>
    <mergeCell ref="P110:Q110"/>
    <mergeCell ref="S110:T110"/>
    <mergeCell ref="V110:W110"/>
    <mergeCell ref="Y110:Z110"/>
    <mergeCell ref="AB113:AC113"/>
    <mergeCell ref="A115:A117"/>
    <mergeCell ref="B115:E117"/>
    <mergeCell ref="G115:AC115"/>
    <mergeCell ref="G116:H116"/>
    <mergeCell ref="J116:K116"/>
    <mergeCell ref="M116:N116"/>
    <mergeCell ref="P116:Q116"/>
    <mergeCell ref="S116:T116"/>
    <mergeCell ref="V116:W116"/>
    <mergeCell ref="Y116:Z116"/>
    <mergeCell ref="AB116:AC116"/>
    <mergeCell ref="V128:Y128"/>
    <mergeCell ref="B129:D129"/>
    <mergeCell ref="V129:Y129"/>
    <mergeCell ref="A113:H113"/>
    <mergeCell ref="J113:K113"/>
    <mergeCell ref="M113:N113"/>
    <mergeCell ref="P113:Q113"/>
    <mergeCell ref="S113:T113"/>
    <mergeCell ref="V113:W113"/>
    <mergeCell ref="Y113:Z113"/>
  </mergeCells>
  <pageMargins left="0.25" right="0.25" top="0.75" bottom="0.75" header="0.3" footer="0.3"/>
  <pageSetup paperSize="9" scale="43" orientation="portrait" r:id="rId1"/>
  <rowBreaks count="1" manualBreakCount="1">
    <brk id="79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TBC</vt:lpstr>
      <vt:lpstr>Operacional</vt:lpstr>
      <vt:lpstr>TBC!Área_de_impresión</vt:lpstr>
    </vt:vector>
  </TitlesOfParts>
  <Company>Ministerio de Salud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OTI-RSVM</cp:lastModifiedBy>
  <cp:lastPrinted>2014-07-15T04:14:23Z</cp:lastPrinted>
  <dcterms:created xsi:type="dcterms:W3CDTF">2001-04-04T16:07:59Z</dcterms:created>
  <dcterms:modified xsi:type="dcterms:W3CDTF">2024-09-04T20:11:30Z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fda84e2a-f12a-494c-9d06-53cdec81ced0</vt:lpwstr>
  </property>
</Properties>
</file>