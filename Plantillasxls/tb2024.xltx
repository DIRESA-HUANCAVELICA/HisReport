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. Edgar\SINTAXIS HISMINSA\"/>
    </mc:Choice>
  </mc:AlternateContent>
  <xr:revisionPtr revIDLastSave="0" documentId="13_ncr:1_{20396572-D67F-4C0B-8393-097E8395768F}" xr6:coauthVersionLast="47" xr6:coauthVersionMax="47" xr10:uidLastSave="{00000000-0000-0000-0000-000000000000}"/>
  <bookViews>
    <workbookView xWindow="-120" yWindow="-120" windowWidth="25440" windowHeight="15270" xr2:uid="{64BE2BD4-33A6-4BF2-99FD-18069DE54C1B}"/>
  </bookViews>
  <sheets>
    <sheet name="SINTAXI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7" i="1" l="1"/>
  <c r="F56" i="1"/>
  <c r="C62" i="1"/>
  <c r="I13" i="1"/>
  <c r="D18" i="1"/>
  <c r="H19" i="1"/>
  <c r="I19" i="1"/>
  <c r="G28" i="1"/>
  <c r="G29" i="1"/>
  <c r="G30" i="1"/>
  <c r="G31" i="1"/>
  <c r="C61" i="1" s="1"/>
  <c r="G32" i="1"/>
  <c r="C43" i="1"/>
  <c r="H44" i="1"/>
  <c r="F49" i="1"/>
  <c r="F53" i="1"/>
  <c r="F55" i="1"/>
  <c r="M69" i="1"/>
  <c r="G40" i="1" s="1"/>
  <c r="M70" i="1"/>
  <c r="G41" i="1" s="1"/>
  <c r="M71" i="1"/>
  <c r="G42" i="1" s="1"/>
  <c r="M72" i="1"/>
  <c r="G43" i="1" s="1"/>
  <c r="D73" i="1"/>
  <c r="M73" i="1" s="1"/>
  <c r="D74" i="1"/>
  <c r="M74" i="1" s="1"/>
  <c r="M75" i="1"/>
  <c r="L42" i="1" s="1"/>
  <c r="L43" i="1" s="1"/>
  <c r="M76" i="1"/>
  <c r="E12" i="1" s="1"/>
  <c r="M78" i="1"/>
  <c r="M79" i="1"/>
  <c r="C12" i="1" s="1"/>
  <c r="M80" i="1"/>
  <c r="D12" i="1" s="1"/>
  <c r="C63" i="1" l="1"/>
  <c r="B12" i="1"/>
</calcChain>
</file>

<file path=xl/sharedStrings.xml><?xml version="1.0" encoding="utf-8"?>
<sst xmlns="http://schemas.openxmlformats.org/spreadsheetml/2006/main" count="156" uniqueCount="120">
  <si>
    <t>SR examinados con bacteriología confirmada</t>
  </si>
  <si>
    <t>Sintomático respiratorio examinado</t>
  </si>
  <si>
    <t>Caso probable</t>
  </si>
  <si>
    <t>Administración de terapia preventiva para población vulnerable para TB</t>
  </si>
  <si>
    <t>Administración de terapia preventiva para contactos de TB resistente</t>
  </si>
  <si>
    <t>Administración de terapia preventiva para contactos de TB sensible</t>
  </si>
  <si>
    <t>Lectura de IGRA</t>
  </si>
  <si>
    <t>Aplicación de IGRA</t>
  </si>
  <si>
    <t>Lectura de PPD</t>
  </si>
  <si>
    <t>Aplicación de PPD</t>
  </si>
  <si>
    <t>OTRAS CONDICIONES DE SALUD SEGÚN NORMATIVIDAD VIGENTE</t>
  </si>
  <si>
    <t>PERSONAL PENITENCIARIO</t>
  </si>
  <si>
    <t>PERSONA CON HEMODIALISIS Y/O ENFERMEDAD RENAL CRÓNICA</t>
  </si>
  <si>
    <t>PERSONA CON TERAPIA PROLONGADA CON CORTICOIDES</t>
  </si>
  <si>
    <t>PPL</t>
  </si>
  <si>
    <t>PERSONA CON DIABETES MELLITUS</t>
  </si>
  <si>
    <t>TRABAJADOR DE SALUD</t>
  </si>
  <si>
    <t>PERSONA VIVIENDO CON VIH/SIDA</t>
  </si>
  <si>
    <t>CONTACTOS</t>
  </si>
  <si>
    <t>POBLACIÓN EN GENERAL</t>
  </si>
  <si>
    <t>TOTAL</t>
  </si>
  <si>
    <t>POBLACION AFECTADA Y VULNERABLE</t>
  </si>
  <si>
    <t>ACTIVIDADES</t>
  </si>
  <si>
    <t>REPORTE DE ACTIVIDADES SEGMENTADO POR POBLACION AFECTADA Y VULNERABLE</t>
  </si>
  <si>
    <t>Total</t>
  </si>
  <si>
    <t>Teleorientación síncrona</t>
  </si>
  <si>
    <t>Teleconsulta en línea</t>
  </si>
  <si>
    <t>N°</t>
  </si>
  <si>
    <t>V. ACTIVIDADES EN TELESALUD</t>
  </si>
  <si>
    <t>Otras consejerias</t>
  </si>
  <si>
    <t>Visitas familiar</t>
  </si>
  <si>
    <t>Segunda</t>
  </si>
  <si>
    <t>Primera</t>
  </si>
  <si>
    <t>Sesión educativa y demostrativa para TB</t>
  </si>
  <si>
    <t>Mediante teleorientación síncrona</t>
  </si>
  <si>
    <t>Mediante visita familiar</t>
  </si>
  <si>
    <t>Consejeria para TB</t>
  </si>
  <si>
    <t>MODALIDAD</t>
  </si>
  <si>
    <t>IV. ACTIVIDADES DE PROMOCIÓN DE LA SALUD EN TUBERCULOSIS</t>
  </si>
  <si>
    <t>*Mediante visita familiar</t>
  </si>
  <si>
    <t>Lectura</t>
  </si>
  <si>
    <t>Aplicación</t>
  </si>
  <si>
    <t>IGRA</t>
  </si>
  <si>
    <t>En el domicilio*</t>
  </si>
  <si>
    <t>PPD</t>
  </si>
  <si>
    <t>En el establecimiento de salud</t>
  </si>
  <si>
    <t>TERAPIA PREVENTIVA PARA TUBERCULOSIS LATENTE</t>
  </si>
  <si>
    <t>POSITIVOS</t>
  </si>
  <si>
    <t>PRUEBA PARA DIAGNOSTICO DE TB LATENTE</t>
  </si>
  <si>
    <t>CENSO DE CONTACTOS</t>
  </si>
  <si>
    <t>III. ACTIVIDADES DE PREVENCIÓN EN TUBERCULOSIS</t>
  </si>
  <si>
    <t>Término</t>
  </si>
  <si>
    <t>REGISTRO EN EL PADRON DE BENEFICIARIOS PANTBC</t>
  </si>
  <si>
    <t>Inicio</t>
  </si>
  <si>
    <t>Condición</t>
  </si>
  <si>
    <t>Atención en salud mental</t>
  </si>
  <si>
    <t>RETO ANTE REACCIONES ADVERSAS</t>
  </si>
  <si>
    <t>Atención en nutrición</t>
  </si>
  <si>
    <t>Mediante teleconsulta en línea</t>
  </si>
  <si>
    <t>Control de tratamiento</t>
  </si>
  <si>
    <t>Atención de servicio social</t>
  </si>
  <si>
    <t>Administración de tratamiento para TB resistente</t>
  </si>
  <si>
    <t>Atención en consultorio de enfermería</t>
  </si>
  <si>
    <t>Administración de tratamiento para TB sensible</t>
  </si>
  <si>
    <t>Evaluación médica</t>
  </si>
  <si>
    <t>TRATAMIENTO PARA LA PERSONA AFECTADA POR TUBERCULOSIS (PAT)</t>
  </si>
  <si>
    <t>EN PAT CON TB RESISTENTE</t>
  </si>
  <si>
    <t>EN PAT CON TB SENSIBLE</t>
  </si>
  <si>
    <t>ATENCIÓN MULTIDISCIPLINARIA</t>
  </si>
  <si>
    <t>II. ACTIVIDADES PARA LA RECUPERACION DE LA PERSONA AFECTADA POR TUBERCULOSIS</t>
  </si>
  <si>
    <t>Tamizaje TB-DM</t>
  </si>
  <si>
    <t>Reacción adversa a medicamentos para TB</t>
  </si>
  <si>
    <t>Tamizaje TB-VIH</t>
  </si>
  <si>
    <t>TB-DM</t>
  </si>
  <si>
    <t>TAMIZAJE DE COMORBILIDADES</t>
  </si>
  <si>
    <t>TB-VIH/SIDA</t>
  </si>
  <si>
    <t>COMORBILIDADES Y CONDICIONES ASOCIADAS</t>
  </si>
  <si>
    <t>Aceptadas</t>
  </si>
  <si>
    <t>Realizadas</t>
  </si>
  <si>
    <t>Por cultivo</t>
  </si>
  <si>
    <t>Transferencias</t>
  </si>
  <si>
    <t>Derivaciones</t>
  </si>
  <si>
    <t>Por prueba molecular</t>
  </si>
  <si>
    <t>REFERENCIAS</t>
  </si>
  <si>
    <t>Por baciloscopia</t>
  </si>
  <si>
    <t>*Muestra recolectada por expectoración espontánea</t>
  </si>
  <si>
    <t>Inducción del esputo</t>
  </si>
  <si>
    <t>Lavado gástrico</t>
  </si>
  <si>
    <t>PROCEDIMIENTOS ESPECIALES PARA OBTENCION DE MUESTRAS</t>
  </si>
  <si>
    <t>SR Examinado</t>
  </si>
  <si>
    <t>SR Identificado</t>
  </si>
  <si>
    <t>RECOLECCIÓN DE MUESTRAS PARA TB*</t>
  </si>
  <si>
    <t>Caso probable de TB</t>
  </si>
  <si>
    <t>Sintomático respiratorio (SR)</t>
  </si>
  <si>
    <t>RECOLECCIÓN DE MUESTRAS PARA EXAMEN BACTERIOLÓGICO</t>
  </si>
  <si>
    <t>DETECCIÓN DE CASOS</t>
  </si>
  <si>
    <t>I. ACTIVIDADES DE DETECCION Y DIAGNOSTICO PARA TUBERCULOSIS</t>
  </si>
  <si>
    <t>REPORTE MENSUAL DE ACTIVIDADES DE PREVENCION Y CONTROL DE TUBERCULOSIS</t>
  </si>
  <si>
    <t>Sintomático respiratorio identificado (otros servicios)</t>
  </si>
  <si>
    <t>Sintomático respiratorio identificado (ES PCTB)</t>
  </si>
  <si>
    <t>A)</t>
  </si>
  <si>
    <t>B)</t>
  </si>
  <si>
    <t>C)</t>
  </si>
  <si>
    <t>D)</t>
  </si>
  <si>
    <t>E)</t>
  </si>
  <si>
    <t>F)</t>
  </si>
  <si>
    <t>G)</t>
  </si>
  <si>
    <t>H)</t>
  </si>
  <si>
    <t>DIRECCION DE ESTADISTICA E INFORMATICA</t>
  </si>
  <si>
    <t>NIVEL:</t>
  </si>
  <si>
    <t>DESDE:</t>
  </si>
  <si>
    <t>FECHA DE IMPRESION:</t>
  </si>
  <si>
    <t>I)</t>
  </si>
  <si>
    <t>J)</t>
  </si>
  <si>
    <t>K)</t>
  </si>
  <si>
    <t>M)</t>
  </si>
  <si>
    <t>N)</t>
  </si>
  <si>
    <t>O)</t>
  </si>
  <si>
    <t>P)</t>
  </si>
  <si>
    <t>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</si>
</sst>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Tahoma"/>
      <family val="2"/>
    </font>
    <font>
      <b/>
      <sz val="11"/>
      <name val="Tahoma"/>
      <family val="2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color rgb="FFFF0000"/>
      <name val="Tahoma"/>
      <family val="2"/>
    </font>
    <font>
      <b/>
      <sz val="10"/>
      <color theme="0"/>
      <name val="Tahoma"/>
      <family val="2"/>
    </font>
    <font>
      <sz val="10"/>
      <color rgb="FFFF0000"/>
      <name val="Tahoma"/>
      <family val="2"/>
    </font>
    <font>
      <b/>
      <sz val="12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E1F2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/>
      <bottom/>
      <diagonal/>
    </border>
    <border>
      <left/>
      <right/>
      <top style="thin">
        <color rgb="FF0070C0"/>
      </top>
      <bottom/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rgb="FF0070C0"/>
      </left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rgb="FF0070C0"/>
      </right>
      <top style="thin">
        <color theme="3"/>
      </top>
      <bottom style="thin">
        <color rgb="FF0070C0"/>
      </bottom>
      <diagonal/>
    </border>
    <border>
      <left style="thin">
        <color rgb="FF0070C0"/>
      </left>
      <right/>
      <top style="thin">
        <color theme="3"/>
      </top>
      <bottom style="thin">
        <color rgb="FF0070C0"/>
      </bottom>
      <diagonal/>
    </border>
    <border>
      <left/>
      <right style="thin">
        <color theme="3"/>
      </right>
      <top style="thin">
        <color theme="3"/>
      </top>
      <bottom style="thin">
        <color rgb="FF0070C0"/>
      </bottom>
      <diagonal/>
    </border>
    <border>
      <left/>
      <right/>
      <top style="thin">
        <color theme="3"/>
      </top>
      <bottom style="thin">
        <color rgb="FF0070C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2" fillId="0" borderId="0"/>
  </cellStyleXfs>
  <cellXfs count="110">
    <xf numFmtId="0" fontId="0" fillId="0" borderId="0" xfId="0"/>
    <xf numFmtId="0" fontId="3" fillId="7" borderId="0" xfId="0" applyFont="1" applyFill="1" applyAlignment="1">
      <alignment vertical="center"/>
    </xf>
    <xf numFmtId="0" fontId="4" fillId="5" borderId="0" xfId="0" applyFont="1" applyFill="1" applyAlignment="1">
      <alignment horizontal="left" vertical="center"/>
    </xf>
    <xf numFmtId="0" fontId="5" fillId="0" borderId="0" xfId="0" applyFont="1"/>
    <xf numFmtId="0" fontId="3" fillId="5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 wrapText="1"/>
    </xf>
    <xf numFmtId="0" fontId="6" fillId="5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8" fillId="4" borderId="22" xfId="3" applyFont="1" applyFill="1" applyBorder="1" applyAlignment="1">
      <alignment horizontal="center" vertical="center"/>
    </xf>
    <xf numFmtId="0" fontId="8" fillId="4" borderId="24" xfId="3" applyFont="1" applyFill="1" applyBorder="1" applyAlignment="1">
      <alignment horizontal="center" vertical="center"/>
    </xf>
    <xf numFmtId="0" fontId="8" fillId="4" borderId="23" xfId="3" applyFont="1" applyFill="1" applyBorder="1" applyAlignment="1">
      <alignment horizontal="center" vertical="center"/>
    </xf>
    <xf numFmtId="0" fontId="8" fillId="4" borderId="18" xfId="3" applyFont="1" applyFill="1" applyBorder="1" applyAlignment="1">
      <alignment horizontal="center" vertical="center" wrapText="1"/>
    </xf>
    <xf numFmtId="0" fontId="8" fillId="4" borderId="17" xfId="3" applyFont="1" applyFill="1" applyBorder="1" applyAlignment="1">
      <alignment horizontal="center" vertical="center" wrapText="1"/>
    </xf>
    <xf numFmtId="0" fontId="8" fillId="4" borderId="5" xfId="3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/>
    </xf>
    <xf numFmtId="0" fontId="3" fillId="2" borderId="8" xfId="2" applyFont="1" applyFill="1" applyBorder="1" applyAlignment="1">
      <alignment horizontal="center" vertical="center"/>
    </xf>
    <xf numFmtId="0" fontId="3" fillId="2" borderId="7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left" vertical="center" wrapText="1"/>
    </xf>
    <xf numFmtId="164" fontId="6" fillId="6" borderId="1" xfId="1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164" fontId="9" fillId="0" borderId="1" xfId="1" applyNumberFormat="1" applyFont="1" applyBorder="1" applyAlignment="1" applyProtection="1">
      <alignment horizontal="center" vertical="center" wrapText="1"/>
    </xf>
    <xf numFmtId="164" fontId="9" fillId="6" borderId="1" xfId="1" applyNumberFormat="1" applyFont="1" applyFill="1" applyBorder="1" applyAlignment="1">
      <alignment horizontal="center" vertical="center" wrapText="1"/>
    </xf>
    <xf numFmtId="164" fontId="9" fillId="0" borderId="0" xfId="1" applyNumberFormat="1" applyFont="1" applyBorder="1" applyAlignment="1" applyProtection="1">
      <alignment horizontal="center" vertical="center" wrapText="1"/>
    </xf>
    <xf numFmtId="164" fontId="9" fillId="0" borderId="0" xfId="1" applyNumberFormat="1" applyFont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164" fontId="9" fillId="0" borderId="1" xfId="1" applyNumberFormat="1" applyFont="1" applyBorder="1" applyAlignment="1">
      <alignment horizontal="center" vertical="center" wrapText="1"/>
    </xf>
    <xf numFmtId="0" fontId="8" fillId="4" borderId="20" xfId="3" applyFont="1" applyFill="1" applyBorder="1" applyAlignment="1">
      <alignment horizontal="center" vertical="center" wrapText="1"/>
    </xf>
    <xf numFmtId="164" fontId="6" fillId="0" borderId="16" xfId="1" applyNumberFormat="1" applyFont="1" applyBorder="1" applyAlignment="1">
      <alignment vertical="top"/>
    </xf>
    <xf numFmtId="0" fontId="3" fillId="2" borderId="22" xfId="2" applyFont="1" applyFill="1" applyBorder="1" applyAlignment="1">
      <alignment horizontal="left" vertical="center" wrapText="1"/>
    </xf>
    <xf numFmtId="0" fontId="3" fillId="2" borderId="21" xfId="2" applyFont="1" applyFill="1" applyBorder="1" applyAlignment="1">
      <alignment horizontal="left" vertical="center" wrapText="1"/>
    </xf>
    <xf numFmtId="0" fontId="9" fillId="0" borderId="0" xfId="0" applyFont="1"/>
    <xf numFmtId="0" fontId="3" fillId="2" borderId="2" xfId="2" applyFont="1" applyFill="1" applyBorder="1" applyAlignment="1">
      <alignment horizontal="left" vertical="center" wrapText="1"/>
    </xf>
    <xf numFmtId="0" fontId="3" fillId="2" borderId="7" xfId="2" applyFont="1" applyFill="1" applyBorder="1" applyAlignment="1">
      <alignment horizontal="left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7" xfId="2" applyFont="1" applyFill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/>
    </xf>
    <xf numFmtId="0" fontId="8" fillId="4" borderId="6" xfId="3" applyFont="1" applyFill="1" applyBorder="1" applyAlignment="1">
      <alignment horizontal="center" vertical="center" wrapText="1"/>
    </xf>
    <xf numFmtId="0" fontId="8" fillId="4" borderId="6" xfId="3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left" vertical="center"/>
    </xf>
    <xf numFmtId="0" fontId="3" fillId="2" borderId="12" xfId="2" applyFont="1" applyFill="1" applyBorder="1" applyAlignment="1">
      <alignment horizontal="left" vertical="center"/>
    </xf>
    <xf numFmtId="0" fontId="3" fillId="2" borderId="2" xfId="2" applyFont="1" applyFill="1" applyBorder="1" applyAlignment="1">
      <alignment horizontal="left" vertical="center"/>
    </xf>
    <xf numFmtId="0" fontId="3" fillId="2" borderId="7" xfId="2" applyFont="1" applyFill="1" applyBorder="1" applyAlignment="1">
      <alignment horizontal="left" vertical="center"/>
    </xf>
    <xf numFmtId="0" fontId="3" fillId="2" borderId="19" xfId="2" applyFont="1" applyFill="1" applyBorder="1" applyAlignment="1">
      <alignment horizontal="left" vertical="center" wrapText="1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2" borderId="12" xfId="2" applyFont="1" applyFill="1" applyBorder="1" applyAlignment="1">
      <alignment horizontal="left" vertical="center" wrapText="1"/>
    </xf>
    <xf numFmtId="164" fontId="6" fillId="3" borderId="3" xfId="1" applyNumberFormat="1" applyFont="1" applyFill="1" applyBorder="1" applyAlignment="1" applyProtection="1">
      <alignment vertical="center"/>
    </xf>
    <xf numFmtId="0" fontId="9" fillId="2" borderId="9" xfId="2" applyFont="1" applyFill="1" applyBorder="1" applyAlignment="1">
      <alignment horizontal="center" vertical="center"/>
    </xf>
    <xf numFmtId="164" fontId="6" fillId="3" borderId="2" xfId="1" applyNumberFormat="1" applyFont="1" applyFill="1" applyBorder="1" applyAlignment="1" applyProtection="1">
      <alignment vertical="center"/>
    </xf>
    <xf numFmtId="0" fontId="9" fillId="2" borderId="1" xfId="2" applyFont="1" applyFill="1" applyBorder="1" applyAlignment="1">
      <alignment horizontal="center" vertical="center"/>
    </xf>
    <xf numFmtId="0" fontId="3" fillId="2" borderId="11" xfId="2" applyFont="1" applyFill="1" applyBorder="1" applyAlignment="1">
      <alignment horizontal="left" vertical="center" wrapText="1"/>
    </xf>
    <xf numFmtId="0" fontId="3" fillId="2" borderId="14" xfId="2" applyFont="1" applyFill="1" applyBorder="1" applyAlignment="1">
      <alignment horizontal="left" vertical="center" wrapText="1"/>
    </xf>
    <xf numFmtId="0" fontId="3" fillId="2" borderId="7" xfId="2" applyFont="1" applyFill="1" applyBorder="1" applyAlignment="1">
      <alignment vertical="center"/>
    </xf>
    <xf numFmtId="164" fontId="6" fillId="3" borderId="11" xfId="1" applyNumberFormat="1" applyFont="1" applyFill="1" applyBorder="1" applyAlignment="1" applyProtection="1">
      <alignment horizontal="center" vertical="center"/>
    </xf>
    <xf numFmtId="164" fontId="6" fillId="3" borderId="14" xfId="1" applyNumberFormat="1" applyFont="1" applyFill="1" applyBorder="1" applyAlignment="1" applyProtection="1">
      <alignment horizontal="center" vertical="center"/>
    </xf>
    <xf numFmtId="164" fontId="6" fillId="3" borderId="3" xfId="1" applyNumberFormat="1" applyFont="1" applyFill="1" applyBorder="1" applyAlignment="1" applyProtection="1">
      <alignment horizontal="center" vertical="center"/>
    </xf>
    <xf numFmtId="164" fontId="6" fillId="3" borderId="12" xfId="1" applyNumberFormat="1" applyFont="1" applyFill="1" applyBorder="1" applyAlignment="1" applyProtection="1">
      <alignment horizontal="center" vertical="center"/>
    </xf>
    <xf numFmtId="0" fontId="8" fillId="4" borderId="1" xfId="3" applyFont="1" applyFill="1" applyBorder="1" applyAlignment="1">
      <alignment horizontal="center" vertical="center" wrapText="1"/>
    </xf>
    <xf numFmtId="0" fontId="8" fillId="4" borderId="1" xfId="3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vertical="center"/>
    </xf>
    <xf numFmtId="164" fontId="6" fillId="6" borderId="9" xfId="1" applyNumberFormat="1" applyFont="1" applyFill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 wrapText="1"/>
    </xf>
    <xf numFmtId="164" fontId="6" fillId="6" borderId="10" xfId="1" applyNumberFormat="1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vertical="center"/>
    </xf>
    <xf numFmtId="0" fontId="3" fillId="2" borderId="3" xfId="2" applyFont="1" applyFill="1" applyBorder="1" applyAlignment="1">
      <alignment horizontal="center" vertical="center" wrapText="1"/>
    </xf>
    <xf numFmtId="164" fontId="6" fillId="6" borderId="9" xfId="1" applyNumberFormat="1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left" vertical="top"/>
    </xf>
    <xf numFmtId="164" fontId="9" fillId="0" borderId="1" xfId="0" applyNumberFormat="1" applyFont="1" applyBorder="1" applyAlignment="1">
      <alignment vertical="center"/>
    </xf>
    <xf numFmtId="0" fontId="3" fillId="2" borderId="13" xfId="2" applyFont="1" applyFill="1" applyBorder="1" applyAlignment="1">
      <alignment horizontal="left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13" xfId="2" applyFont="1" applyFill="1" applyBorder="1" applyAlignment="1">
      <alignment horizontal="left" vertical="center"/>
    </xf>
    <xf numFmtId="164" fontId="9" fillId="0" borderId="13" xfId="0" applyNumberFormat="1" applyFont="1" applyBorder="1" applyAlignment="1">
      <alignment horizontal="center" vertical="center"/>
    </xf>
    <xf numFmtId="0" fontId="3" fillId="2" borderId="12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6" fillId="0" borderId="0" xfId="0" applyFont="1"/>
    <xf numFmtId="0" fontId="3" fillId="2" borderId="14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164" fontId="6" fillId="3" borderId="10" xfId="1" applyNumberFormat="1" applyFont="1" applyFill="1" applyBorder="1" applyAlignment="1" applyProtection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6" fillId="3" borderId="9" xfId="1" applyNumberFormat="1" applyFont="1" applyFill="1" applyBorder="1" applyAlignment="1" applyProtection="1">
      <alignment horizontal="center" vertical="center"/>
    </xf>
    <xf numFmtId="0" fontId="3" fillId="2" borderId="3" xfId="2" applyFont="1" applyFill="1" applyBorder="1" applyAlignment="1">
      <alignment horizontal="left" vertical="center" wrapText="1"/>
    </xf>
    <xf numFmtId="164" fontId="6" fillId="3" borderId="2" xfId="1" applyNumberFormat="1" applyFont="1" applyFill="1" applyBorder="1" applyAlignment="1" applyProtection="1">
      <alignment horizontal="center" vertical="center"/>
    </xf>
    <xf numFmtId="164" fontId="6" fillId="3" borderId="8" xfId="1" applyNumberFormat="1" applyFont="1" applyFill="1" applyBorder="1" applyAlignment="1" applyProtection="1">
      <alignment horizontal="center" vertical="center"/>
    </xf>
    <xf numFmtId="164" fontId="6" fillId="3" borderId="7" xfId="1" applyNumberFormat="1" applyFont="1" applyFill="1" applyBorder="1" applyAlignment="1" applyProtection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0" fontId="3" fillId="2" borderId="1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/>
    </xf>
    <xf numFmtId="0" fontId="8" fillId="4" borderId="5" xfId="3" applyFont="1" applyFill="1" applyBorder="1" applyAlignment="1">
      <alignment horizontal="center" vertical="center" wrapText="1"/>
    </xf>
    <xf numFmtId="0" fontId="8" fillId="4" borderId="4" xfId="3" applyFont="1" applyFill="1" applyBorder="1" applyAlignment="1">
      <alignment horizontal="center" vertical="center" wrapText="1"/>
    </xf>
    <xf numFmtId="164" fontId="6" fillId="3" borderId="1" xfId="1" applyNumberFormat="1" applyFont="1" applyFill="1" applyBorder="1" applyAlignment="1" applyProtection="1">
      <alignment vertical="center"/>
    </xf>
    <xf numFmtId="164" fontId="9" fillId="6" borderId="9" xfId="1" applyNumberFormat="1" applyFont="1" applyFill="1" applyBorder="1" applyAlignment="1">
      <alignment horizontal="center" vertical="center" wrapText="1"/>
    </xf>
    <xf numFmtId="0" fontId="10" fillId="5" borderId="0" xfId="0" applyFont="1" applyFill="1" applyAlignment="1">
      <alignment vertical="center"/>
    </xf>
    <xf numFmtId="0" fontId="3" fillId="2" borderId="3" xfId="2" applyFont="1" applyFill="1" applyBorder="1" applyAlignment="1">
      <alignment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vertical="center" wrapText="1"/>
    </xf>
    <xf numFmtId="0" fontId="7" fillId="2" borderId="2" xfId="2" applyFont="1" applyFill="1" applyBorder="1" applyAlignment="1">
      <alignment vertical="center" wrapText="1"/>
    </xf>
  </cellXfs>
  <cellStyles count="4">
    <cellStyle name="Millares" xfId="1" builtinId="3"/>
    <cellStyle name="Normal" xfId="0" builtinId="0"/>
    <cellStyle name="Normal 2" xfId="3" xr:uid="{038B30B0-A4D7-4646-B370-AF1C5659D6AD}"/>
    <cellStyle name="Normal 3" xfId="2" xr:uid="{F2187377-B257-438A-AB5F-BBB9F5A39A7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89DE-889D-46DA-926C-9A4A4BF26432}">
  <dimension ref="B1:T80"/>
  <sheetViews>
    <sheetView tabSelected="1" zoomScale="93" zoomScaleNormal="93" workbookViewId="0"/>
  </sheetViews>
  <sheetFormatPr baseColWidth="10" defaultRowHeight="24.95" customHeight="1" x14ac:dyDescent="0.2"/>
  <cols>
    <col min="1" max="1" width="4.85546875" style="3" customWidth="1"/>
    <col min="2" max="2" width="22" style="3" customWidth="1"/>
    <col min="3" max="3" width="21.42578125" style="3" customWidth="1"/>
    <col min="4" max="4" width="21.28515625" style="3" customWidth="1"/>
    <col min="5" max="5" width="24.28515625" style="3" customWidth="1"/>
    <col min="6" max="6" width="22.5703125" style="3" customWidth="1"/>
    <col min="7" max="7" width="21.42578125" style="3" customWidth="1"/>
    <col min="8" max="8" width="21.28515625" style="3" customWidth="1"/>
    <col min="9" max="9" width="22.7109375" style="3" customWidth="1"/>
    <col min="10" max="10" width="21.140625" style="3" customWidth="1"/>
    <col min="11" max="11" width="21.7109375" style="3" customWidth="1"/>
    <col min="12" max="12" width="21" style="3" customWidth="1"/>
    <col min="13" max="13" width="22.140625" style="3" customWidth="1"/>
    <col min="14" max="14" width="21.140625" style="3" customWidth="1"/>
    <col min="15" max="17" width="24.5703125" style="3" customWidth="1"/>
    <col min="18" max="18" width="25" style="3" customWidth="1"/>
    <col min="19" max="19" width="21.28515625" style="3" customWidth="1"/>
    <col min="20" max="16384" width="11.42578125" style="3"/>
  </cols>
  <sheetData>
    <row r="1" spans="2:20" ht="24.95" customHeight="1" x14ac:dyDescent="0.2">
      <c r="B1" s="1" t="s">
        <v>108</v>
      </c>
    </row>
    <row r="2" spans="2:20" ht="24.95" customHeight="1" x14ac:dyDescent="0.2">
      <c r="B2" s="1" t="s">
        <v>109</v>
      </c>
    </row>
    <row r="3" spans="2:20" ht="24.95" customHeight="1" x14ac:dyDescent="0.2">
      <c r="B3" s="1" t="s">
        <v>110</v>
      </c>
    </row>
    <row r="4" spans="2:20" ht="24.95" customHeight="1" x14ac:dyDescent="0.2">
      <c r="B4" s="1" t="s">
        <v>111</v>
      </c>
    </row>
    <row r="5" spans="2:20" ht="24.95" customHeight="1" x14ac:dyDescent="0.2">
      <c r="B5" s="1"/>
    </row>
    <row r="6" spans="2:20" s="9" customFormat="1" ht="24.95" customHeight="1" x14ac:dyDescent="0.25">
      <c r="B6" s="105" t="s">
        <v>97</v>
      </c>
      <c r="C6" s="4"/>
      <c r="D6" s="4"/>
      <c r="E6" s="4"/>
      <c r="F6" s="4"/>
      <c r="G6" s="4"/>
      <c r="H6" s="4"/>
      <c r="I6" s="4"/>
      <c r="J6" s="4"/>
      <c r="K6" s="4"/>
      <c r="L6" s="4"/>
      <c r="M6" s="5"/>
      <c r="N6" s="5"/>
      <c r="O6" s="6"/>
      <c r="P6" s="7"/>
      <c r="Q6" s="7"/>
      <c r="R6" s="7"/>
      <c r="S6" s="5"/>
      <c r="T6" s="8"/>
    </row>
    <row r="7" spans="2:20" s="9" customFormat="1" ht="24.95" customHeight="1" x14ac:dyDescent="0.25">
      <c r="B7" s="2" t="s">
        <v>96</v>
      </c>
      <c r="C7" s="10"/>
      <c r="D7" s="10"/>
      <c r="E7" s="10"/>
      <c r="F7" s="10"/>
      <c r="G7" s="10"/>
      <c r="H7" s="7"/>
      <c r="I7" s="7"/>
      <c r="J7" s="7"/>
      <c r="K7" s="7"/>
      <c r="L7" s="7"/>
      <c r="M7" s="7"/>
      <c r="N7" s="7"/>
    </row>
    <row r="8" spans="2:20" s="9" customFormat="1" ht="24.95" customHeight="1" x14ac:dyDescent="0.25">
      <c r="B8" s="11" t="s">
        <v>100</v>
      </c>
      <c r="C8" s="10"/>
      <c r="D8" s="10"/>
      <c r="E8" s="10"/>
      <c r="F8" s="10"/>
      <c r="G8" s="11" t="s">
        <v>101</v>
      </c>
      <c r="H8" s="7"/>
      <c r="I8" s="7"/>
      <c r="J8" s="7"/>
      <c r="K8" s="7"/>
      <c r="L8" s="7"/>
      <c r="M8" s="7"/>
      <c r="N8" s="7"/>
    </row>
    <row r="9" spans="2:20" s="9" customFormat="1" ht="24.95" customHeight="1" x14ac:dyDescent="0.2">
      <c r="B9" s="12" t="s">
        <v>95</v>
      </c>
      <c r="C9" s="13"/>
      <c r="D9" s="13"/>
      <c r="E9" s="14"/>
      <c r="F9" s="3"/>
      <c r="G9" s="15" t="s">
        <v>94</v>
      </c>
      <c r="H9" s="16"/>
      <c r="I9" s="17" t="s">
        <v>27</v>
      </c>
      <c r="J9" s="3"/>
      <c r="M9" s="3"/>
      <c r="N9" s="7"/>
    </row>
    <row r="10" spans="2:20" ht="24.95" customHeight="1" x14ac:dyDescent="0.2">
      <c r="B10" s="18" t="s">
        <v>93</v>
      </c>
      <c r="C10" s="19"/>
      <c r="D10" s="20"/>
      <c r="E10" s="21" t="s">
        <v>92</v>
      </c>
      <c r="G10" s="22" t="s">
        <v>91</v>
      </c>
      <c r="H10" s="22"/>
      <c r="I10" s="23"/>
      <c r="J10" s="24" t="s">
        <v>85</v>
      </c>
    </row>
    <row r="11" spans="2:20" ht="24.95" customHeight="1" x14ac:dyDescent="0.2">
      <c r="B11" s="25" t="s">
        <v>90</v>
      </c>
      <c r="C11" s="25" t="s">
        <v>89</v>
      </c>
      <c r="D11" s="26" t="s">
        <v>0</v>
      </c>
      <c r="E11" s="27"/>
      <c r="G11" s="28" t="s">
        <v>88</v>
      </c>
      <c r="H11" s="26" t="s">
        <v>87</v>
      </c>
      <c r="I11" s="23"/>
    </row>
    <row r="12" spans="2:20" ht="24.95" customHeight="1" x14ac:dyDescent="0.2">
      <c r="B12" s="29">
        <f>M77+M78</f>
        <v>0</v>
      </c>
      <c r="C12" s="29">
        <f>M79</f>
        <v>0</v>
      </c>
      <c r="D12" s="29">
        <f>M80</f>
        <v>0</v>
      </c>
      <c r="E12" s="30">
        <f>M76</f>
        <v>0</v>
      </c>
      <c r="G12" s="28"/>
      <c r="H12" s="26" t="s">
        <v>86</v>
      </c>
      <c r="I12" s="23"/>
    </row>
    <row r="13" spans="2:20" ht="24.95" customHeight="1" x14ac:dyDescent="0.2">
      <c r="B13" s="11" t="s">
        <v>102</v>
      </c>
      <c r="C13" s="31"/>
      <c r="D13" s="31"/>
      <c r="E13" s="32"/>
      <c r="G13" s="33" t="s">
        <v>20</v>
      </c>
      <c r="H13" s="34"/>
      <c r="I13" s="35">
        <f>SUM(I10+I11+I12)</f>
        <v>0</v>
      </c>
    </row>
    <row r="14" spans="2:20" ht="24.95" customHeight="1" x14ac:dyDescent="0.2">
      <c r="B14" s="15" t="s">
        <v>0</v>
      </c>
      <c r="C14" s="36"/>
      <c r="D14" s="16"/>
      <c r="F14" s="11"/>
      <c r="G14" s="11" t="s">
        <v>103</v>
      </c>
      <c r="H14" s="37"/>
      <c r="I14" s="37"/>
    </row>
    <row r="15" spans="2:20" ht="24.95" customHeight="1" x14ac:dyDescent="0.2">
      <c r="B15" s="38" t="s">
        <v>84</v>
      </c>
      <c r="C15" s="39"/>
      <c r="D15" s="23"/>
      <c r="E15" s="32"/>
      <c r="F15" s="40"/>
      <c r="G15" s="15" t="s">
        <v>83</v>
      </c>
      <c r="H15" s="36"/>
      <c r="I15" s="16"/>
    </row>
    <row r="16" spans="2:20" s="40" customFormat="1" ht="24.95" customHeight="1" x14ac:dyDescent="0.2">
      <c r="B16" s="41" t="s">
        <v>82</v>
      </c>
      <c r="C16" s="42"/>
      <c r="D16" s="23"/>
      <c r="E16" s="32"/>
      <c r="G16" s="43" t="s">
        <v>54</v>
      </c>
      <c r="H16" s="43" t="s">
        <v>81</v>
      </c>
      <c r="I16" s="43" t="s">
        <v>80</v>
      </c>
      <c r="N16" s="3"/>
      <c r="O16" s="3"/>
      <c r="P16" s="3"/>
      <c r="Q16" s="3"/>
      <c r="R16" s="3"/>
      <c r="S16" s="3"/>
    </row>
    <row r="17" spans="2:19" s="40" customFormat="1" ht="24.95" customHeight="1" x14ac:dyDescent="0.2">
      <c r="B17" s="41" t="s">
        <v>79</v>
      </c>
      <c r="C17" s="42"/>
      <c r="D17" s="23"/>
      <c r="E17" s="32"/>
      <c r="G17" s="26" t="s">
        <v>78</v>
      </c>
      <c r="H17" s="23"/>
      <c r="I17" s="23"/>
      <c r="N17" s="3"/>
      <c r="O17" s="3"/>
      <c r="P17" s="3"/>
      <c r="Q17" s="3"/>
      <c r="R17" s="3"/>
      <c r="S17" s="3"/>
    </row>
    <row r="18" spans="2:19" s="40" customFormat="1" ht="24.95" customHeight="1" x14ac:dyDescent="0.2">
      <c r="B18" s="33" t="s">
        <v>20</v>
      </c>
      <c r="C18" s="44"/>
      <c r="D18" s="29">
        <f>SUM(D15+D16+D17)</f>
        <v>0</v>
      </c>
      <c r="E18" s="32"/>
      <c r="G18" s="26" t="s">
        <v>77</v>
      </c>
      <c r="H18" s="23"/>
      <c r="I18" s="23"/>
      <c r="K18" s="3"/>
      <c r="L18" s="3"/>
      <c r="M18" s="3"/>
      <c r="N18" s="3"/>
      <c r="O18" s="3"/>
      <c r="P18" s="3"/>
      <c r="Q18" s="3"/>
      <c r="R18" s="3"/>
      <c r="S18" s="3"/>
    </row>
    <row r="19" spans="2:19" s="40" customFormat="1" ht="24.95" customHeight="1" x14ac:dyDescent="0.2">
      <c r="B19" s="11" t="s">
        <v>104</v>
      </c>
      <c r="E19" s="32"/>
      <c r="G19" s="26" t="s">
        <v>20</v>
      </c>
      <c r="H19" s="45">
        <f>SUM(H17+H18)</f>
        <v>0</v>
      </c>
      <c r="I19" s="45">
        <f>SUM(I17+I18)</f>
        <v>0</v>
      </c>
      <c r="K19" s="3"/>
      <c r="L19" s="3"/>
      <c r="M19" s="3"/>
      <c r="N19" s="3"/>
      <c r="O19" s="3"/>
      <c r="P19" s="3"/>
      <c r="Q19" s="3"/>
      <c r="R19" s="3"/>
      <c r="S19" s="3"/>
    </row>
    <row r="20" spans="2:19" s="40" customFormat="1" ht="24.95" customHeight="1" x14ac:dyDescent="0.2">
      <c r="B20" s="46" t="s">
        <v>76</v>
      </c>
      <c r="C20" s="46"/>
      <c r="D20" s="47" t="s">
        <v>27</v>
      </c>
      <c r="E20" s="32"/>
      <c r="G20" s="11" t="s">
        <v>105</v>
      </c>
      <c r="K20" s="3"/>
      <c r="L20" s="3"/>
      <c r="M20" s="3"/>
      <c r="N20" s="3"/>
      <c r="O20" s="3"/>
      <c r="P20" s="3"/>
      <c r="Q20" s="3"/>
      <c r="R20" s="3"/>
      <c r="S20" s="3"/>
    </row>
    <row r="21" spans="2:19" s="40" customFormat="1" ht="24.95" customHeight="1" x14ac:dyDescent="0.2">
      <c r="B21" s="48" t="s">
        <v>75</v>
      </c>
      <c r="C21" s="49"/>
      <c r="D21" s="23"/>
      <c r="E21" s="32"/>
      <c r="G21" s="46" t="s">
        <v>74</v>
      </c>
      <c r="H21" s="46"/>
      <c r="I21" s="47" t="s">
        <v>27</v>
      </c>
      <c r="K21" s="3"/>
      <c r="L21" s="3"/>
      <c r="M21" s="3"/>
      <c r="N21" s="3"/>
      <c r="O21" s="3"/>
      <c r="P21" s="3"/>
      <c r="Q21" s="3"/>
      <c r="R21" s="3"/>
      <c r="S21" s="3"/>
    </row>
    <row r="22" spans="2:19" s="40" customFormat="1" ht="24.95" customHeight="1" x14ac:dyDescent="0.2">
      <c r="B22" s="50" t="s">
        <v>73</v>
      </c>
      <c r="C22" s="51"/>
      <c r="D22" s="23"/>
      <c r="E22" s="32"/>
      <c r="F22" s="32"/>
      <c r="G22" s="52" t="s">
        <v>72</v>
      </c>
      <c r="H22" s="53"/>
      <c r="I22" s="23"/>
      <c r="J22" s="32"/>
      <c r="K22" s="3"/>
      <c r="L22" s="3"/>
      <c r="M22" s="3"/>
      <c r="N22" s="3"/>
      <c r="O22" s="3"/>
      <c r="P22" s="3"/>
      <c r="Q22" s="3"/>
      <c r="R22" s="3"/>
      <c r="S22" s="3"/>
    </row>
    <row r="23" spans="2:19" s="40" customFormat="1" ht="24.95" customHeight="1" x14ac:dyDescent="0.2">
      <c r="B23" s="41" t="s">
        <v>71</v>
      </c>
      <c r="C23" s="42"/>
      <c r="D23" s="23"/>
      <c r="E23" s="32"/>
      <c r="G23" s="41" t="s">
        <v>70</v>
      </c>
      <c r="H23" s="42"/>
      <c r="I23" s="23"/>
      <c r="J23" s="32"/>
      <c r="K23" s="3"/>
      <c r="L23" s="3"/>
      <c r="M23" s="3"/>
      <c r="N23" s="3"/>
      <c r="O23" s="3"/>
      <c r="P23" s="3"/>
      <c r="Q23" s="3"/>
      <c r="R23" s="3"/>
      <c r="S23" s="3"/>
    </row>
    <row r="24" spans="2:19" s="40" customFormat="1" ht="24.95" customHeight="1" x14ac:dyDescent="0.2">
      <c r="B24" s="32"/>
      <c r="C24" s="32"/>
      <c r="D24" s="32"/>
      <c r="E24" s="32"/>
      <c r="F24" s="32"/>
      <c r="G24" s="32"/>
      <c r="H24" s="32"/>
      <c r="I24" s="32"/>
      <c r="J24" s="32"/>
      <c r="K24" s="3"/>
      <c r="L24" s="3"/>
      <c r="M24" s="3"/>
      <c r="N24" s="3"/>
      <c r="O24" s="3"/>
      <c r="P24" s="3"/>
      <c r="Q24" s="3"/>
      <c r="R24" s="3"/>
      <c r="S24" s="3"/>
    </row>
    <row r="25" spans="2:19" s="9" customFormat="1" ht="24.95" customHeight="1" x14ac:dyDescent="0.2">
      <c r="B25" s="2" t="s">
        <v>69</v>
      </c>
      <c r="C25" s="10"/>
      <c r="D25" s="10"/>
      <c r="E25" s="10"/>
      <c r="F25" s="10"/>
      <c r="G25" s="10"/>
      <c r="H25" s="7"/>
      <c r="I25" s="7"/>
      <c r="J25" s="7"/>
      <c r="K25" s="3"/>
      <c r="L25" s="3"/>
      <c r="M25" s="3"/>
      <c r="N25" s="3"/>
      <c r="O25" s="3"/>
      <c r="P25" s="3"/>
      <c r="Q25" s="3"/>
      <c r="R25" s="3"/>
      <c r="S25" s="3"/>
    </row>
    <row r="26" spans="2:19" ht="24.95" customHeight="1" x14ac:dyDescent="0.2">
      <c r="B26" s="11" t="s">
        <v>106</v>
      </c>
      <c r="I26" s="11" t="s">
        <v>107</v>
      </c>
    </row>
    <row r="27" spans="2:19" ht="24.95" customHeight="1" x14ac:dyDescent="0.2">
      <c r="B27" s="46" t="s">
        <v>68</v>
      </c>
      <c r="C27" s="46"/>
      <c r="D27" s="47" t="s">
        <v>37</v>
      </c>
      <c r="E27" s="47" t="s">
        <v>67</v>
      </c>
      <c r="F27" s="47" t="s">
        <v>66</v>
      </c>
      <c r="G27" s="47" t="s">
        <v>20</v>
      </c>
      <c r="I27" s="46" t="s">
        <v>65</v>
      </c>
      <c r="J27" s="46"/>
      <c r="K27" s="47" t="s">
        <v>27</v>
      </c>
    </row>
    <row r="28" spans="2:19" ht="24.95" customHeight="1" x14ac:dyDescent="0.2">
      <c r="B28" s="54" t="s">
        <v>64</v>
      </c>
      <c r="C28" s="55"/>
      <c r="D28" s="56"/>
      <c r="E28" s="23"/>
      <c r="F28" s="23"/>
      <c r="G28" s="57">
        <f>SUM(E28+F28)</f>
        <v>0</v>
      </c>
      <c r="I28" s="48" t="s">
        <v>63</v>
      </c>
      <c r="J28" s="49"/>
      <c r="K28" s="23"/>
    </row>
    <row r="29" spans="2:19" ht="24.95" customHeight="1" x14ac:dyDescent="0.2">
      <c r="B29" s="41" t="s">
        <v>62</v>
      </c>
      <c r="C29" s="42"/>
      <c r="D29" s="58"/>
      <c r="E29" s="23"/>
      <c r="F29" s="23"/>
      <c r="G29" s="59">
        <f>SUM(E29+F29)</f>
        <v>0</v>
      </c>
      <c r="I29" s="50" t="s">
        <v>61</v>
      </c>
      <c r="J29" s="51"/>
      <c r="K29" s="23"/>
    </row>
    <row r="30" spans="2:19" ht="24.95" customHeight="1" x14ac:dyDescent="0.2">
      <c r="B30" s="60" t="s">
        <v>60</v>
      </c>
      <c r="C30" s="61"/>
      <c r="D30" s="62" t="s">
        <v>45</v>
      </c>
      <c r="E30" s="23"/>
      <c r="F30" s="23"/>
      <c r="G30" s="59">
        <f>SUM(E30+F30)</f>
        <v>0</v>
      </c>
      <c r="I30" s="50" t="s">
        <v>59</v>
      </c>
      <c r="J30" s="51"/>
      <c r="K30" s="23"/>
    </row>
    <row r="31" spans="2:19" ht="24.95" customHeight="1" x14ac:dyDescent="0.2">
      <c r="B31" s="54"/>
      <c r="C31" s="55"/>
      <c r="D31" s="62" t="s">
        <v>58</v>
      </c>
      <c r="E31" s="23"/>
      <c r="F31" s="23"/>
      <c r="G31" s="59">
        <f>SUM(E31+F31)</f>
        <v>0</v>
      </c>
      <c r="I31" s="11" t="s">
        <v>112</v>
      </c>
    </row>
    <row r="32" spans="2:19" ht="24.95" customHeight="1" x14ac:dyDescent="0.2">
      <c r="B32" s="41" t="s">
        <v>57</v>
      </c>
      <c r="C32" s="42"/>
      <c r="D32" s="58"/>
      <c r="E32" s="23"/>
      <c r="F32" s="23"/>
      <c r="G32" s="59">
        <f>SUM(E32+F32)</f>
        <v>0</v>
      </c>
      <c r="I32" s="15" t="s">
        <v>56</v>
      </c>
      <c r="J32" s="16"/>
    </row>
    <row r="33" spans="2:19" ht="24.95" customHeight="1" x14ac:dyDescent="0.2">
      <c r="B33" s="60" t="s">
        <v>55</v>
      </c>
      <c r="C33" s="61"/>
      <c r="D33" s="62" t="s">
        <v>45</v>
      </c>
      <c r="E33" s="63"/>
      <c r="F33" s="64"/>
      <c r="G33" s="23"/>
      <c r="I33" s="43" t="s">
        <v>54</v>
      </c>
      <c r="J33" s="43" t="s">
        <v>27</v>
      </c>
      <c r="L33" s="11" t="s">
        <v>113</v>
      </c>
    </row>
    <row r="34" spans="2:19" ht="24.95" customHeight="1" x14ac:dyDescent="0.2">
      <c r="B34" s="54"/>
      <c r="C34" s="55"/>
      <c r="D34" s="62" t="s">
        <v>34</v>
      </c>
      <c r="E34" s="65"/>
      <c r="F34" s="66"/>
      <c r="G34" s="23"/>
      <c r="I34" s="26" t="s">
        <v>53</v>
      </c>
      <c r="J34" s="23"/>
      <c r="L34" s="67" t="s">
        <v>52</v>
      </c>
    </row>
    <row r="35" spans="2:19" ht="24.95" customHeight="1" x14ac:dyDescent="0.2">
      <c r="I35" s="26" t="s">
        <v>51</v>
      </c>
      <c r="J35" s="23"/>
      <c r="L35" s="23"/>
    </row>
    <row r="37" spans="2:19" s="9" customFormat="1" ht="24.95" customHeight="1" x14ac:dyDescent="0.2">
      <c r="B37" s="2" t="s">
        <v>50</v>
      </c>
      <c r="C37" s="10"/>
      <c r="D37" s="10"/>
      <c r="E37" s="10"/>
      <c r="F37" s="10"/>
      <c r="G37" s="10"/>
      <c r="H37" s="7"/>
      <c r="I37" s="7"/>
      <c r="J37" s="7"/>
      <c r="K37" s="3"/>
      <c r="L37" s="3"/>
      <c r="M37" s="3"/>
      <c r="N37" s="3"/>
      <c r="O37" s="3"/>
      <c r="P37" s="3"/>
      <c r="Q37" s="3"/>
      <c r="R37" s="3"/>
      <c r="S37" s="3"/>
    </row>
    <row r="38" spans="2:19" ht="24.95" customHeight="1" x14ac:dyDescent="0.2">
      <c r="B38" s="11" t="s">
        <v>114</v>
      </c>
      <c r="E38" s="11" t="s">
        <v>119</v>
      </c>
      <c r="J38" s="11" t="s">
        <v>115</v>
      </c>
    </row>
    <row r="39" spans="2:19" ht="24.95" customHeight="1" x14ac:dyDescent="0.2">
      <c r="B39" s="47" t="s">
        <v>49</v>
      </c>
      <c r="C39" s="47" t="s">
        <v>27</v>
      </c>
      <c r="E39" s="68" t="s">
        <v>48</v>
      </c>
      <c r="F39" s="68"/>
      <c r="G39" s="67" t="s">
        <v>27</v>
      </c>
      <c r="H39" s="67" t="s">
        <v>47</v>
      </c>
      <c r="J39" s="46" t="s">
        <v>46</v>
      </c>
      <c r="K39" s="46"/>
      <c r="L39" s="47" t="s">
        <v>27</v>
      </c>
    </row>
    <row r="40" spans="2:19" ht="24.95" customHeight="1" x14ac:dyDescent="0.2">
      <c r="B40" s="69" t="s">
        <v>45</v>
      </c>
      <c r="C40" s="70"/>
      <c r="E40" s="71" t="s">
        <v>44</v>
      </c>
      <c r="F40" s="26" t="s">
        <v>41</v>
      </c>
      <c r="G40" s="35">
        <f>M69</f>
        <v>0</v>
      </c>
      <c r="H40" s="72"/>
      <c r="J40" s="48" t="s">
        <v>5</v>
      </c>
      <c r="K40" s="49"/>
      <c r="L40" s="70"/>
    </row>
    <row r="41" spans="2:19" ht="24.95" customHeight="1" x14ac:dyDescent="0.2">
      <c r="B41" s="73" t="s">
        <v>43</v>
      </c>
      <c r="C41" s="70"/>
      <c r="E41" s="74"/>
      <c r="F41" s="26" t="s">
        <v>40</v>
      </c>
      <c r="G41" s="35">
        <f>M70</f>
        <v>0</v>
      </c>
      <c r="H41" s="75"/>
      <c r="J41" s="50" t="s">
        <v>4</v>
      </c>
      <c r="K41" s="51"/>
      <c r="L41" s="70"/>
    </row>
    <row r="42" spans="2:19" ht="24.95" customHeight="1" x14ac:dyDescent="0.2">
      <c r="B42" s="73" t="s">
        <v>34</v>
      </c>
      <c r="C42" s="70"/>
      <c r="E42" s="76" t="s">
        <v>42</v>
      </c>
      <c r="F42" s="26" t="s">
        <v>41</v>
      </c>
      <c r="G42" s="35">
        <f>M71</f>
        <v>0</v>
      </c>
      <c r="H42" s="72"/>
      <c r="J42" s="50" t="s">
        <v>3</v>
      </c>
      <c r="K42" s="51"/>
      <c r="L42" s="30">
        <f>M75</f>
        <v>0</v>
      </c>
    </row>
    <row r="43" spans="2:19" ht="24.95" customHeight="1" x14ac:dyDescent="0.2">
      <c r="B43" s="77" t="s">
        <v>24</v>
      </c>
      <c r="C43" s="35">
        <f>SUM(C40+C41+C42)</f>
        <v>0</v>
      </c>
      <c r="E43" s="43"/>
      <c r="F43" s="26" t="s">
        <v>40</v>
      </c>
      <c r="G43" s="35">
        <f>M72</f>
        <v>0</v>
      </c>
      <c r="H43" s="75"/>
      <c r="J43" s="33" t="s">
        <v>20</v>
      </c>
      <c r="K43" s="44"/>
      <c r="L43" s="45">
        <f>SUM(L40+L41+L42)</f>
        <v>0</v>
      </c>
    </row>
    <row r="44" spans="2:19" ht="24.95" customHeight="1" x14ac:dyDescent="0.2">
      <c r="B44" s="78" t="s">
        <v>39</v>
      </c>
      <c r="C44" s="78"/>
      <c r="E44" s="33" t="s">
        <v>20</v>
      </c>
      <c r="F44" s="34"/>
      <c r="G44" s="44"/>
      <c r="H44" s="79">
        <f>SUM(H40+H42)</f>
        <v>0</v>
      </c>
    </row>
    <row r="46" spans="2:19" s="9" customFormat="1" ht="24.95" customHeight="1" x14ac:dyDescent="0.2">
      <c r="B46" s="2" t="s">
        <v>38</v>
      </c>
      <c r="C46" s="10"/>
      <c r="D46" s="10"/>
      <c r="E46" s="10"/>
      <c r="F46" s="10"/>
      <c r="G46" s="10"/>
      <c r="H46" s="7"/>
      <c r="I46" s="7"/>
      <c r="J46" s="7"/>
      <c r="K46" s="3"/>
      <c r="L46" s="3"/>
      <c r="M46" s="3"/>
      <c r="N46" s="3"/>
      <c r="O46" s="3"/>
      <c r="P46" s="3"/>
      <c r="Q46" s="3"/>
      <c r="R46" s="3"/>
      <c r="S46" s="3"/>
    </row>
    <row r="47" spans="2:19" s="9" customFormat="1" ht="24.95" customHeight="1" x14ac:dyDescent="0.2">
      <c r="B47" s="11" t="s">
        <v>116</v>
      </c>
      <c r="C47" s="10"/>
      <c r="D47" s="10"/>
      <c r="E47" s="10"/>
      <c r="F47" s="10"/>
      <c r="G47" s="10"/>
      <c r="H47" s="7"/>
      <c r="I47" s="7"/>
      <c r="J47" s="7"/>
      <c r="K47" s="3"/>
      <c r="L47" s="3"/>
      <c r="M47" s="3"/>
      <c r="N47" s="3"/>
      <c r="O47" s="3"/>
      <c r="P47" s="3"/>
      <c r="Q47" s="3"/>
      <c r="R47" s="3"/>
      <c r="S47" s="3"/>
    </row>
    <row r="48" spans="2:19" ht="24.95" customHeight="1" x14ac:dyDescent="0.2">
      <c r="B48" s="46" t="s">
        <v>22</v>
      </c>
      <c r="C48" s="46"/>
      <c r="D48" s="47" t="s">
        <v>37</v>
      </c>
      <c r="E48" s="47" t="s">
        <v>27</v>
      </c>
      <c r="F48" s="47" t="s">
        <v>20</v>
      </c>
    </row>
    <row r="49" spans="2:19" ht="24.95" customHeight="1" x14ac:dyDescent="0.2">
      <c r="B49" s="80" t="s">
        <v>36</v>
      </c>
      <c r="C49" s="81" t="s">
        <v>32</v>
      </c>
      <c r="D49" s="82" t="s">
        <v>35</v>
      </c>
      <c r="E49" s="70"/>
      <c r="F49" s="83">
        <f>SUM(E49+E50+E51+E52)</f>
        <v>0</v>
      </c>
    </row>
    <row r="50" spans="2:19" ht="24.95" customHeight="1" x14ac:dyDescent="0.2">
      <c r="B50" s="80"/>
      <c r="C50" s="84"/>
      <c r="D50" s="85" t="s">
        <v>34</v>
      </c>
      <c r="E50" s="70"/>
      <c r="F50" s="86"/>
      <c r="G50" s="87"/>
    </row>
    <row r="51" spans="2:19" ht="24.95" customHeight="1" x14ac:dyDescent="0.2">
      <c r="B51" s="80"/>
      <c r="C51" s="88" t="s">
        <v>31</v>
      </c>
      <c r="D51" s="85" t="s">
        <v>35</v>
      </c>
      <c r="E51" s="70"/>
      <c r="F51" s="86"/>
    </row>
    <row r="52" spans="2:19" ht="24.95" customHeight="1" x14ac:dyDescent="0.2">
      <c r="B52" s="22"/>
      <c r="C52" s="84"/>
      <c r="D52" s="89" t="s">
        <v>34</v>
      </c>
      <c r="E52" s="70"/>
      <c r="F52" s="90"/>
    </row>
    <row r="53" spans="2:19" ht="24.95" customHeight="1" x14ac:dyDescent="0.2">
      <c r="B53" s="60" t="s">
        <v>33</v>
      </c>
      <c r="C53" s="76" t="s">
        <v>32</v>
      </c>
      <c r="D53" s="91"/>
      <c r="E53" s="70"/>
      <c r="F53" s="92">
        <f>SUM(E53+E54)</f>
        <v>0</v>
      </c>
    </row>
    <row r="54" spans="2:19" ht="24.95" customHeight="1" x14ac:dyDescent="0.2">
      <c r="B54" s="54"/>
      <c r="C54" s="26" t="s">
        <v>31</v>
      </c>
      <c r="D54" s="93"/>
      <c r="E54" s="70"/>
      <c r="F54" s="90"/>
    </row>
    <row r="55" spans="2:19" ht="24.95" customHeight="1" x14ac:dyDescent="0.2">
      <c r="B55" s="94" t="s">
        <v>30</v>
      </c>
      <c r="C55" s="95"/>
      <c r="D55" s="96"/>
      <c r="E55" s="97"/>
      <c r="F55" s="98">
        <f>SUM(C41+E49+E51)</f>
        <v>0</v>
      </c>
    </row>
    <row r="56" spans="2:19" ht="24.95" customHeight="1" x14ac:dyDescent="0.2">
      <c r="B56" s="99" t="s">
        <v>29</v>
      </c>
      <c r="C56" s="95"/>
      <c r="D56" s="96"/>
      <c r="E56" s="97"/>
      <c r="F56" s="30">
        <f>I23</f>
        <v>0</v>
      </c>
    </row>
    <row r="58" spans="2:19" s="9" customFormat="1" ht="24.95" customHeight="1" x14ac:dyDescent="0.2">
      <c r="B58" s="2" t="s">
        <v>28</v>
      </c>
      <c r="C58" s="10"/>
      <c r="D58" s="10"/>
      <c r="E58" s="10"/>
      <c r="F58" s="10"/>
      <c r="G58" s="10"/>
      <c r="H58" s="7"/>
      <c r="I58" s="7"/>
      <c r="J58" s="7"/>
      <c r="K58" s="3"/>
      <c r="L58" s="3"/>
      <c r="M58" s="3"/>
      <c r="N58" s="3"/>
      <c r="O58" s="3"/>
      <c r="P58" s="3"/>
      <c r="Q58" s="3"/>
      <c r="R58" s="3"/>
      <c r="S58" s="3"/>
    </row>
    <row r="59" spans="2:19" ht="24.95" customHeight="1" x14ac:dyDescent="0.2">
      <c r="B59" s="11" t="s">
        <v>117</v>
      </c>
    </row>
    <row r="60" spans="2:19" ht="24.95" customHeight="1" x14ac:dyDescent="0.2">
      <c r="B60" s="67" t="s">
        <v>22</v>
      </c>
      <c r="C60" s="67" t="s">
        <v>27</v>
      </c>
    </row>
    <row r="61" spans="2:19" ht="24.95" customHeight="1" x14ac:dyDescent="0.2">
      <c r="B61" s="100" t="s">
        <v>26</v>
      </c>
      <c r="C61" s="30">
        <f>G31</f>
        <v>0</v>
      </c>
    </row>
    <row r="62" spans="2:19" ht="24.95" customHeight="1" x14ac:dyDescent="0.2">
      <c r="B62" s="100" t="s">
        <v>25</v>
      </c>
      <c r="C62" s="30">
        <f>SUM(G34+C42)</f>
        <v>0</v>
      </c>
    </row>
    <row r="63" spans="2:19" ht="24.95" customHeight="1" x14ac:dyDescent="0.2">
      <c r="B63" s="77" t="s">
        <v>24</v>
      </c>
      <c r="C63" s="35">
        <f>SUM(C61+C62)</f>
        <v>0</v>
      </c>
    </row>
    <row r="65" spans="2:19" s="9" customFormat="1" ht="24.95" customHeight="1" x14ac:dyDescent="0.2">
      <c r="B65" s="2" t="s">
        <v>23</v>
      </c>
      <c r="C65" s="10"/>
      <c r="D65" s="10"/>
      <c r="E65" s="10"/>
      <c r="F65" s="10"/>
      <c r="G65" s="10"/>
      <c r="H65" s="7"/>
      <c r="I65" s="7"/>
      <c r="J65" s="7"/>
      <c r="K65" s="3"/>
      <c r="L65" s="3"/>
      <c r="M65" s="3"/>
      <c r="N65" s="3"/>
      <c r="O65" s="3"/>
      <c r="P65" s="3"/>
      <c r="Q65" s="3"/>
      <c r="R65" s="3"/>
      <c r="S65" s="3"/>
    </row>
    <row r="66" spans="2:19" ht="24.95" customHeight="1" x14ac:dyDescent="0.2">
      <c r="B66" s="11" t="s">
        <v>118</v>
      </c>
    </row>
    <row r="67" spans="2:19" ht="24.95" customHeight="1" x14ac:dyDescent="0.2">
      <c r="B67" s="101" t="s">
        <v>22</v>
      </c>
      <c r="C67" s="46" t="s">
        <v>21</v>
      </c>
      <c r="D67" s="46"/>
      <c r="E67" s="46"/>
      <c r="F67" s="46"/>
      <c r="G67" s="46"/>
      <c r="H67" s="46"/>
      <c r="I67" s="46"/>
      <c r="J67" s="46"/>
      <c r="K67" s="46"/>
      <c r="L67" s="46"/>
      <c r="M67" s="101" t="s">
        <v>20</v>
      </c>
    </row>
    <row r="68" spans="2:19" ht="24.95" customHeight="1" x14ac:dyDescent="0.2">
      <c r="B68" s="102"/>
      <c r="C68" s="74" t="s">
        <v>19</v>
      </c>
      <c r="D68" s="74" t="s">
        <v>18</v>
      </c>
      <c r="E68" s="74" t="s">
        <v>17</v>
      </c>
      <c r="F68" s="74" t="s">
        <v>16</v>
      </c>
      <c r="G68" s="74" t="s">
        <v>15</v>
      </c>
      <c r="H68" s="74" t="s">
        <v>14</v>
      </c>
      <c r="I68" s="74" t="s">
        <v>13</v>
      </c>
      <c r="J68" s="74" t="s">
        <v>12</v>
      </c>
      <c r="K68" s="74" t="s">
        <v>11</v>
      </c>
      <c r="L68" s="74" t="s">
        <v>10</v>
      </c>
      <c r="M68" s="102"/>
    </row>
    <row r="69" spans="2:19" ht="24.95" customHeight="1" x14ac:dyDescent="0.2">
      <c r="B69" s="106" t="s">
        <v>9</v>
      </c>
      <c r="C69" s="103"/>
      <c r="D69" s="70"/>
      <c r="E69" s="70"/>
      <c r="F69" s="70"/>
      <c r="G69" s="70"/>
      <c r="H69" s="70"/>
      <c r="I69" s="70"/>
      <c r="J69" s="70"/>
      <c r="K69" s="70"/>
      <c r="L69" s="70"/>
      <c r="M69" s="35">
        <f t="shared" ref="M69:M80" si="0">SUM(C69+D69+E69+F69+G69+H69+I69+J69+K69+L69)</f>
        <v>0</v>
      </c>
    </row>
    <row r="70" spans="2:19" ht="24.95" customHeight="1" x14ac:dyDescent="0.2">
      <c r="B70" s="107" t="s">
        <v>8</v>
      </c>
      <c r="C70" s="103"/>
      <c r="D70" s="70"/>
      <c r="E70" s="70"/>
      <c r="F70" s="70"/>
      <c r="G70" s="70"/>
      <c r="H70" s="70"/>
      <c r="I70" s="70"/>
      <c r="J70" s="70"/>
      <c r="K70" s="70"/>
      <c r="L70" s="70"/>
      <c r="M70" s="35">
        <f t="shared" si="0"/>
        <v>0</v>
      </c>
    </row>
    <row r="71" spans="2:19" ht="24.95" customHeight="1" x14ac:dyDescent="0.2">
      <c r="B71" s="107" t="s">
        <v>7</v>
      </c>
      <c r="C71" s="103"/>
      <c r="D71" s="70"/>
      <c r="E71" s="70"/>
      <c r="F71" s="70"/>
      <c r="G71" s="70"/>
      <c r="H71" s="70"/>
      <c r="I71" s="70"/>
      <c r="J71" s="70"/>
      <c r="K71" s="70"/>
      <c r="L71" s="70"/>
      <c r="M71" s="35">
        <f t="shared" si="0"/>
        <v>0</v>
      </c>
    </row>
    <row r="72" spans="2:19" ht="24.95" customHeight="1" x14ac:dyDescent="0.2">
      <c r="B72" s="107" t="s">
        <v>6</v>
      </c>
      <c r="C72" s="103"/>
      <c r="D72" s="70"/>
      <c r="E72" s="70"/>
      <c r="F72" s="70"/>
      <c r="G72" s="70"/>
      <c r="H72" s="70"/>
      <c r="I72" s="70"/>
      <c r="J72" s="70"/>
      <c r="K72" s="70"/>
      <c r="L72" s="70"/>
      <c r="M72" s="35">
        <f t="shared" si="0"/>
        <v>0</v>
      </c>
    </row>
    <row r="73" spans="2:19" ht="24.95" customHeight="1" x14ac:dyDescent="0.2">
      <c r="B73" s="108" t="s">
        <v>5</v>
      </c>
      <c r="C73" s="103"/>
      <c r="D73" s="70">
        <f>L40</f>
        <v>0</v>
      </c>
      <c r="E73" s="103"/>
      <c r="F73" s="103"/>
      <c r="G73" s="103"/>
      <c r="H73" s="103"/>
      <c r="I73" s="103"/>
      <c r="J73" s="103"/>
      <c r="K73" s="103"/>
      <c r="L73" s="103"/>
      <c r="M73" s="35">
        <f t="shared" si="0"/>
        <v>0</v>
      </c>
    </row>
    <row r="74" spans="2:19" ht="24.95" customHeight="1" x14ac:dyDescent="0.2">
      <c r="B74" s="108" t="s">
        <v>4</v>
      </c>
      <c r="C74" s="103"/>
      <c r="D74" s="70">
        <f>L41</f>
        <v>0</v>
      </c>
      <c r="E74" s="103"/>
      <c r="F74" s="103"/>
      <c r="G74" s="103"/>
      <c r="H74" s="103"/>
      <c r="I74" s="103"/>
      <c r="J74" s="103"/>
      <c r="K74" s="103"/>
      <c r="L74" s="103"/>
      <c r="M74" s="35">
        <f t="shared" si="0"/>
        <v>0</v>
      </c>
    </row>
    <row r="75" spans="2:19" ht="24.95" customHeight="1" x14ac:dyDescent="0.2">
      <c r="B75" s="108" t="s">
        <v>3</v>
      </c>
      <c r="C75" s="103"/>
      <c r="D75" s="103"/>
      <c r="E75" s="70"/>
      <c r="F75" s="70"/>
      <c r="G75" s="70"/>
      <c r="H75" s="70"/>
      <c r="I75" s="70"/>
      <c r="J75" s="70"/>
      <c r="K75" s="70"/>
      <c r="L75" s="70"/>
      <c r="M75" s="35">
        <f t="shared" si="0"/>
        <v>0</v>
      </c>
    </row>
    <row r="76" spans="2:19" ht="24.95" customHeight="1" x14ac:dyDescent="0.2">
      <c r="B76" s="108" t="s">
        <v>2</v>
      </c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35">
        <f t="shared" si="0"/>
        <v>0</v>
      </c>
    </row>
    <row r="77" spans="2:19" ht="24.95" customHeight="1" x14ac:dyDescent="0.2">
      <c r="B77" s="109" t="s">
        <v>98</v>
      </c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35">
        <f t="shared" ref="M77" si="1">SUM(C77+D77+E77+F77+G77+H77+I77+J77+K77+L77)</f>
        <v>0</v>
      </c>
    </row>
    <row r="78" spans="2:19" ht="24.95" customHeight="1" x14ac:dyDescent="0.2">
      <c r="B78" s="109" t="s">
        <v>99</v>
      </c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35">
        <f t="shared" si="0"/>
        <v>0</v>
      </c>
    </row>
    <row r="79" spans="2:19" ht="24.95" customHeight="1" x14ac:dyDescent="0.2">
      <c r="B79" s="108" t="s">
        <v>1</v>
      </c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35">
        <f t="shared" si="0"/>
        <v>0</v>
      </c>
    </row>
    <row r="80" spans="2:19" ht="24.95" customHeight="1" x14ac:dyDescent="0.2">
      <c r="B80" s="99" t="s">
        <v>0</v>
      </c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35">
        <f t="shared" si="0"/>
        <v>0</v>
      </c>
    </row>
  </sheetData>
  <mergeCells count="55">
    <mergeCell ref="B18:C18"/>
    <mergeCell ref="B21:C21"/>
    <mergeCell ref="B20:C20"/>
    <mergeCell ref="B23:C23"/>
    <mergeCell ref="B27:C27"/>
    <mergeCell ref="I29:J29"/>
    <mergeCell ref="G21:H21"/>
    <mergeCell ref="G22:H22"/>
    <mergeCell ref="B30:C31"/>
    <mergeCell ref="B22:C22"/>
    <mergeCell ref="G23:H23"/>
    <mergeCell ref="B28:C28"/>
    <mergeCell ref="B29:C29"/>
    <mergeCell ref="B32:C32"/>
    <mergeCell ref="E10:E11"/>
    <mergeCell ref="B10:D10"/>
    <mergeCell ref="B9:E9"/>
    <mergeCell ref="G10:H10"/>
    <mergeCell ref="B15:C15"/>
    <mergeCell ref="B16:C16"/>
    <mergeCell ref="B17:C17"/>
    <mergeCell ref="G9:H9"/>
    <mergeCell ref="G11:G12"/>
    <mergeCell ref="G13:H13"/>
    <mergeCell ref="B14:D14"/>
    <mergeCell ref="G15:I15"/>
    <mergeCell ref="I27:J27"/>
    <mergeCell ref="I28:J28"/>
    <mergeCell ref="I30:J30"/>
    <mergeCell ref="B33:C34"/>
    <mergeCell ref="E33:F34"/>
    <mergeCell ref="J43:K43"/>
    <mergeCell ref="E44:G44"/>
    <mergeCell ref="J40:K40"/>
    <mergeCell ref="J41:K41"/>
    <mergeCell ref="J39:K39"/>
    <mergeCell ref="I32:J32"/>
    <mergeCell ref="H40:H41"/>
    <mergeCell ref="H42:H43"/>
    <mergeCell ref="E39:F39"/>
    <mergeCell ref="J42:K42"/>
    <mergeCell ref="M67:M68"/>
    <mergeCell ref="B44:C44"/>
    <mergeCell ref="C56:E56"/>
    <mergeCell ref="F49:F52"/>
    <mergeCell ref="D53:D54"/>
    <mergeCell ref="C51:C52"/>
    <mergeCell ref="C49:C50"/>
    <mergeCell ref="B49:B52"/>
    <mergeCell ref="B53:B54"/>
    <mergeCell ref="F53:F54"/>
    <mergeCell ref="C55:E55"/>
    <mergeCell ref="C67:L67"/>
    <mergeCell ref="B67:B68"/>
    <mergeCell ref="B48:C48"/>
  </mergeCells>
  <pageMargins left="0.23622047244094491" right="0.23622047244094491" top="0.74803149606299213" bottom="0.74803149606299213" header="0.31496062992125984" footer="0.31496062992125984"/>
  <pageSetup paperSize="9" scale="3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SINTAXIS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FRANK REYES HUERTA</dc:creator>
  <cp:lastModifiedBy>Red Valle del Mantaro Tecnologías de la Información</cp:lastModifiedBy>
  <dcterms:created xsi:type="dcterms:W3CDTF">2024-03-20T20:40:51Z</dcterms:created>
  <dcterms:modified xsi:type="dcterms:W3CDTF">2024-11-29T19:04:00Z</dcterms:modified>
</cp:coreProperties>
</file>