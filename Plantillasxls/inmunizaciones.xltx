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0" windowWidth="28800" windowHeight="12225"/>
  </bookViews>
  <sheets>
    <sheet name="Inmunizaciones" sheetId="6" r:id="rId1"/>
    <sheet name="Informe Operacional" sheetId="12" r:id="rId2"/>
    <sheet name="INF. OPER. 2019" sheetId="13" r:id="rId3"/>
  </sheets>
  <definedNames>
    <definedName name="_xlnm.Print_Area" localSheetId="2">'INF. OPER. 2019'!$A$1:$U$122</definedName>
    <definedName name="_xlnm.Print_Area" localSheetId="1">'Informe Operacional'!$B$1:$T$112</definedName>
  </definedNames>
  <calcPr calcId="145621"/>
  <fileRecoveryPr autoRecover="0"/>
</workbook>
</file>

<file path=xl/calcChain.xml><?xml version="1.0" encoding="utf-8"?>
<calcChain xmlns="http://schemas.openxmlformats.org/spreadsheetml/2006/main">
  <c r="R42" i="13" l="1"/>
  <c r="R41" i="13"/>
  <c r="T42" i="13"/>
  <c r="S42" i="13"/>
  <c r="T41" i="13"/>
  <c r="S41" i="13"/>
  <c r="T40" i="13"/>
  <c r="S40" i="13"/>
  <c r="R40" i="13"/>
  <c r="B5" i="13" l="1"/>
  <c r="B4" i="13"/>
  <c r="B3" i="13"/>
  <c r="T131" i="13" l="1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T118" i="13"/>
  <c r="L118" i="13" l="1"/>
  <c r="M118" i="13"/>
  <c r="K118" i="13"/>
  <c r="O118" i="13" l="1"/>
  <c r="O95" i="13"/>
  <c r="O94" i="13"/>
  <c r="O93" i="13"/>
  <c r="O89" i="13"/>
  <c r="P89" i="13"/>
  <c r="Q89" i="13"/>
  <c r="O90" i="13"/>
  <c r="P90" i="13"/>
  <c r="Q90" i="13"/>
  <c r="O91" i="13"/>
  <c r="P91" i="13"/>
  <c r="Q91" i="13"/>
  <c r="O92" i="13"/>
  <c r="P92" i="13"/>
  <c r="Q92" i="13"/>
  <c r="P88" i="13"/>
  <c r="Q88" i="13"/>
  <c r="O88" i="13"/>
  <c r="R93" i="13" l="1"/>
  <c r="S115" i="13" l="1"/>
  <c r="T115" i="13"/>
  <c r="R115" i="13"/>
  <c r="T113" i="13"/>
  <c r="R113" i="13"/>
  <c r="S113" i="13"/>
  <c r="S112" i="13"/>
  <c r="R112" i="13"/>
  <c r="T103" i="13" l="1"/>
  <c r="T104" i="13"/>
  <c r="T105" i="13"/>
  <c r="T106" i="13"/>
  <c r="T102" i="13"/>
  <c r="L115" i="13"/>
  <c r="M115" i="13"/>
  <c r="L116" i="13"/>
  <c r="M116" i="13"/>
  <c r="K116" i="13"/>
  <c r="K115" i="13"/>
  <c r="L93" i="13"/>
  <c r="L95" i="13"/>
  <c r="L96" i="13"/>
  <c r="L97" i="13"/>
  <c r="L98" i="13"/>
  <c r="L99" i="13"/>
  <c r="L100" i="13"/>
  <c r="L101" i="13"/>
  <c r="L94" i="13"/>
  <c r="L90" i="13"/>
  <c r="L91" i="13"/>
  <c r="L92" i="13"/>
  <c r="L89" i="13"/>
  <c r="N119" i="13"/>
  <c r="L119" i="13"/>
  <c r="M119" i="13"/>
  <c r="K119" i="13"/>
  <c r="L117" i="13"/>
  <c r="M117" i="13"/>
  <c r="K117" i="13"/>
  <c r="K114" i="13"/>
  <c r="L114" i="13"/>
  <c r="M114" i="13"/>
  <c r="L109" i="13"/>
  <c r="M109" i="13"/>
  <c r="L110" i="13"/>
  <c r="M110" i="13"/>
  <c r="L111" i="13"/>
  <c r="M111" i="13"/>
  <c r="L112" i="13"/>
  <c r="M112" i="13"/>
  <c r="L113" i="13"/>
  <c r="M113" i="13"/>
  <c r="K110" i="13"/>
  <c r="K111" i="13"/>
  <c r="K112" i="13"/>
  <c r="K113" i="13"/>
  <c r="K109" i="13"/>
  <c r="P105" i="13"/>
  <c r="P102" i="13"/>
  <c r="P103" i="13"/>
  <c r="P104" i="13"/>
  <c r="P101" i="13"/>
  <c r="F116" i="13"/>
  <c r="F115" i="13"/>
  <c r="F117" i="13"/>
  <c r="F113" i="13"/>
  <c r="F114" i="13"/>
  <c r="F112" i="13"/>
  <c r="F110" i="13"/>
  <c r="F106" i="13"/>
  <c r="F107" i="13"/>
  <c r="F108" i="13"/>
  <c r="F109" i="13"/>
  <c r="F104" i="13"/>
  <c r="F105" i="13"/>
  <c r="F103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89" i="13"/>
  <c r="O117" i="13" l="1"/>
  <c r="O112" i="13"/>
  <c r="O115" i="13"/>
  <c r="O114" i="13"/>
  <c r="O119" i="13"/>
  <c r="O113" i="13"/>
  <c r="O111" i="13"/>
  <c r="O116" i="13"/>
  <c r="O109" i="13"/>
  <c r="O110" i="13"/>
  <c r="R80" i="13"/>
  <c r="R81" i="13"/>
  <c r="R82" i="13"/>
  <c r="R79" i="13"/>
  <c r="P69" i="13"/>
  <c r="Q69" i="13"/>
  <c r="P70" i="13"/>
  <c r="Q70" i="13"/>
  <c r="P71" i="13"/>
  <c r="Q71" i="13"/>
  <c r="P72" i="13"/>
  <c r="Q72" i="13"/>
  <c r="P73" i="13"/>
  <c r="Q73" i="13"/>
  <c r="P74" i="13"/>
  <c r="Q74" i="13"/>
  <c r="O70" i="13"/>
  <c r="O71" i="13"/>
  <c r="O72" i="13"/>
  <c r="O73" i="13"/>
  <c r="O74" i="13"/>
  <c r="O69" i="13"/>
  <c r="P79" i="13"/>
  <c r="Q79" i="13"/>
  <c r="P80" i="13"/>
  <c r="Q80" i="13"/>
  <c r="P81" i="13"/>
  <c r="Q81" i="13"/>
  <c r="P82" i="13"/>
  <c r="Q82" i="13"/>
  <c r="O80" i="13"/>
  <c r="O81" i="13"/>
  <c r="O82" i="13"/>
  <c r="O79" i="13"/>
  <c r="G79" i="13"/>
  <c r="J79" i="13" s="1"/>
  <c r="H80" i="13"/>
  <c r="G80" i="13"/>
  <c r="H83" i="13"/>
  <c r="H82" i="13"/>
  <c r="G81" i="13"/>
  <c r="J81" i="13" s="1"/>
  <c r="G78" i="13"/>
  <c r="H75" i="13"/>
  <c r="H76" i="13"/>
  <c r="H77" i="13"/>
  <c r="H78" i="13"/>
  <c r="G74" i="13"/>
  <c r="H74" i="13"/>
  <c r="I74" i="13"/>
  <c r="I75" i="13"/>
  <c r="I76" i="13"/>
  <c r="I77" i="13"/>
  <c r="I73" i="13"/>
  <c r="H72" i="13"/>
  <c r="G69" i="13"/>
  <c r="J69" i="13" s="1"/>
  <c r="G70" i="13"/>
  <c r="G71" i="13"/>
  <c r="G72" i="13"/>
  <c r="G68" i="13"/>
  <c r="J80" i="13" l="1"/>
  <c r="N61" i="13"/>
  <c r="G61" i="13"/>
  <c r="H62" i="13"/>
  <c r="G62" i="13"/>
  <c r="O62" i="13"/>
  <c r="N62" i="13"/>
  <c r="G52" i="13"/>
  <c r="J52" i="13" s="1"/>
  <c r="N63" i="13"/>
  <c r="N60" i="13"/>
  <c r="O57" i="13"/>
  <c r="O58" i="13"/>
  <c r="O59" i="13"/>
  <c r="O60" i="13"/>
  <c r="N56" i="13"/>
  <c r="O56" i="13"/>
  <c r="P56" i="13"/>
  <c r="P57" i="13"/>
  <c r="P58" i="13"/>
  <c r="P59" i="13"/>
  <c r="P55" i="13"/>
  <c r="O54" i="13"/>
  <c r="N54" i="13"/>
  <c r="N53" i="13"/>
  <c r="N50" i="13"/>
  <c r="Q50" i="13" s="1"/>
  <c r="N51" i="13"/>
  <c r="N49" i="13"/>
  <c r="G63" i="13"/>
  <c r="H60" i="13"/>
  <c r="G60" i="13"/>
  <c r="H57" i="13"/>
  <c r="H58" i="13"/>
  <c r="H59" i="13"/>
  <c r="G56" i="13"/>
  <c r="H56" i="13"/>
  <c r="I56" i="13"/>
  <c r="I57" i="13"/>
  <c r="I58" i="13"/>
  <c r="I59" i="13"/>
  <c r="I55" i="13"/>
  <c r="H54" i="13"/>
  <c r="G54" i="13"/>
  <c r="G53" i="13"/>
  <c r="G50" i="13"/>
  <c r="J50" i="13" s="1"/>
  <c r="G51" i="13"/>
  <c r="G49" i="13"/>
  <c r="J62" i="13" l="1"/>
  <c r="Q62" i="13"/>
  <c r="H30" i="13"/>
  <c r="I37" i="13"/>
  <c r="H37" i="13"/>
  <c r="K37" i="13" l="1"/>
  <c r="I36" i="13"/>
  <c r="H36" i="13"/>
  <c r="H44" i="13"/>
  <c r="I42" i="13"/>
  <c r="J42" i="13"/>
  <c r="I43" i="13"/>
  <c r="J43" i="13"/>
  <c r="J41" i="13"/>
  <c r="I41" i="13"/>
  <c r="I40" i="13"/>
  <c r="J40" i="13"/>
  <c r="H40" i="13"/>
  <c r="J39" i="13"/>
  <c r="I38" i="13"/>
  <c r="H38" i="13"/>
  <c r="H35" i="13"/>
  <c r="H34" i="13"/>
  <c r="I33" i="13"/>
  <c r="K33" i="13" s="1"/>
  <c r="H32" i="13"/>
  <c r="K38" i="13" l="1"/>
  <c r="K36" i="13"/>
  <c r="H31" i="13"/>
  <c r="H29" i="13"/>
  <c r="J28" i="13"/>
  <c r="J23" i="13" l="1"/>
  <c r="H20" i="13"/>
  <c r="H21" i="13"/>
  <c r="H22" i="13"/>
  <c r="H23" i="13"/>
  <c r="I17" i="13"/>
  <c r="I18" i="13"/>
  <c r="I19" i="13"/>
  <c r="I20" i="13"/>
  <c r="I21" i="13"/>
  <c r="I22" i="13"/>
  <c r="I23" i="13"/>
  <c r="H16" i="13"/>
  <c r="I16" i="13"/>
  <c r="J16" i="13"/>
  <c r="J17" i="13"/>
  <c r="J18" i="13"/>
  <c r="J19" i="13"/>
  <c r="J15" i="13"/>
  <c r="K15" i="13" s="1"/>
  <c r="I14" i="13"/>
  <c r="H10" i="13"/>
  <c r="K10" i="13" s="1"/>
  <c r="H11" i="13"/>
  <c r="K11" i="13" s="1"/>
  <c r="H12" i="13"/>
  <c r="K12" i="13" s="1"/>
  <c r="H13" i="13"/>
  <c r="K13" i="13" s="1"/>
  <c r="H14" i="13"/>
  <c r="H9" i="13"/>
  <c r="K9" i="13" s="1"/>
  <c r="R92" i="13"/>
  <c r="R91" i="13"/>
  <c r="R90" i="13"/>
  <c r="R89" i="13"/>
  <c r="R88" i="13"/>
  <c r="J83" i="13"/>
  <c r="J82" i="13"/>
  <c r="J78" i="13"/>
  <c r="J77" i="13"/>
  <c r="J76" i="13"/>
  <c r="J75" i="13"/>
  <c r="R74" i="13"/>
  <c r="J74" i="13"/>
  <c r="R73" i="13"/>
  <c r="J73" i="13"/>
  <c r="R72" i="13"/>
  <c r="J72" i="13"/>
  <c r="R71" i="13"/>
  <c r="J71" i="13"/>
  <c r="R70" i="13"/>
  <c r="J70" i="13"/>
  <c r="R69" i="13"/>
  <c r="J68" i="13"/>
  <c r="Q63" i="13"/>
  <c r="J63" i="13"/>
  <c r="Q61" i="13"/>
  <c r="J61" i="13"/>
  <c r="Q60" i="13"/>
  <c r="J60" i="13"/>
  <c r="Q59" i="13"/>
  <c r="J59" i="13"/>
  <c r="Q58" i="13"/>
  <c r="J58" i="13"/>
  <c r="Q57" i="13"/>
  <c r="J57" i="13"/>
  <c r="Q56" i="13"/>
  <c r="J56" i="13"/>
  <c r="Q55" i="13"/>
  <c r="J55" i="13"/>
  <c r="Q54" i="13"/>
  <c r="J54" i="13"/>
  <c r="Q53" i="13"/>
  <c r="J53" i="13"/>
  <c r="Q51" i="13"/>
  <c r="J51" i="13"/>
  <c r="Q49" i="13"/>
  <c r="J49" i="13"/>
  <c r="K44" i="13"/>
  <c r="K43" i="13"/>
  <c r="K42" i="13"/>
  <c r="K41" i="13"/>
  <c r="K40" i="13"/>
  <c r="K39" i="13"/>
  <c r="K35" i="13"/>
  <c r="K34" i="13"/>
  <c r="K32" i="13"/>
  <c r="K31" i="13"/>
  <c r="K30" i="13"/>
  <c r="K29" i="13"/>
  <c r="K28" i="13"/>
  <c r="K17" i="13" l="1"/>
  <c r="K22" i="13"/>
  <c r="K21" i="13"/>
  <c r="K14" i="13"/>
  <c r="K18" i="13"/>
  <c r="K16" i="13"/>
  <c r="K20" i="13"/>
  <c r="K19" i="13"/>
  <c r="K23" i="13"/>
  <c r="R110" i="12"/>
  <c r="Q110" i="12"/>
  <c r="P110" i="12"/>
  <c r="R100" i="12"/>
  <c r="R99" i="12"/>
  <c r="R98" i="12"/>
  <c r="R97" i="12"/>
  <c r="M110" i="12"/>
  <c r="L110" i="12"/>
  <c r="K110" i="12"/>
  <c r="M109" i="12"/>
  <c r="L109" i="12"/>
  <c r="K109" i="12"/>
  <c r="M108" i="12"/>
  <c r="L108" i="12"/>
  <c r="K108" i="12"/>
  <c r="M107" i="12"/>
  <c r="L107" i="12"/>
  <c r="K107" i="12"/>
  <c r="M106" i="12"/>
  <c r="L106" i="12"/>
  <c r="K106" i="12"/>
  <c r="M105" i="12"/>
  <c r="L105" i="12"/>
  <c r="K105" i="12"/>
  <c r="M104" i="12"/>
  <c r="L104" i="12"/>
  <c r="K104" i="12"/>
  <c r="O90" i="12"/>
  <c r="O89" i="12"/>
  <c r="O88" i="12"/>
  <c r="Q87" i="12"/>
  <c r="P87" i="12"/>
  <c r="O87" i="12"/>
  <c r="Q86" i="12"/>
  <c r="P86" i="12"/>
  <c r="O86" i="12"/>
  <c r="Q85" i="12"/>
  <c r="P85" i="12"/>
  <c r="O85" i="12"/>
  <c r="Q84" i="12"/>
  <c r="P84" i="12"/>
  <c r="O84" i="12"/>
  <c r="Q83" i="12"/>
  <c r="P83" i="12"/>
  <c r="O83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Q78" i="12"/>
  <c r="P78" i="12"/>
  <c r="O78" i="12"/>
  <c r="Q77" i="12"/>
  <c r="P77" i="12"/>
  <c r="O77" i="12"/>
  <c r="Q76" i="12"/>
  <c r="P76" i="12"/>
  <c r="O76" i="12"/>
  <c r="Q75" i="12"/>
  <c r="P75" i="12"/>
  <c r="O75" i="12"/>
  <c r="Q74" i="12"/>
  <c r="P74" i="12"/>
  <c r="O74" i="12"/>
  <c r="Q73" i="12"/>
  <c r="P73" i="12"/>
  <c r="O73" i="12"/>
  <c r="Q69" i="12"/>
  <c r="P69" i="12"/>
  <c r="O69" i="12"/>
  <c r="Q68" i="12"/>
  <c r="P68" i="12"/>
  <c r="O68" i="12"/>
  <c r="Q67" i="12"/>
  <c r="P67" i="12"/>
  <c r="O67" i="12"/>
  <c r="Q66" i="12"/>
  <c r="P66" i="12"/>
  <c r="O66" i="12"/>
  <c r="H78" i="12"/>
  <c r="H77" i="12"/>
  <c r="G76" i="12"/>
  <c r="H75" i="12"/>
  <c r="G75" i="12"/>
  <c r="I74" i="12"/>
  <c r="H74" i="12"/>
  <c r="I73" i="12"/>
  <c r="H73" i="12"/>
  <c r="I72" i="12"/>
  <c r="H72" i="12"/>
  <c r="I71" i="12"/>
  <c r="H71" i="12"/>
  <c r="G71" i="12"/>
  <c r="I70" i="12"/>
  <c r="H69" i="12"/>
  <c r="G69" i="12"/>
  <c r="G68" i="12"/>
  <c r="G67" i="12"/>
  <c r="G66" i="12"/>
  <c r="J66" i="12" s="1"/>
  <c r="G65" i="12"/>
  <c r="N60" i="12"/>
  <c r="O59" i="12"/>
  <c r="N59" i="12"/>
  <c r="P58" i="12"/>
  <c r="O58" i="12"/>
  <c r="P57" i="12"/>
  <c r="O57" i="12"/>
  <c r="P56" i="12"/>
  <c r="O56" i="12"/>
  <c r="P55" i="12"/>
  <c r="O55" i="12"/>
  <c r="N55" i="12"/>
  <c r="P54" i="12"/>
  <c r="O53" i="12"/>
  <c r="N53" i="12"/>
  <c r="N52" i="12"/>
  <c r="N51" i="12"/>
  <c r="N50" i="12"/>
  <c r="Q50" i="12" s="1"/>
  <c r="N49" i="12"/>
  <c r="G60" i="12"/>
  <c r="H59" i="12"/>
  <c r="G59" i="12"/>
  <c r="I58" i="12"/>
  <c r="H58" i="12"/>
  <c r="I57" i="12"/>
  <c r="H57" i="12"/>
  <c r="I56" i="12"/>
  <c r="H56" i="12"/>
  <c r="I55" i="12"/>
  <c r="H55" i="12"/>
  <c r="G55" i="12"/>
  <c r="I54" i="12"/>
  <c r="H53" i="12"/>
  <c r="G53" i="12"/>
  <c r="G52" i="12"/>
  <c r="G51" i="12"/>
  <c r="G50" i="12"/>
  <c r="J50" i="12" s="1"/>
  <c r="G49" i="12"/>
  <c r="H44" i="12"/>
  <c r="J43" i="12"/>
  <c r="I43" i="12"/>
  <c r="J42" i="12"/>
  <c r="I42" i="12"/>
  <c r="J41" i="12"/>
  <c r="I41" i="12"/>
  <c r="J40" i="12"/>
  <c r="I40" i="12"/>
  <c r="H40" i="12"/>
  <c r="J39" i="12"/>
  <c r="I38" i="12"/>
  <c r="H38" i="12"/>
  <c r="H37" i="12"/>
  <c r="H36" i="12"/>
  <c r="I35" i="12"/>
  <c r="H34" i="12"/>
  <c r="I33" i="12"/>
  <c r="H33" i="12"/>
  <c r="H32" i="12"/>
  <c r="I31" i="12"/>
  <c r="H31" i="12"/>
  <c r="H30" i="12"/>
  <c r="J29" i="12"/>
  <c r="J24" i="12"/>
  <c r="I24" i="12"/>
  <c r="H24" i="12"/>
  <c r="I23" i="12"/>
  <c r="H23" i="12"/>
  <c r="I22" i="12"/>
  <c r="H22" i="12"/>
  <c r="I21" i="12"/>
  <c r="H21" i="12"/>
  <c r="J20" i="12"/>
  <c r="I20" i="12"/>
  <c r="J19" i="12"/>
  <c r="I19" i="12"/>
  <c r="J18" i="12"/>
  <c r="I18" i="12"/>
  <c r="J17" i="12"/>
  <c r="I17" i="12"/>
  <c r="H17" i="12"/>
  <c r="J16" i="12"/>
  <c r="I15" i="12"/>
  <c r="H15" i="12"/>
  <c r="H14" i="12"/>
  <c r="H13" i="12"/>
  <c r="H12" i="12"/>
  <c r="H11" i="12"/>
  <c r="H10" i="12"/>
  <c r="N110" i="12" l="1"/>
  <c r="N109" i="12"/>
  <c r="N108" i="12"/>
  <c r="N107" i="12"/>
  <c r="N106" i="12"/>
  <c r="N105" i="12"/>
  <c r="N104" i="12"/>
  <c r="R87" i="12"/>
  <c r="R86" i="12"/>
  <c r="R85" i="12"/>
  <c r="R84" i="12"/>
  <c r="R83" i="12"/>
  <c r="R78" i="12"/>
  <c r="J78" i="12"/>
  <c r="R77" i="12"/>
  <c r="J77" i="12"/>
  <c r="R76" i="12"/>
  <c r="J76" i="12"/>
  <c r="R75" i="12"/>
  <c r="J75" i="12"/>
  <c r="R74" i="12"/>
  <c r="J74" i="12"/>
  <c r="R73" i="12"/>
  <c r="J73" i="12"/>
  <c r="J72" i="12"/>
  <c r="J71" i="12"/>
  <c r="J70" i="12"/>
  <c r="R69" i="12"/>
  <c r="J69" i="12"/>
  <c r="R68" i="12"/>
  <c r="J68" i="12"/>
  <c r="R67" i="12"/>
  <c r="J67" i="12"/>
  <c r="R66" i="12"/>
  <c r="J65" i="12"/>
  <c r="Q60" i="12"/>
  <c r="J60" i="12"/>
  <c r="Q59" i="12"/>
  <c r="J59" i="12"/>
  <c r="Q58" i="12"/>
  <c r="J58" i="12"/>
  <c r="Q57" i="12"/>
  <c r="J57" i="12"/>
  <c r="Q56" i="12"/>
  <c r="J56" i="12"/>
  <c r="Q55" i="12"/>
  <c r="J55" i="12"/>
  <c r="Q54" i="12"/>
  <c r="J54" i="12"/>
  <c r="Q53" i="12"/>
  <c r="J53" i="12"/>
  <c r="Q52" i="12"/>
  <c r="J52" i="12"/>
  <c r="Q51" i="12"/>
  <c r="J51" i="12"/>
  <c r="Q49" i="12"/>
  <c r="J49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</calcChain>
</file>

<file path=xl/comments1.xml><?xml version="1.0" encoding="utf-8"?>
<comments xmlns="http://schemas.openxmlformats.org/spreadsheetml/2006/main">
  <authors>
    <author>MIRIAM JANET ANCO CONCEPCION</author>
  </authors>
  <commentList>
    <comment ref="F107" authorId="0">
      <text>
        <r>
          <rPr>
            <sz val="9"/>
            <color indexed="81"/>
            <rFont val="Tahoma"/>
            <family val="2"/>
          </rPr>
          <t>RS  =Riesgo Sanitario (friaje)
RSA=Riesgo Sanitario Alto (heladas)
RMA =Riesgo sanitario Muy Alto</t>
        </r>
      </text>
    </comment>
    <comment ref="H110" authorId="0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comments2.xml><?xml version="1.0" encoding="utf-8"?>
<comments xmlns="http://schemas.openxmlformats.org/spreadsheetml/2006/main">
  <authors>
    <author>MIRIAM JANET ANCO CONCEPCION</author>
  </authors>
  <commentList>
    <comment ref="H117" authorId="0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sharedStrings.xml><?xml version="1.0" encoding="utf-8"?>
<sst xmlns="http://schemas.openxmlformats.org/spreadsheetml/2006/main" count="1247" uniqueCount="407">
  <si>
    <t>1ra. dósis</t>
  </si>
  <si>
    <t>2da. dósis</t>
  </si>
  <si>
    <t>3ra. dósis</t>
  </si>
  <si>
    <t>4ta. dósis</t>
  </si>
  <si>
    <t>5ta. dósis</t>
  </si>
  <si>
    <t>EDAD</t>
  </si>
  <si>
    <t>BCG</t>
  </si>
  <si>
    <t>Antipolio</t>
  </si>
  <si>
    <t>2da.dósis</t>
  </si>
  <si>
    <t>1ra.dósis</t>
  </si>
  <si>
    <t>Total</t>
  </si>
  <si>
    <t>Nº</t>
  </si>
  <si>
    <t>Vacuna Antiamarilica</t>
  </si>
  <si>
    <t>DOSIS APLICADAS</t>
  </si>
  <si>
    <t>Actividad</t>
  </si>
  <si>
    <t xml:space="preserve">Supervisión Integral </t>
  </si>
  <si>
    <t>Asistencia Técnica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</si>
  <si>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</si>
  <si>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</si>
  <si>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</si>
  <si>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</si>
  <si>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</si>
  <si>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</si>
  <si>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</si>
  <si>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</si>
  <si>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</si>
  <si>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</si>
  <si>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</si>
  <si>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</si>
  <si>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</si>
  <si>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</si>
  <si>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</si>
  <si>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</si>
  <si>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</si>
  <si>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Reporte D: Vacuna DT en M.E.F. NO GESTANTE</t>
  </si>
  <si>
    <t>Reporte E: Vacuna DT en M.E.F. GESTANTE</t>
  </si>
  <si>
    <t>Reporte F: Vacuna contra la Hepatitis B HVB</t>
  </si>
  <si>
    <t xml:space="preserve">Reporte J: Otras Actividades 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</si>
  <si>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</si>
  <si>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</si>
  <si>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</si>
  <si>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</si>
  <si>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</si>
  <si>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</si>
  <si>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</si>
  <si>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</si>
  <si>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</si>
  <si>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</si>
  <si>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</si>
  <si>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</si>
  <si>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Reporte I: Vacunas DT en Varones</t>
  </si>
  <si>
    <t>Antihepatitis Viral B (HVB)</t>
  </si>
  <si>
    <t>U1051</t>
  </si>
  <si>
    <t>U1052</t>
  </si>
  <si>
    <t>Niños de 2 años</t>
  </si>
  <si>
    <t>Niños de 3 años</t>
  </si>
  <si>
    <t>Niños de 4 años</t>
  </si>
  <si>
    <t>24 Horas</t>
  </si>
  <si>
    <t>28 Días</t>
  </si>
  <si>
    <t>Fuera de Periodo</t>
  </si>
  <si>
    <t>Reporte B: Vacuna Administrada en niños de 1 año</t>
  </si>
  <si>
    <t>Reporte C: Vacuna Administrada en Niños de 2 - 4 años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</si>
  <si>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</si>
  <si>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</si>
  <si>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</si>
  <si>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</si>
  <si>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</si>
  <si>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</si>
  <si>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</si>
  <si>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</si>
  <si>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</si>
  <si>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</si>
  <si>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</si>
  <si>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</si>
  <si>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Reporte G: Vacunas Antiamarílica (Población No Vacunada o que viaja a Zona Endémica)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</si>
  <si>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</si>
  <si>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</si>
  <si>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</si>
  <si>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</si>
  <si>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</si>
  <si>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</si>
  <si>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</si>
  <si>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</si>
  <si>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</si>
  <si>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</si>
  <si>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</si>
  <si>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</si>
  <si>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</si>
  <si>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</si>
  <si>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</si>
  <si>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</si>
  <si>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</si>
  <si>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</si>
  <si>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</si>
  <si>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</si>
  <si>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</si>
  <si>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</si>
  <si>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</si>
  <si>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</si>
  <si>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</si>
  <si>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Reporte A: Vacuna Administrada en Menores de 1 año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</si>
  <si>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</si>
  <si>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</si>
  <si>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</si>
  <si>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</si>
  <si>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</si>
  <si>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</si>
  <si>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</si>
  <si>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</si>
  <si>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</si>
  <si>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</si>
  <si>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</si>
  <si>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</si>
  <si>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</si>
  <si>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</si>
  <si>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Ref APO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</si>
  <si>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</si>
  <si>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</si>
  <si>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</si>
  <si>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</si>
  <si>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</si>
  <si>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</si>
  <si>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</si>
  <si>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</si>
  <si>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</si>
  <si>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</si>
  <si>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</si>
  <si>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</si>
  <si>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</si>
  <si>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Reporte M: Sarampion - Rubeola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</si>
  <si>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</si>
  <si>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</si>
  <si>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</si>
  <si>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</si>
  <si>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</si>
  <si>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</si>
  <si>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</si>
  <si>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</si>
  <si>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</si>
  <si>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</si>
  <si>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No completaron su esquema o no fueron vacunados</t>
  </si>
  <si>
    <t>12 a 23 M</t>
  </si>
  <si>
    <t>Neumococo (Solo No vacunad anteriorm.)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</si>
  <si>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</si>
  <si>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</si>
  <si>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</si>
  <si>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</si>
  <si>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</si>
  <si>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</si>
  <si>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</si>
  <si>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</si>
  <si>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</si>
  <si>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</si>
  <si>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</si>
  <si>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30 - 49a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</si>
  <si>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</si>
  <si>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</si>
  <si>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</si>
  <si>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</si>
  <si>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</si>
  <si>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</si>
  <si>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</si>
  <si>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</si>
  <si>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</si>
  <si>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</si>
  <si>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</si>
  <si>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</si>
  <si>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</si>
  <si>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 xml:space="preserve">Población no Vacunada y Persona que </t>
  </si>
  <si>
    <t>viaja a zonas endémicas)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</si>
  <si>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</si>
  <si>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</si>
  <si>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</si>
  <si>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</si>
  <si>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</si>
  <si>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</si>
  <si>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</si>
  <si>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</si>
  <si>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</si>
  <si>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</si>
  <si>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</si>
  <si>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</si>
  <si>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</si>
  <si>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Cantidad</t>
  </si>
  <si>
    <t>Grupo / Lugar</t>
  </si>
  <si>
    <t>SESION DEMOSTRATIVA</t>
  </si>
  <si>
    <t>SESION EDUCATIVA</t>
  </si>
  <si>
    <t>CAPACITACION</t>
  </si>
  <si>
    <t>Familia y Vivienda</t>
  </si>
  <si>
    <t>Actividades con Niños</t>
  </si>
  <si>
    <t>APP136</t>
  </si>
  <si>
    <t>APP140</t>
  </si>
  <si>
    <t>APP141</t>
  </si>
  <si>
    <t>Actividades con Adolescentes</t>
  </si>
  <si>
    <t>Actividades con Adultos</t>
  </si>
  <si>
    <t>Actividades con Adulto Mayor</t>
  </si>
  <si>
    <t>Actividades con Padres</t>
  </si>
  <si>
    <t>Actividades con Mujeres</t>
  </si>
  <si>
    <t>Actividades con Gestantes</t>
  </si>
  <si>
    <t>Actividades con Puérperas</t>
  </si>
  <si>
    <t>APP142</t>
  </si>
  <si>
    <t>APP143</t>
  </si>
  <si>
    <t>APP146</t>
  </si>
  <si>
    <t>APP151</t>
  </si>
  <si>
    <t>APP152</t>
  </si>
  <si>
    <t>APP153</t>
  </si>
  <si>
    <t>Establecimiento de Salud</t>
  </si>
  <si>
    <t>Agente Comunitario en Salud</t>
  </si>
  <si>
    <t>Actividades con Docentes</t>
  </si>
  <si>
    <t>Actividades con Alumnos</t>
  </si>
  <si>
    <t>Trabajadores en general</t>
  </si>
  <si>
    <t>Reporte X: Actividades Preventivos Promocionales</t>
  </si>
  <si>
    <t>Reporte Y: Vacuna Anti-Polio</t>
  </si>
  <si>
    <t>Reporte H: Vacuna Influenza</t>
  </si>
  <si>
    <t>50 - 59 años</t>
  </si>
  <si>
    <t>Mayores de 60 años</t>
  </si>
  <si>
    <t>Reporte V: Vacuna Neumococo (Módulo Inmunizaciones)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</si>
  <si>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</si>
  <si>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</si>
  <si>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</si>
  <si>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</si>
  <si>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</si>
  <si>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</si>
  <si>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</si>
  <si>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</si>
  <si>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</si>
  <si>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</si>
  <si>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</si>
  <si>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</si>
  <si>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</si>
  <si>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</si>
  <si>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</si>
  <si>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</si>
  <si>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</si>
  <si>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</si>
  <si>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</si>
  <si>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</si>
  <si>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</si>
  <si>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</si>
  <si>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</si>
  <si>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</si>
  <si>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</si>
  <si>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</si>
  <si>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</si>
  <si>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</si>
  <si>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</si>
  <si>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</si>
  <si>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</si>
  <si>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</si>
  <si>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</si>
  <si>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</si>
  <si>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</si>
  <si>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</si>
  <si>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</si>
  <si>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</si>
  <si>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</si>
  <si>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</si>
  <si>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</si>
  <si>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</si>
  <si>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</si>
  <si>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 xml:space="preserve">Periodo : </t>
  </si>
  <si>
    <t>DIRESA / RED / M. Red / EE.SS :</t>
  </si>
  <si>
    <t>01 Año</t>
  </si>
  <si>
    <t>Dosis única</t>
  </si>
  <si>
    <t>1er.</t>
  </si>
  <si>
    <t>Influenza sin Comorbilidad</t>
  </si>
  <si>
    <t>2do.</t>
  </si>
  <si>
    <t>50 - 59a</t>
  </si>
  <si>
    <t>60 - +</t>
  </si>
  <si>
    <t>Grupos de Edad</t>
  </si>
  <si>
    <t>CON 
Comorbilidad</t>
  </si>
  <si>
    <t>60 a + años</t>
  </si>
  <si>
    <t>50 a 59 años</t>
  </si>
  <si>
    <t xml:space="preserve"> Personal de Salud</t>
  </si>
  <si>
    <t>Personas c/esquema completo  DPT o dT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</si>
  <si>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</si>
  <si>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</si>
  <si>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</si>
  <si>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</si>
  <si>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</si>
  <si>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</si>
  <si>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</si>
  <si>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</si>
  <si>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</si>
  <si>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Fenomeno del Niño</t>
  </si>
  <si>
    <t>Policia Nacional</t>
  </si>
  <si>
    <t xml:space="preserve">K.-  ANTIAMARILICA (Población </t>
  </si>
  <si>
    <t>Bombe-ros</t>
  </si>
  <si>
    <t>Estudiant Ciencia S.</t>
  </si>
  <si>
    <t>N.- Antipolio Oral</t>
  </si>
  <si>
    <t>Población que viaja a zonas endémicas de polio salvaje</t>
  </si>
  <si>
    <t>5 años a más</t>
  </si>
  <si>
    <t>H1.- GESTANTES</t>
  </si>
  <si>
    <t>H2.- NO GESTANTES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</si>
  <si>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</si>
  <si>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</si>
  <si>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</si>
  <si>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</si>
  <si>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</si>
  <si>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</si>
  <si>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</si>
  <si>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</si>
  <si>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60a - +</t>
  </si>
  <si>
    <t>H2.- GESTANTES (TDAP)</t>
  </si>
  <si>
    <t>dT</t>
  </si>
  <si>
    <t>Unica</t>
  </si>
  <si>
    <t>Varicela (Contacto  C. índice)</t>
  </si>
  <si>
    <t>50 - 60a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</si>
  <si>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</si>
  <si>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</si>
  <si>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</si>
  <si>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</si>
  <si>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</si>
  <si>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</si>
  <si>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</si>
  <si>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</si>
  <si>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</si>
  <si>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</si>
  <si>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</si>
  <si>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</si>
  <si>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</si>
  <si>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</si>
  <si>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</si>
  <si>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</si>
  <si>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</si>
  <si>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</si>
  <si>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</si>
  <si>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</si>
  <si>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</si>
  <si>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</si>
  <si>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varicela contacto C/indice</t>
  </si>
  <si>
    <t>60 a mas años</t>
  </si>
  <si>
    <t>VIH</t>
  </si>
  <si>
    <t>50 a mas años</t>
  </si>
  <si>
    <t>Reporte O: Varicela - Población susceptible (contacto caso índice)</t>
  </si>
  <si>
    <t>GRUPOS DE EDAD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</si>
  <si>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- 90702</t>
    </r>
  </si>
  <si>
    <r>
      <rPr>
        <sz val="8"/>
        <color theme="0" tint="-0.34998626667073579"/>
        <rFont val="Tahoma"/>
        <family val="2"/>
      </rPr>
      <t>Z251</t>
    </r>
    <r>
      <rPr>
        <sz val="8"/>
        <color rgb="FF0066FF"/>
        <rFont val="Tahoma"/>
        <family val="2"/>
      </rPr>
      <t xml:space="preserve"> - 90648</t>
    </r>
  </si>
  <si>
    <r>
      <rPr>
        <sz val="8"/>
        <color theme="4" tint="0.39997558519241921"/>
        <rFont val="Tahoma"/>
        <family val="2"/>
      </rPr>
      <t>90669,</t>
    </r>
    <r>
      <rPr>
        <sz val="8"/>
        <color rgb="FF0066FF"/>
        <rFont val="Tahoma"/>
        <family val="2"/>
      </rPr>
      <t xml:space="preserve"> 90670</t>
    </r>
  </si>
  <si>
    <t>90657-90658(3a+años)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</si>
  <si>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- 90714</t>
    </r>
  </si>
  <si>
    <t>90746</t>
  </si>
  <si>
    <t>OM</t>
  </si>
  <si>
    <t>Reporte K: Vacunacion de la Hepatitis B, dosis adulta de usos intramuscular (esquema de 3 dosis 16-59 años)</t>
  </si>
  <si>
    <t>TIPO DE VACUNA</t>
  </si>
  <si>
    <r>
      <rPr>
        <sz val="8"/>
        <color theme="2" tint="-0.499984740745262"/>
        <rFont val="Tahoma"/>
        <family val="2"/>
      </rPr>
      <t>90657</t>
    </r>
    <r>
      <rPr>
        <sz val="8"/>
        <color rgb="FF0066FF"/>
        <rFont val="Tahoma"/>
        <family val="2"/>
      </rPr>
      <t>/90658</t>
    </r>
  </si>
  <si>
    <t>90715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</si>
  <si>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- 90714 /</t>
    </r>
    <r>
      <rPr>
        <sz val="8"/>
        <color rgb="FFFFC000"/>
        <rFont val="Tahoma"/>
        <family val="2"/>
      </rPr>
      <t xml:space="preserve"> 90715</t>
    </r>
  </si>
  <si>
    <t>Reporte N: Vacunacion SPR (PAPERAS EN MAYORES DE 5 A + AÑOS)</t>
  </si>
  <si>
    <t>Dósis Unica</t>
  </si>
  <si>
    <t>paperas en mayores de 5 años</t>
  </si>
  <si>
    <t>NUEVO</t>
  </si>
  <si>
    <t>Gestanes</t>
  </si>
  <si>
    <t>dTpa</t>
  </si>
  <si>
    <t>NIVEL:</t>
  </si>
  <si>
    <t>FECHA DE IMPRESION:</t>
  </si>
  <si>
    <t>51</t>
  </si>
  <si>
    <r>
      <t xml:space="preserve">90650 - </t>
    </r>
    <r>
      <rPr>
        <sz val="8"/>
        <color rgb="FFFF0000"/>
        <rFont val="Tahoma"/>
        <family val="2"/>
      </rPr>
      <t>90649</t>
    </r>
  </si>
  <si>
    <t>Reporte Z: VPH</t>
  </si>
  <si>
    <t>Reporte AA: SARS-COVID</t>
  </si>
  <si>
    <t>90749.01</t>
  </si>
  <si>
    <t>PPL</t>
  </si>
  <si>
    <t>OGR</t>
  </si>
  <si>
    <t>PEL</t>
  </si>
  <si>
    <t>PEI</t>
  </si>
  <si>
    <t>PES</t>
  </si>
  <si>
    <t>MME</t>
  </si>
  <si>
    <t>BRI</t>
  </si>
  <si>
    <t>AM</t>
  </si>
  <si>
    <t>Bombero</t>
  </si>
  <si>
    <t>Estudiante</t>
  </si>
  <si>
    <t>Policia Nacinal Del Peru</t>
  </si>
  <si>
    <t>Trabajador De Salud</t>
  </si>
  <si>
    <t>Persona Privada De Su Libertad</t>
  </si>
  <si>
    <t>Otros Grupos De Riesgo</t>
  </si>
  <si>
    <t>Trabajador O Personal De Limpieza</t>
  </si>
  <si>
    <t>Personal De Seguridad</t>
  </si>
  <si>
    <t>Brigadista</t>
  </si>
  <si>
    <t>Adulto Mayor</t>
  </si>
  <si>
    <t>Casa Reposo, De Rehabilitación Y Albergues</t>
  </si>
  <si>
    <t>Personal Militar / FF.AA</t>
  </si>
  <si>
    <t>Personal Que Labora En El INPE</t>
  </si>
  <si>
    <t>Miembro De Mesa Electoral</t>
  </si>
  <si>
    <t>Sin Grupo de Riesgo</t>
  </si>
  <si>
    <t>Total según # de Dosis</t>
  </si>
  <si>
    <t>DOW</t>
  </si>
  <si>
    <t>Sindrome de Down</t>
  </si>
  <si>
    <t>Pacientes con Hemodialisis y Enfermedad Crónica Renal</t>
  </si>
  <si>
    <t>Persona con Trastornos Mentales y del Neurodesarrollo</t>
  </si>
  <si>
    <t>Persona con Enfermedades Raras y Huérfanas</t>
  </si>
  <si>
    <t>Persona en Espera o con Trasplante de Órgano</t>
  </si>
  <si>
    <t>HEM</t>
  </si>
  <si>
    <t>TMN</t>
  </si>
  <si>
    <t>ERH</t>
  </si>
  <si>
    <t>TRO</t>
  </si>
  <si>
    <t>Gestante</t>
  </si>
  <si>
    <t>Internos de Ciencias de la Salud</t>
  </si>
  <si>
    <t>Olímpicos o Paraolímpicos</t>
  </si>
  <si>
    <t>Personas de 50 a 59 años</t>
  </si>
  <si>
    <t>Pacientes Oncológicos</t>
  </si>
  <si>
    <t>Colegios Profesionales</t>
  </si>
  <si>
    <t>ICS</t>
  </si>
  <si>
    <t>OPO</t>
  </si>
  <si>
    <t>P59</t>
  </si>
  <si>
    <t>PON</t>
  </si>
  <si>
    <t>PVV</t>
  </si>
  <si>
    <t>CLP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</si>
</sst>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64" formatCode="_-* #,##0.00\ _€_-;\-* #,##0.00\ _€_-;_-* &quot;-&quot;??\ _€_-;_-@_-"/>
    <numFmt numFmtId="165" formatCode="_([$€]* #,##0.00_);_([$€]* \(#,##0.00\);_([$€]* &quot;-&quot;??_);_(@_)"/>
    <numFmt numFmtId="166" formatCode="#,##0_ ;\-#,##0\ "/>
    <numFmt numFmtId="167" formatCode="0.00_ ;\-0.00\ "/>
    <numFmt numFmtId="168" formatCode="0_ ;\-0\ 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i/>
      <sz val="8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sz val="11"/>
      <color theme="1"/>
      <name val="Calibri"/>
      <family val="2"/>
      <scheme val="minor"/>
    </font>
    <font>
      <sz val="8"/>
      <color rgb="FF0066FF"/>
      <name val="Tahoma"/>
      <family val="2"/>
    </font>
    <font>
      <b/>
      <sz val="8"/>
      <color rgb="FF0066FF"/>
      <name val="Tahoma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8"/>
      <color rgb="FFFF0000"/>
      <name val="Tahoma"/>
      <family val="2"/>
    </font>
    <font>
      <b/>
      <sz val="8"/>
      <color rgb="FFFF0000"/>
      <name val="Arial"/>
      <family val="2"/>
    </font>
    <font>
      <b/>
      <sz val="14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8"/>
      <color rgb="FF7030A0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7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sz val="7"/>
      <name val="Calibri"/>
      <family val="2"/>
      <scheme val="minor"/>
    </font>
    <font>
      <b/>
      <i/>
      <sz val="10"/>
      <color rgb="FFFF0000"/>
      <name val="Arial"/>
      <family val="2"/>
    </font>
    <font>
      <sz val="8"/>
      <color theme="0" tint="-0.34998626667073579"/>
      <name val="Tahoma"/>
      <family val="2"/>
    </font>
    <font>
      <sz val="8"/>
      <color theme="4" tint="0.39997558519241921"/>
      <name val="Tahoma"/>
      <family val="2"/>
    </font>
    <font>
      <sz val="8"/>
      <color theme="2" tint="-0.499984740745262"/>
      <name val="Tahoma"/>
      <family val="2"/>
    </font>
    <font>
      <sz val="8"/>
      <color rgb="FFFFC000"/>
      <name val="Tahoma"/>
      <family val="2"/>
    </font>
    <font>
      <sz val="8"/>
      <color rgb="FFFF0000"/>
      <name val="Tahoma"/>
      <family val="2"/>
    </font>
    <font>
      <b/>
      <sz val="12"/>
      <color rgb="FFFF0000"/>
      <name val="Tahoma"/>
      <family val="2"/>
    </font>
    <font>
      <b/>
      <sz val="10"/>
      <color rgb="FFFF0000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2" tint="-0.249977111117893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21">
    <xf numFmtId="0" fontId="0" fillId="0" borderId="0"/>
    <xf numFmtId="165" fontId="1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0" fillId="0" borderId="0"/>
    <xf numFmtId="0" fontId="14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9" fontId="14" fillId="0" borderId="0" applyFont="0" applyFill="0" applyBorder="0" applyAlignment="0" applyProtection="0"/>
    <xf numFmtId="0" fontId="1" fillId="0" borderId="0"/>
    <xf numFmtId="0" fontId="1" fillId="0" borderId="0"/>
    <xf numFmtId="43" fontId="2" fillId="0" borderId="0" applyFont="0" applyFill="0" applyBorder="0" applyAlignment="0" applyProtection="0"/>
  </cellStyleXfs>
  <cellXfs count="820">
    <xf numFmtId="0" fontId="0" fillId="0" borderId="0" xfId="0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5" fillId="0" borderId="2" xfId="0" applyFont="1" applyBorder="1" applyAlignment="1">
      <alignment horizontal="center" vertical="center"/>
    </xf>
    <xf numFmtId="49" fontId="5" fillId="3" borderId="6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49" fontId="5" fillId="3" borderId="2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6" fontId="9" fillId="0" borderId="0" xfId="0" applyNumberFormat="1" applyFont="1" applyAlignment="1">
      <alignment horizontal="center" vertical="center"/>
    </xf>
    <xf numFmtId="49" fontId="15" fillId="0" borderId="0" xfId="0" applyNumberFormat="1" applyFont="1" applyAlignment="1">
      <alignment vertical="center"/>
    </xf>
    <xf numFmtId="49" fontId="16" fillId="0" borderId="0" xfId="0" applyNumberFormat="1" applyFont="1" applyAlignment="1">
      <alignment horizontal="justify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vertical="center"/>
    </xf>
    <xf numFmtId="0" fontId="13" fillId="6" borderId="12" xfId="5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vertical="center"/>
    </xf>
    <xf numFmtId="16" fontId="9" fillId="6" borderId="12" xfId="0" applyNumberFormat="1" applyFont="1" applyFill="1" applyBorder="1" applyAlignment="1">
      <alignment horizontal="center" vertical="center"/>
    </xf>
    <xf numFmtId="1" fontId="19" fillId="0" borderId="0" xfId="7" applyNumberFormat="1" applyFont="1" applyAlignment="1">
      <alignment vertical="center"/>
    </xf>
    <xf numFmtId="1" fontId="20" fillId="0" borderId="0" xfId="7" applyNumberFormat="1" applyFont="1" applyAlignment="1">
      <alignment vertical="center"/>
    </xf>
    <xf numFmtId="0" fontId="5" fillId="0" borderId="57" xfId="5" applyFont="1" applyBorder="1" applyAlignment="1">
      <alignment vertical="center" wrapText="1"/>
    </xf>
    <xf numFmtId="1" fontId="5" fillId="0" borderId="57" xfId="5" applyNumberFormat="1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5" fillId="0" borderId="57" xfId="0" applyFont="1" applyBorder="1" applyAlignment="1">
      <alignment horizontal="center" vertical="center"/>
    </xf>
    <xf numFmtId="0" fontId="5" fillId="3" borderId="57" xfId="0" applyFont="1" applyFill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5" fillId="3" borderId="68" xfId="0" applyFont="1" applyFill="1" applyBorder="1" applyAlignment="1">
      <alignment horizontal="center" vertical="center"/>
    </xf>
    <xf numFmtId="0" fontId="5" fillId="5" borderId="68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62" xfId="0" applyFont="1" applyBorder="1" applyAlignment="1">
      <alignment vertical="center"/>
    </xf>
    <xf numFmtId="0" fontId="5" fillId="10" borderId="62" xfId="0" applyFont="1" applyFill="1" applyBorder="1" applyAlignment="1">
      <alignment vertical="center"/>
    </xf>
    <xf numFmtId="0" fontId="5" fillId="10" borderId="64" xfId="0" applyFont="1" applyFill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/>
    </xf>
    <xf numFmtId="0" fontId="5" fillId="7" borderId="63" xfId="0" applyFont="1" applyFill="1" applyBorder="1" applyAlignment="1">
      <alignment horizontal="center" vertical="center" wrapText="1"/>
    </xf>
    <xf numFmtId="0" fontId="5" fillId="8" borderId="62" xfId="0" applyFont="1" applyFill="1" applyBorder="1" applyAlignment="1">
      <alignment vertical="center"/>
    </xf>
    <xf numFmtId="0" fontId="5" fillId="0" borderId="65" xfId="0" applyFont="1" applyBorder="1" applyAlignment="1">
      <alignment vertical="center"/>
    </xf>
    <xf numFmtId="0" fontId="5" fillId="0" borderId="66" xfId="0" applyFont="1" applyBorder="1" applyAlignment="1">
      <alignment horizontal="center" vertical="center"/>
    </xf>
    <xf numFmtId="0" fontId="5" fillId="4" borderId="5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5" fillId="0" borderId="57" xfId="0" applyFont="1" applyBorder="1" applyAlignment="1">
      <alignment vertical="center"/>
    </xf>
    <xf numFmtId="0" fontId="5" fillId="0" borderId="68" xfId="0" applyFont="1" applyBorder="1" applyAlignment="1">
      <alignment vertical="center"/>
    </xf>
    <xf numFmtId="0" fontId="5" fillId="0" borderId="58" xfId="0" applyFont="1" applyBorder="1" applyAlignment="1">
      <alignment vertical="center"/>
    </xf>
    <xf numFmtId="0" fontId="5" fillId="7" borderId="64" xfId="0" applyFont="1" applyFill="1" applyBorder="1" applyAlignment="1">
      <alignment horizontal="center" vertical="center" wrapText="1"/>
    </xf>
    <xf numFmtId="0" fontId="5" fillId="7" borderId="62" xfId="0" applyFont="1" applyFill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5" fillId="0" borderId="67" xfId="0" applyFont="1" applyBorder="1" applyAlignment="1">
      <alignment horizontal="center" vertical="center" wrapText="1"/>
    </xf>
    <xf numFmtId="0" fontId="5" fillId="0" borderId="59" xfId="0" applyFont="1" applyBorder="1" applyAlignment="1">
      <alignment vertical="center"/>
    </xf>
    <xf numFmtId="0" fontId="5" fillId="0" borderId="69" xfId="0" applyFont="1" applyBorder="1" applyAlignment="1">
      <alignment horizontal="center" vertical="center" wrapText="1"/>
    </xf>
    <xf numFmtId="0" fontId="5" fillId="0" borderId="71" xfId="0" applyFont="1" applyBorder="1" applyAlignment="1">
      <alignment horizontal="center" vertical="center" wrapText="1"/>
    </xf>
    <xf numFmtId="0" fontId="5" fillId="0" borderId="68" xfId="5" applyFont="1" applyBorder="1" applyAlignment="1">
      <alignment vertical="center" wrapText="1"/>
    </xf>
    <xf numFmtId="1" fontId="5" fillId="0" borderId="68" xfId="5" applyNumberFormat="1" applyFont="1" applyBorder="1" applyAlignment="1">
      <alignment horizontal="center" vertical="center"/>
    </xf>
    <xf numFmtId="0" fontId="5" fillId="0" borderId="73" xfId="5" applyFont="1" applyBorder="1" applyAlignment="1">
      <alignment vertical="center" wrapText="1"/>
    </xf>
    <xf numFmtId="1" fontId="5" fillId="0" borderId="73" xfId="5" applyNumberFormat="1" applyFont="1" applyBorder="1" applyAlignment="1">
      <alignment horizontal="center" vertical="center"/>
    </xf>
    <xf numFmtId="49" fontId="5" fillId="0" borderId="74" xfId="5" applyNumberFormat="1" applyFont="1" applyBorder="1" applyAlignment="1">
      <alignment horizontal="left" vertical="center" wrapText="1" indent="1"/>
    </xf>
    <xf numFmtId="1" fontId="5" fillId="0" borderId="74" xfId="5" applyNumberFormat="1" applyFont="1" applyBorder="1" applyAlignment="1">
      <alignment horizontal="center" vertical="center"/>
    </xf>
    <xf numFmtId="49" fontId="5" fillId="0" borderId="58" xfId="5" applyNumberFormat="1" applyFont="1" applyBorder="1" applyAlignment="1">
      <alignment horizontal="left" vertical="center" wrapText="1" indent="1"/>
    </xf>
    <xf numFmtId="1" fontId="5" fillId="0" borderId="58" xfId="5" applyNumberFormat="1" applyFont="1" applyBorder="1" applyAlignment="1">
      <alignment horizontal="center" vertical="center"/>
    </xf>
    <xf numFmtId="0" fontId="5" fillId="0" borderId="75" xfId="0" applyFont="1" applyBorder="1" applyAlignment="1">
      <alignment vertical="center"/>
    </xf>
    <xf numFmtId="0" fontId="5" fillId="0" borderId="77" xfId="0" applyFont="1" applyBorder="1" applyAlignment="1">
      <alignment horizontal="left" vertical="center" indent="1"/>
    </xf>
    <xf numFmtId="0" fontId="5" fillId="0" borderId="78" xfId="0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0" fontId="5" fillId="0" borderId="79" xfId="0" applyFont="1" applyBorder="1" applyAlignment="1">
      <alignment horizontal="left" vertical="center" indent="1"/>
    </xf>
    <xf numFmtId="0" fontId="5" fillId="0" borderId="72" xfId="0" applyFont="1" applyBorder="1" applyAlignment="1">
      <alignment horizontal="center" vertical="center"/>
    </xf>
    <xf numFmtId="0" fontId="5" fillId="0" borderId="80" xfId="0" applyFont="1" applyBorder="1" applyAlignment="1">
      <alignment horizontal="left" vertical="center" indent="1"/>
    </xf>
    <xf numFmtId="0" fontId="5" fillId="0" borderId="81" xfId="0" applyFont="1" applyBorder="1" applyAlignment="1">
      <alignment horizontal="center" vertical="center"/>
    </xf>
    <xf numFmtId="0" fontId="5" fillId="0" borderId="76" xfId="0" applyFont="1" applyBorder="1" applyAlignment="1">
      <alignment horizontal="center" vertical="center"/>
    </xf>
    <xf numFmtId="0" fontId="5" fillId="0" borderId="73" xfId="0" applyFont="1" applyBorder="1" applyAlignment="1">
      <alignment horizontal="center" vertical="center"/>
    </xf>
    <xf numFmtId="49" fontId="15" fillId="0" borderId="0" xfId="0" applyNumberFormat="1" applyFont="1" applyAlignment="1">
      <alignment horizontal="right"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5" fillId="0" borderId="73" xfId="0" applyFont="1" applyBorder="1" applyAlignment="1">
      <alignment vertical="center"/>
    </xf>
    <xf numFmtId="0" fontId="5" fillId="0" borderId="74" xfId="0" applyFont="1" applyBorder="1" applyAlignment="1">
      <alignment horizontal="left" vertical="center" indent="1"/>
    </xf>
    <xf numFmtId="0" fontId="5" fillId="0" borderId="68" xfId="0" applyFont="1" applyBorder="1" applyAlignment="1">
      <alignment horizontal="left" vertical="center" indent="1"/>
    </xf>
    <xf numFmtId="0" fontId="5" fillId="0" borderId="58" xfId="0" applyFont="1" applyBorder="1" applyAlignment="1">
      <alignment horizontal="left" vertical="center" indent="1"/>
    </xf>
    <xf numFmtId="0" fontId="23" fillId="0" borderId="0" xfId="7" applyFont="1" applyAlignment="1">
      <alignment horizontal="center" vertical="center"/>
    </xf>
    <xf numFmtId="0" fontId="3" fillId="0" borderId="0" xfId="7" applyFont="1" applyAlignment="1">
      <alignment vertical="center"/>
    </xf>
    <xf numFmtId="0" fontId="25" fillId="0" borderId="0" xfId="7" applyFont="1" applyAlignment="1">
      <alignment vertical="center"/>
    </xf>
    <xf numFmtId="0" fontId="26" fillId="0" borderId="0" xfId="18" applyFont="1" applyAlignment="1">
      <alignment vertical="center"/>
    </xf>
    <xf numFmtId="0" fontId="25" fillId="0" borderId="0" xfId="7" applyFont="1" applyAlignment="1">
      <alignment horizontal="right" vertical="center"/>
    </xf>
    <xf numFmtId="0" fontId="29" fillId="0" borderId="0" xfId="7" applyFont="1" applyAlignment="1">
      <alignment horizontal="right" vertical="center" indent="1"/>
    </xf>
    <xf numFmtId="0" fontId="28" fillId="0" borderId="0" xfId="7" applyFont="1" applyAlignment="1">
      <alignment vertic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vertical="center"/>
    </xf>
    <xf numFmtId="0" fontId="29" fillId="0" borderId="0" xfId="7" applyFont="1" applyAlignment="1">
      <alignment horizontal="right" vertical="center"/>
    </xf>
    <xf numFmtId="0" fontId="29" fillId="0" borderId="6" xfId="7" applyFont="1" applyBorder="1" applyAlignment="1">
      <alignment vertical="center"/>
    </xf>
    <xf numFmtId="1" fontId="29" fillId="0" borderId="0" xfId="7" applyNumberFormat="1" applyFont="1" applyAlignment="1">
      <alignment vertical="center"/>
    </xf>
    <xf numFmtId="0" fontId="28" fillId="0" borderId="2" xfId="7" applyFont="1" applyBorder="1" applyAlignment="1">
      <alignment horizontal="center" vertical="center"/>
    </xf>
    <xf numFmtId="0" fontId="28" fillId="0" borderId="7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28" fillId="0" borderId="8" xfId="7" applyFont="1" applyBorder="1" applyAlignment="1">
      <alignment horizontal="center" vertical="center"/>
    </xf>
    <xf numFmtId="0" fontId="30" fillId="0" borderId="0" xfId="7" applyFont="1" applyAlignment="1">
      <alignment vertical="center"/>
    </xf>
    <xf numFmtId="166" fontId="31" fillId="0" borderId="2" xfId="20" applyNumberFormat="1" applyFont="1" applyBorder="1" applyAlignment="1">
      <alignment vertical="center"/>
    </xf>
    <xf numFmtId="166" fontId="31" fillId="0" borderId="8" xfId="20" applyNumberFormat="1" applyFont="1" applyBorder="1" applyAlignment="1">
      <alignment vertical="center"/>
    </xf>
    <xf numFmtId="167" fontId="31" fillId="0" borderId="2" xfId="20" applyNumberFormat="1" applyFont="1" applyBorder="1" applyAlignment="1">
      <alignment vertical="center"/>
    </xf>
    <xf numFmtId="168" fontId="31" fillId="3" borderId="27" xfId="20" applyNumberFormat="1" applyFont="1" applyFill="1" applyBorder="1" applyAlignment="1">
      <alignment vertical="center"/>
    </xf>
    <xf numFmtId="0" fontId="3" fillId="0" borderId="0" xfId="7" applyFont="1" applyAlignment="1">
      <alignment horizontal="center" vertical="center"/>
    </xf>
    <xf numFmtId="168" fontId="3" fillId="0" borderId="29" xfId="20" applyNumberFormat="1" applyFont="1" applyBorder="1" applyAlignment="1">
      <alignment vertical="center"/>
    </xf>
    <xf numFmtId="0" fontId="3" fillId="0" borderId="12" xfId="7" applyFont="1" applyBorder="1" applyAlignment="1">
      <alignment horizontal="center" vertical="center"/>
    </xf>
    <xf numFmtId="168" fontId="3" fillId="0" borderId="30" xfId="20" applyNumberFormat="1" applyFont="1" applyBorder="1" applyAlignment="1">
      <alignment vertical="center"/>
    </xf>
    <xf numFmtId="0" fontId="3" fillId="0" borderId="6" xfId="7" applyFont="1" applyBorder="1" applyAlignment="1">
      <alignment horizontal="center" vertical="center"/>
    </xf>
    <xf numFmtId="166" fontId="31" fillId="0" borderId="12" xfId="20" applyNumberFormat="1" applyFont="1" applyBorder="1" applyAlignment="1">
      <alignment vertical="center"/>
    </xf>
    <xf numFmtId="166" fontId="31" fillId="0" borderId="15" xfId="20" applyNumberFormat="1" applyFont="1" applyBorder="1" applyAlignment="1">
      <alignment vertical="center"/>
    </xf>
    <xf numFmtId="167" fontId="31" fillId="0" borderId="12" xfId="20" applyNumberFormat="1" applyFont="1" applyBorder="1" applyAlignment="1">
      <alignment vertical="center"/>
    </xf>
    <xf numFmtId="0" fontId="3" fillId="0" borderId="2" xfId="7" applyFont="1" applyBorder="1" applyAlignment="1">
      <alignment horizontal="center" vertical="center"/>
    </xf>
    <xf numFmtId="0" fontId="3" fillId="0" borderId="17" xfId="7" applyFont="1" applyBorder="1" applyAlignment="1">
      <alignment horizontal="center" vertical="center"/>
    </xf>
    <xf numFmtId="166" fontId="31" fillId="0" borderId="31" xfId="20" applyNumberFormat="1" applyFont="1" applyBorder="1" applyAlignment="1">
      <alignment vertical="center"/>
    </xf>
    <xf numFmtId="166" fontId="31" fillId="0" borderId="16" xfId="20" applyNumberFormat="1" applyFont="1" applyBorder="1" applyAlignment="1">
      <alignment vertical="center"/>
    </xf>
    <xf numFmtId="167" fontId="31" fillId="0" borderId="31" xfId="20" applyNumberFormat="1" applyFont="1" applyBorder="1" applyAlignment="1">
      <alignment vertical="center"/>
    </xf>
    <xf numFmtId="168" fontId="3" fillId="0" borderId="32" xfId="20" applyNumberFormat="1" applyFont="1" applyBorder="1" applyAlignment="1">
      <alignment vertical="center"/>
    </xf>
    <xf numFmtId="0" fontId="31" fillId="0" borderId="0" xfId="7" applyFont="1" applyAlignment="1">
      <alignment vertical="center"/>
    </xf>
    <xf numFmtId="2" fontId="3" fillId="0" borderId="0" xfId="7" applyNumberFormat="1" applyFont="1" applyAlignment="1">
      <alignment vertical="center"/>
    </xf>
    <xf numFmtId="0" fontId="28" fillId="0" borderId="14" xfId="7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vertical="center"/>
    </xf>
    <xf numFmtId="49" fontId="3" fillId="0" borderId="15" xfId="7" applyNumberFormat="1" applyFont="1" applyBorder="1" applyAlignment="1">
      <alignment vertical="center"/>
    </xf>
    <xf numFmtId="3" fontId="31" fillId="0" borderId="8" xfId="7" applyNumberFormat="1" applyFont="1" applyBorder="1" applyAlignment="1">
      <alignment vertical="center"/>
    </xf>
    <xf numFmtId="2" fontId="31" fillId="0" borderId="28" xfId="7" applyNumberFormat="1" applyFont="1" applyBorder="1" applyAlignment="1">
      <alignment vertical="center"/>
    </xf>
    <xf numFmtId="0" fontId="18" fillId="0" borderId="0" xfId="7" applyFont="1" applyAlignment="1">
      <alignment horizontal="center" vertical="center" wrapText="1"/>
    </xf>
    <xf numFmtId="3" fontId="31" fillId="0" borderId="15" xfId="7" applyNumberFormat="1" applyFont="1" applyBorder="1" applyAlignment="1">
      <alignment vertical="center"/>
    </xf>
    <xf numFmtId="2" fontId="31" fillId="0" borderId="29" xfId="7" applyNumberFormat="1" applyFont="1" applyBorder="1" applyAlignment="1">
      <alignment vertical="center"/>
    </xf>
    <xf numFmtId="1" fontId="3" fillId="0" borderId="9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 wrapText="1"/>
    </xf>
    <xf numFmtId="1" fontId="3" fillId="0" borderId="15" xfId="7" applyNumberFormat="1" applyFont="1" applyBorder="1" applyAlignment="1">
      <alignment vertical="center"/>
    </xf>
    <xf numFmtId="49" fontId="3" fillId="0" borderId="3" xfId="7" applyNumberFormat="1" applyFont="1" applyBorder="1" applyAlignment="1">
      <alignment vertical="center"/>
    </xf>
    <xf numFmtId="49" fontId="3" fillId="0" borderId="0" xfId="7" applyNumberFormat="1" applyFont="1" applyAlignment="1">
      <alignment vertical="center"/>
    </xf>
    <xf numFmtId="49" fontId="3" fillId="0" borderId="10" xfId="7" applyNumberFormat="1" applyFont="1" applyBorder="1" applyAlignment="1">
      <alignment vertical="center"/>
    </xf>
    <xf numFmtId="1" fontId="3" fillId="0" borderId="7" xfId="7" applyNumberFormat="1" applyFont="1" applyBorder="1" applyAlignment="1">
      <alignment vertical="center"/>
    </xf>
    <xf numFmtId="1" fontId="3" fillId="0" borderId="11" xfId="7" applyNumberFormat="1" applyFont="1" applyBorder="1" applyAlignment="1">
      <alignment vertical="center"/>
    </xf>
    <xf numFmtId="1" fontId="3" fillId="0" borderId="8" xfId="7" applyNumberFormat="1" applyFont="1" applyBorder="1" applyAlignment="1">
      <alignment vertical="center"/>
    </xf>
    <xf numFmtId="0" fontId="3" fillId="0" borderId="1" xfId="7" applyFont="1" applyBorder="1" applyAlignment="1">
      <alignment horizontal="center" vertical="center"/>
    </xf>
    <xf numFmtId="3" fontId="31" fillId="0" borderId="5" xfId="7" applyNumberFormat="1" applyFont="1" applyBorder="1" applyAlignment="1">
      <alignment vertical="center"/>
    </xf>
    <xf numFmtId="2" fontId="31" fillId="0" borderId="33" xfId="7" applyNumberFormat="1" applyFont="1" applyBorder="1" applyAlignment="1">
      <alignment vertical="center"/>
    </xf>
    <xf numFmtId="49" fontId="3" fillId="0" borderId="16" xfId="7" applyNumberFormat="1" applyFont="1" applyBorder="1" applyAlignment="1">
      <alignment vertical="center"/>
    </xf>
    <xf numFmtId="3" fontId="31" fillId="0" borderId="31" xfId="7" applyNumberFormat="1" applyFont="1" applyBorder="1" applyAlignment="1">
      <alignment vertical="center"/>
    </xf>
    <xf numFmtId="2" fontId="31" fillId="0" borderId="35" xfId="7" applyNumberFormat="1" applyFont="1" applyBorder="1" applyAlignment="1">
      <alignment vertical="center"/>
    </xf>
    <xf numFmtId="1" fontId="28" fillId="0" borderId="0" xfId="7" applyNumberFormat="1" applyFont="1" applyAlignment="1">
      <alignment vertical="center"/>
    </xf>
    <xf numFmtId="1" fontId="3" fillId="0" borderId="0" xfId="7" applyNumberFormat="1" applyFont="1" applyAlignment="1">
      <alignment vertical="center"/>
    </xf>
    <xf numFmtId="0" fontId="28" fillId="0" borderId="0" xfId="7" applyFont="1" applyAlignment="1">
      <alignment horizontal="right" vertical="center"/>
    </xf>
    <xf numFmtId="0" fontId="28" fillId="0" borderId="18" xfId="7" applyFont="1" applyBorder="1" applyAlignment="1">
      <alignment horizontal="center" vertical="center"/>
    </xf>
    <xf numFmtId="49" fontId="3" fillId="0" borderId="24" xfId="7" applyNumberFormat="1" applyFont="1" applyBorder="1" applyAlignment="1">
      <alignment vertical="center"/>
    </xf>
    <xf numFmtId="49" fontId="3" fillId="0" borderId="13" xfId="7" applyNumberFormat="1" applyFont="1" applyBorder="1" applyAlignment="1">
      <alignment horizontal="left" vertical="center" indent="1"/>
    </xf>
    <xf numFmtId="3" fontId="31" fillId="0" borderId="10" xfId="7" applyNumberFormat="1" applyFont="1" applyBorder="1" applyAlignment="1">
      <alignment vertical="center"/>
    </xf>
    <xf numFmtId="2" fontId="31" fillId="0" borderId="27" xfId="7" applyNumberFormat="1" applyFont="1" applyBorder="1" applyAlignment="1">
      <alignment vertical="center"/>
    </xf>
    <xf numFmtId="3" fontId="31" fillId="0" borderId="12" xfId="7" applyNumberFormat="1" applyFont="1" applyBorder="1" applyAlignment="1">
      <alignment vertical="center"/>
    </xf>
    <xf numFmtId="3" fontId="31" fillId="0" borderId="16" xfId="7" applyNumberFormat="1" applyFont="1" applyBorder="1" applyAlignment="1">
      <alignment vertical="center"/>
    </xf>
    <xf numFmtId="2" fontId="31" fillId="0" borderId="32" xfId="7" applyNumberFormat="1" applyFont="1" applyBorder="1" applyAlignment="1">
      <alignment vertical="center"/>
    </xf>
    <xf numFmtId="4" fontId="31" fillId="0" borderId="28" xfId="7" applyNumberFormat="1" applyFont="1" applyBorder="1" applyAlignment="1">
      <alignment vertical="center"/>
    </xf>
    <xf numFmtId="0" fontId="28" fillId="0" borderId="15" xfId="7" applyFont="1" applyBorder="1" applyAlignment="1">
      <alignment horizontal="center" vertical="center"/>
    </xf>
    <xf numFmtId="4" fontId="31" fillId="0" borderId="29" xfId="7" applyNumberFormat="1" applyFont="1" applyBorder="1" applyAlignment="1">
      <alignment vertical="center"/>
    </xf>
    <xf numFmtId="0" fontId="28" fillId="0" borderId="16" xfId="7" applyFont="1" applyBorder="1" applyAlignment="1">
      <alignment horizontal="center" vertical="center"/>
    </xf>
    <xf numFmtId="4" fontId="31" fillId="0" borderId="32" xfId="7" applyNumberFormat="1" applyFont="1" applyBorder="1" applyAlignment="1">
      <alignment vertical="center"/>
    </xf>
    <xf numFmtId="4" fontId="31" fillId="0" borderId="11" xfId="7" applyNumberFormat="1" applyFont="1" applyBorder="1" applyAlignment="1">
      <alignment vertical="center"/>
    </xf>
    <xf numFmtId="0" fontId="29" fillId="0" borderId="45" xfId="7" applyFont="1" applyBorder="1" applyAlignment="1">
      <alignment horizontal="center" vertical="center"/>
    </xf>
    <xf numFmtId="0" fontId="28" fillId="0" borderId="45" xfId="7" applyFont="1" applyBorder="1" applyAlignment="1">
      <alignment horizontal="center" vertical="center"/>
    </xf>
    <xf numFmtId="0" fontId="28" fillId="0" borderId="46" xfId="7" applyFont="1" applyBorder="1" applyAlignment="1">
      <alignment horizontal="center" vertical="center"/>
    </xf>
    <xf numFmtId="0" fontId="28" fillId="0" borderId="19" xfId="7" applyFont="1" applyBorder="1" applyAlignment="1">
      <alignment horizontal="center" vertical="center"/>
    </xf>
    <xf numFmtId="4" fontId="31" fillId="0" borderId="14" xfId="7" applyNumberFormat="1" applyFont="1" applyBorder="1" applyAlignment="1">
      <alignment vertical="center"/>
    </xf>
    <xf numFmtId="49" fontId="3" fillId="0" borderId="26" xfId="7" applyNumberFormat="1" applyFont="1" applyBorder="1" applyAlignment="1">
      <alignment vertical="center"/>
    </xf>
    <xf numFmtId="49" fontId="3" fillId="0" borderId="17" xfId="7" applyNumberFormat="1" applyFont="1" applyBorder="1" applyAlignment="1">
      <alignment vertical="center"/>
    </xf>
    <xf numFmtId="4" fontId="31" fillId="0" borderId="17" xfId="7" applyNumberFormat="1" applyFont="1" applyBorder="1" applyAlignment="1">
      <alignment vertical="center"/>
    </xf>
    <xf numFmtId="0" fontId="28" fillId="0" borderId="20" xfId="7" applyFont="1" applyBorder="1" applyAlignment="1">
      <alignment horizontal="center" vertical="center"/>
    </xf>
    <xf numFmtId="4" fontId="31" fillId="0" borderId="35" xfId="7" applyNumberFormat="1" applyFont="1" applyBorder="1" applyAlignment="1">
      <alignment vertical="center"/>
    </xf>
    <xf numFmtId="0" fontId="30" fillId="0" borderId="0" xfId="7" applyFont="1" applyAlignment="1">
      <alignment horizontal="center"/>
    </xf>
    <xf numFmtId="0" fontId="30" fillId="0" borderId="0" xfId="7" applyFont="1" applyAlignment="1">
      <alignment horizontal="right"/>
    </xf>
    <xf numFmtId="1" fontId="28" fillId="0" borderId="9" xfId="7" applyNumberFormat="1" applyFont="1" applyBorder="1" applyAlignment="1">
      <alignment horizontal="left" vertical="center" indent="1"/>
    </xf>
    <xf numFmtId="0" fontId="3" fillId="0" borderId="15" xfId="7" applyFont="1" applyBorder="1" applyAlignment="1">
      <alignment vertical="center"/>
    </xf>
    <xf numFmtId="0" fontId="28" fillId="0" borderId="15" xfId="7" applyFont="1" applyBorder="1" applyAlignment="1">
      <alignment vertical="center"/>
    </xf>
    <xf numFmtId="1" fontId="28" fillId="0" borderId="4" xfId="7" applyNumberFormat="1" applyFont="1" applyBorder="1" applyAlignment="1">
      <alignment horizontal="left" vertical="center" indent="1"/>
    </xf>
    <xf numFmtId="0" fontId="28" fillId="0" borderId="5" xfId="7" applyFont="1" applyBorder="1" applyAlignment="1">
      <alignment vertical="center"/>
    </xf>
    <xf numFmtId="0" fontId="32" fillId="0" borderId="24" xfId="7" applyFont="1" applyBorder="1" applyAlignment="1">
      <alignment vertical="center"/>
    </xf>
    <xf numFmtId="1" fontId="33" fillId="0" borderId="13" xfId="7" applyNumberFormat="1" applyFont="1" applyBorder="1" applyAlignment="1">
      <alignment vertical="center"/>
    </xf>
    <xf numFmtId="0" fontId="32" fillId="0" borderId="15" xfId="7" applyFont="1" applyBorder="1" applyAlignment="1">
      <alignment vertical="center"/>
    </xf>
    <xf numFmtId="1" fontId="23" fillId="0" borderId="0" xfId="7" applyNumberFormat="1" applyFont="1" applyAlignment="1">
      <alignment vertical="center"/>
    </xf>
    <xf numFmtId="0" fontId="3" fillId="0" borderId="0" xfId="7" applyFont="1" applyAlignment="1">
      <alignment horizontal="left" vertical="center"/>
    </xf>
    <xf numFmtId="1" fontId="33" fillId="0" borderId="23" xfId="7" applyNumberFormat="1" applyFont="1" applyBorder="1" applyAlignment="1">
      <alignment horizontal="left" vertical="center" indent="1"/>
    </xf>
    <xf numFmtId="0" fontId="28" fillId="0" borderId="10" xfId="7" applyFont="1" applyBorder="1" applyAlignment="1">
      <alignment vertical="center" textRotation="90" wrapText="1"/>
    </xf>
    <xf numFmtId="0" fontId="3" fillId="0" borderId="5" xfId="7" applyFont="1" applyBorder="1" applyAlignment="1">
      <alignment vertical="center"/>
    </xf>
    <xf numFmtId="1" fontId="32" fillId="0" borderId="24" xfId="7" applyNumberFormat="1" applyFont="1" applyBorder="1" applyAlignment="1">
      <alignment horizontal="left" vertical="center" indent="1"/>
    </xf>
    <xf numFmtId="0" fontId="3" fillId="0" borderId="13" xfId="7" applyFont="1" applyBorder="1" applyAlignment="1">
      <alignment vertical="center" textRotation="90" wrapText="1"/>
    </xf>
    <xf numFmtId="0" fontId="3" fillId="0" borderId="13" xfId="7" applyFont="1" applyBorder="1" applyAlignment="1">
      <alignment vertical="center"/>
    </xf>
    <xf numFmtId="0" fontId="32" fillId="0" borderId="26" xfId="7" applyFont="1" applyBorder="1" applyAlignment="1">
      <alignment vertical="center"/>
    </xf>
    <xf numFmtId="1" fontId="33" fillId="0" borderId="17" xfId="7" applyNumberFormat="1" applyFont="1" applyBorder="1" applyAlignment="1">
      <alignment vertical="center"/>
    </xf>
    <xf numFmtId="0" fontId="32" fillId="0" borderId="16" xfId="7" applyFont="1" applyBorder="1" applyAlignment="1">
      <alignment vertical="center"/>
    </xf>
    <xf numFmtId="0" fontId="23" fillId="0" borderId="0" xfId="7" applyFont="1" applyAlignment="1">
      <alignment vertical="center"/>
    </xf>
    <xf numFmtId="1" fontId="34" fillId="0" borderId="0" xfId="7" applyNumberFormat="1" applyFont="1" applyAlignment="1">
      <alignment vertical="center"/>
    </xf>
    <xf numFmtId="0" fontId="28" fillId="0" borderId="24" xfId="7" applyFont="1" applyBorder="1" applyAlignment="1">
      <alignment horizontal="left" vertical="center" indent="1"/>
    </xf>
    <xf numFmtId="0" fontId="28" fillId="0" borderId="26" xfId="7" applyFont="1" applyBorder="1" applyAlignment="1">
      <alignment horizontal="left" vertical="center" indent="1"/>
    </xf>
    <xf numFmtId="0" fontId="28" fillId="0" borderId="16" xfId="7" applyFont="1" applyBorder="1" applyAlignment="1">
      <alignment vertical="center"/>
    </xf>
    <xf numFmtId="0" fontId="28" fillId="0" borderId="13" xfId="7" applyFont="1" applyBorder="1" applyAlignment="1">
      <alignment vertical="center"/>
    </xf>
    <xf numFmtId="0" fontId="23" fillId="0" borderId="0" xfId="7" applyFont="1" applyAlignment="1">
      <alignment horizontal="left" vertical="center"/>
    </xf>
    <xf numFmtId="0" fontId="28" fillId="0" borderId="23" xfId="7" applyFont="1" applyBorder="1" applyAlignment="1">
      <alignment horizontal="left" vertical="center" indent="1"/>
    </xf>
    <xf numFmtId="0" fontId="28" fillId="0" borderId="21" xfId="7" applyFont="1" applyBorder="1" applyAlignment="1">
      <alignment vertical="center"/>
    </xf>
    <xf numFmtId="0" fontId="33" fillId="0" borderId="24" xfId="7" applyFont="1" applyBorder="1" applyAlignment="1">
      <alignment horizontal="left" vertical="center" indent="1"/>
    </xf>
    <xf numFmtId="0" fontId="3" fillId="0" borderId="12" xfId="7" applyFont="1" applyBorder="1" applyAlignment="1">
      <alignment vertical="center"/>
    </xf>
    <xf numFmtId="1" fontId="32" fillId="0" borderId="23" xfId="7" applyNumberFormat="1" applyFont="1" applyBorder="1" applyAlignment="1">
      <alignment horizontal="left" vertical="center" indent="1"/>
    </xf>
    <xf numFmtId="0" fontId="3" fillId="0" borderId="21" xfId="7" applyFont="1" applyBorder="1" applyAlignment="1">
      <alignment vertical="center" textRotation="90" wrapText="1"/>
    </xf>
    <xf numFmtId="0" fontId="3" fillId="0" borderId="21" xfId="7" applyFont="1" applyBorder="1" applyAlignment="1">
      <alignment vertical="center"/>
    </xf>
    <xf numFmtId="0" fontId="33" fillId="0" borderId="0" xfId="7" applyFont="1" applyAlignment="1">
      <alignment horizontal="center" vertical="center"/>
    </xf>
    <xf numFmtId="1" fontId="32" fillId="0" borderId="26" xfId="7" applyNumberFormat="1" applyFont="1" applyBorder="1" applyAlignment="1">
      <alignment horizontal="left" vertical="center" indent="1"/>
    </xf>
    <xf numFmtId="0" fontId="3" fillId="0" borderId="17" xfId="7" applyFont="1" applyBorder="1" applyAlignment="1">
      <alignment vertical="center" textRotation="90" wrapText="1"/>
    </xf>
    <xf numFmtId="0" fontId="3" fillId="0" borderId="17" xfId="7" applyFont="1" applyBorder="1" applyAlignment="1">
      <alignment vertical="center"/>
    </xf>
    <xf numFmtId="1" fontId="34" fillId="0" borderId="0" xfId="7" applyNumberFormat="1" applyFont="1" applyAlignment="1">
      <alignment horizontal="left" vertical="center" indent="1"/>
    </xf>
    <xf numFmtId="0" fontId="3" fillId="0" borderId="0" xfId="7" applyFont="1" applyAlignment="1">
      <alignment vertical="center" textRotation="90" wrapText="1"/>
    </xf>
    <xf numFmtId="3" fontId="28" fillId="0" borderId="0" xfId="7" applyNumberFormat="1" applyFont="1" applyAlignment="1">
      <alignment vertical="center"/>
    </xf>
    <xf numFmtId="1" fontId="33" fillId="0" borderId="0" xfId="7" applyNumberFormat="1" applyFont="1" applyAlignment="1">
      <alignment horizontal="left" vertical="center" indent="1"/>
    </xf>
    <xf numFmtId="0" fontId="21" fillId="0" borderId="6" xfId="7" applyFont="1" applyBorder="1" applyAlignment="1">
      <alignment horizontal="left" vertical="top" wrapText="1"/>
    </xf>
    <xf numFmtId="3" fontId="3" fillId="0" borderId="39" xfId="7" applyNumberFormat="1" applyFont="1" applyBorder="1" applyAlignment="1">
      <alignment horizontal="center" vertical="center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28" fillId="0" borderId="51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3" fontId="28" fillId="0" borderId="39" xfId="7" applyNumberFormat="1" applyFont="1" applyBorder="1" applyAlignment="1">
      <alignment horizontal="center" vertical="center"/>
    </xf>
    <xf numFmtId="3" fontId="28" fillId="0" borderId="14" xfId="7" applyNumberFormat="1" applyFont="1" applyBorder="1" applyAlignment="1">
      <alignment horizontal="center" vertical="center"/>
    </xf>
    <xf numFmtId="3" fontId="28" fillId="0" borderId="35" xfId="7" applyNumberFormat="1" applyFont="1" applyBorder="1" applyAlignment="1">
      <alignment horizontal="center" vertical="center"/>
    </xf>
    <xf numFmtId="166" fontId="3" fillId="0" borderId="12" xfId="20" applyNumberFormat="1" applyFont="1" applyBorder="1" applyAlignment="1">
      <alignment horizontal="center" vertical="center"/>
    </xf>
    <xf numFmtId="166" fontId="31" fillId="3" borderId="4" xfId="20" applyNumberFormat="1" applyFont="1" applyFill="1" applyBorder="1" applyAlignment="1">
      <alignment horizontal="center" vertical="center"/>
    </xf>
    <xf numFmtId="166" fontId="31" fillId="3" borderId="5" xfId="20" applyNumberFormat="1" applyFont="1" applyFill="1" applyBorder="1" applyAlignment="1">
      <alignment horizontal="center" vertical="center"/>
    </xf>
    <xf numFmtId="166" fontId="31" fillId="3" borderId="3" xfId="20" applyNumberFormat="1" applyFont="1" applyFill="1" applyBorder="1" applyAlignment="1">
      <alignment horizontal="center" vertical="center"/>
    </xf>
    <xf numFmtId="166" fontId="31" fillId="3" borderId="10" xfId="20" applyNumberFormat="1" applyFont="1" applyFill="1" applyBorder="1" applyAlignment="1">
      <alignment horizontal="center" vertical="center"/>
    </xf>
    <xf numFmtId="166" fontId="3" fillId="0" borderId="6" xfId="20" applyNumberFormat="1" applyFont="1" applyBorder="1" applyAlignment="1">
      <alignment horizontal="center" vertical="center"/>
    </xf>
    <xf numFmtId="166" fontId="3" fillId="0" borderId="1" xfId="20" applyNumberFormat="1" applyFont="1" applyBorder="1" applyAlignment="1">
      <alignment horizontal="center" vertical="center"/>
    </xf>
    <xf numFmtId="166" fontId="3" fillId="4" borderId="2" xfId="20" applyNumberFormat="1" applyFont="1" applyFill="1" applyBorder="1" applyAlignment="1">
      <alignment horizontal="center" vertical="center"/>
    </xf>
    <xf numFmtId="166" fontId="3" fillId="4" borderId="4" xfId="20" applyNumberFormat="1" applyFont="1" applyFill="1" applyBorder="1" applyAlignment="1">
      <alignment horizontal="center" vertical="center"/>
    </xf>
    <xf numFmtId="166" fontId="3" fillId="4" borderId="15" xfId="20" applyNumberFormat="1" applyFont="1" applyFill="1" applyBorder="1" applyAlignment="1">
      <alignment horizontal="center" vertical="center"/>
    </xf>
    <xf numFmtId="166" fontId="31" fillId="2" borderId="12" xfId="20" applyNumberFormat="1" applyFont="1" applyFill="1" applyBorder="1" applyAlignment="1">
      <alignment horizontal="center" vertical="center"/>
    </xf>
    <xf numFmtId="166" fontId="3" fillId="3" borderId="6" xfId="20" applyNumberFormat="1" applyFont="1" applyFill="1" applyBorder="1" applyAlignment="1">
      <alignment horizontal="center" vertical="center"/>
    </xf>
    <xf numFmtId="166" fontId="31" fillId="0" borderId="12" xfId="20" applyNumberFormat="1" applyFont="1" applyBorder="1" applyAlignment="1">
      <alignment horizontal="center" vertical="center"/>
    </xf>
    <xf numFmtId="166" fontId="3" fillId="3" borderId="1" xfId="20" applyNumberFormat="1" applyFont="1" applyFill="1" applyBorder="1" applyAlignment="1">
      <alignment horizontal="center" vertical="center"/>
    </xf>
    <xf numFmtId="166" fontId="31" fillId="0" borderId="4" xfId="20" applyNumberFormat="1" applyFont="1" applyBorder="1" applyAlignment="1">
      <alignment horizontal="center" vertical="center"/>
    </xf>
    <xf numFmtId="166" fontId="3" fillId="3" borderId="2" xfId="20" applyNumberFormat="1" applyFont="1" applyFill="1" applyBorder="1" applyAlignment="1">
      <alignment horizontal="center" vertical="center"/>
    </xf>
    <xf numFmtId="166" fontId="3" fillId="3" borderId="4" xfId="20" applyNumberFormat="1" applyFont="1" applyFill="1" applyBorder="1" applyAlignment="1">
      <alignment horizontal="center" vertical="center"/>
    </xf>
    <xf numFmtId="166" fontId="3" fillId="3" borderId="3" xfId="20" applyNumberFormat="1" applyFont="1" applyFill="1" applyBorder="1" applyAlignment="1">
      <alignment horizontal="center" vertical="center"/>
    </xf>
    <xf numFmtId="166" fontId="3" fillId="0" borderId="31" xfId="20" applyNumberFormat="1" applyFont="1" applyBorder="1" applyAlignment="1">
      <alignment horizontal="center" vertical="center"/>
    </xf>
    <xf numFmtId="3" fontId="3" fillId="4" borderId="9" xfId="7" applyNumberFormat="1" applyFont="1" applyFill="1" applyBorder="1" applyAlignment="1">
      <alignment horizontal="center" vertical="center"/>
    </xf>
    <xf numFmtId="3" fontId="3" fillId="4" borderId="5" xfId="7" applyNumberFormat="1" applyFont="1" applyFill="1" applyBorder="1" applyAlignment="1">
      <alignment horizontal="center" vertical="center"/>
    </xf>
    <xf numFmtId="3" fontId="3" fillId="4" borderId="3" xfId="7" applyNumberFormat="1" applyFont="1" applyFill="1" applyBorder="1" applyAlignment="1">
      <alignment horizontal="center" vertical="center"/>
    </xf>
    <xf numFmtId="3" fontId="3" fillId="4" borderId="10" xfId="7" applyNumberFormat="1" applyFont="1" applyFill="1" applyBorder="1" applyAlignment="1">
      <alignment horizontal="center" vertical="center"/>
    </xf>
    <xf numFmtId="3" fontId="3" fillId="0" borderId="2" xfId="7" applyNumberFormat="1" applyFont="1" applyBorder="1" applyAlignment="1">
      <alignment horizontal="center" vertical="center"/>
    </xf>
    <xf numFmtId="3" fontId="3" fillId="4" borderId="12" xfId="7" applyNumberFormat="1" applyFont="1" applyFill="1" applyBorder="1" applyAlignment="1">
      <alignment horizontal="center" vertical="center"/>
    </xf>
    <xf numFmtId="3" fontId="3" fillId="4" borderId="2" xfId="7" applyNumberFormat="1" applyFont="1" applyFill="1" applyBorder="1" applyAlignment="1">
      <alignment horizontal="center" vertical="center"/>
    </xf>
    <xf numFmtId="3" fontId="3" fillId="4" borderId="4" xfId="7" applyNumberFormat="1" applyFont="1" applyFill="1" applyBorder="1" applyAlignment="1">
      <alignment horizontal="center" vertical="center"/>
    </xf>
    <xf numFmtId="3" fontId="3" fillId="4" borderId="15" xfId="7" applyNumberFormat="1" applyFont="1" applyFill="1" applyBorder="1" applyAlignment="1">
      <alignment horizontal="center" vertical="center"/>
    </xf>
    <xf numFmtId="3" fontId="31" fillId="2" borderId="12" xfId="7" applyNumberFormat="1" applyFont="1" applyFill="1" applyBorder="1" applyAlignment="1">
      <alignment horizontal="center" vertical="center"/>
    </xf>
    <xf numFmtId="3" fontId="3" fillId="3" borderId="6" xfId="7" applyNumberFormat="1" applyFont="1" applyFill="1" applyBorder="1" applyAlignment="1">
      <alignment horizontal="center" vertical="center"/>
    </xf>
    <xf numFmtId="3" fontId="3" fillId="3" borderId="1" xfId="7" applyNumberFormat="1" applyFont="1" applyFill="1" applyBorder="1" applyAlignment="1">
      <alignment horizontal="center" vertical="center"/>
    </xf>
    <xf numFmtId="3" fontId="3" fillId="0" borderId="1" xfId="7" applyNumberFormat="1" applyFont="1" applyBorder="1" applyAlignment="1">
      <alignment horizontal="center" vertical="center"/>
    </xf>
    <xf numFmtId="3" fontId="3" fillId="9" borderId="34" xfId="7" applyNumberFormat="1" applyFont="1" applyFill="1" applyBorder="1" applyAlignment="1">
      <alignment horizontal="center" vertical="center"/>
    </xf>
    <xf numFmtId="3" fontId="3" fillId="9" borderId="16" xfId="7" applyNumberFormat="1" applyFont="1" applyFill="1" applyBorder="1" applyAlignment="1">
      <alignment horizontal="center" vertical="center"/>
    </xf>
    <xf numFmtId="3" fontId="31" fillId="2" borderId="15" xfId="7" applyNumberFormat="1" applyFont="1" applyFill="1" applyBorder="1" applyAlignment="1">
      <alignment horizontal="center" vertical="center"/>
    </xf>
    <xf numFmtId="3" fontId="3" fillId="9" borderId="6" xfId="7" applyNumberFormat="1" applyFont="1" applyFill="1" applyBorder="1" applyAlignment="1">
      <alignment horizontal="center" vertical="center"/>
    </xf>
    <xf numFmtId="3" fontId="3" fillId="0" borderId="36" xfId="7" applyNumberFormat="1" applyFont="1" applyBorder="1" applyAlignment="1">
      <alignment horizontal="center" vertical="center"/>
    </xf>
    <xf numFmtId="3" fontId="3" fillId="4" borderId="34" xfId="7" applyNumberFormat="1" applyFont="1" applyFill="1" applyBorder="1" applyAlignment="1">
      <alignment horizontal="center" vertical="center"/>
    </xf>
    <xf numFmtId="3" fontId="3" fillId="4" borderId="37" xfId="7" applyNumberFormat="1" applyFont="1" applyFill="1" applyBorder="1" applyAlignment="1">
      <alignment horizontal="center" vertical="center"/>
    </xf>
    <xf numFmtId="3" fontId="3" fillId="0" borderId="10" xfId="7" applyNumberFormat="1" applyFont="1" applyBorder="1" applyAlignment="1">
      <alignment horizontal="center" vertical="center"/>
    </xf>
    <xf numFmtId="3" fontId="3" fillId="3" borderId="36" xfId="7" applyNumberFormat="1" applyFont="1" applyFill="1" applyBorder="1" applyAlignment="1">
      <alignment horizontal="center" vertical="center"/>
    </xf>
    <xf numFmtId="3" fontId="31" fillId="0" borderId="15" xfId="7" applyNumberFormat="1" applyFont="1" applyBorder="1" applyAlignment="1">
      <alignment horizontal="center" vertical="center"/>
    </xf>
    <xf numFmtId="3" fontId="29" fillId="0" borderId="15" xfId="7" applyNumberFormat="1" applyFont="1" applyBorder="1" applyAlignment="1">
      <alignment horizontal="center" vertical="center"/>
    </xf>
    <xf numFmtId="3" fontId="31" fillId="0" borderId="16" xfId="7" applyNumberFormat="1" applyFont="1" applyBorder="1" applyAlignment="1">
      <alignment horizontal="center" vertical="center"/>
    </xf>
    <xf numFmtId="3" fontId="29" fillId="0" borderId="16" xfId="7" applyNumberFormat="1" applyFont="1" applyBorder="1" applyAlignment="1">
      <alignment horizontal="center" vertical="center"/>
    </xf>
    <xf numFmtId="3" fontId="31" fillId="0" borderId="12" xfId="7" applyNumberFormat="1" applyFont="1" applyBorder="1" applyAlignment="1">
      <alignment horizontal="center" vertical="center"/>
    </xf>
    <xf numFmtId="3" fontId="29" fillId="0" borderId="12" xfId="7" applyNumberFormat="1" applyFont="1" applyBorder="1" applyAlignment="1">
      <alignment horizontal="center" vertical="center"/>
    </xf>
    <xf numFmtId="3" fontId="31" fillId="0" borderId="31" xfId="7" applyNumberFormat="1" applyFont="1" applyBorder="1" applyAlignment="1">
      <alignment horizontal="center" vertical="center"/>
    </xf>
    <xf numFmtId="3" fontId="29" fillId="0" borderId="31" xfId="7" applyNumberFormat="1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3" fillId="0" borderId="31" xfId="7" applyFont="1" applyBorder="1" applyAlignment="1">
      <alignment horizontal="center" vertical="center"/>
    </xf>
    <xf numFmtId="1" fontId="3" fillId="0" borderId="20" xfId="7" applyNumberFormat="1" applyFont="1" applyBorder="1" applyAlignment="1">
      <alignment horizontal="center" vertical="center"/>
    </xf>
    <xf numFmtId="0" fontId="3" fillId="0" borderId="35" xfId="7" applyFont="1" applyBorder="1" applyAlignment="1">
      <alignment horizontal="center" vertical="center"/>
    </xf>
    <xf numFmtId="3" fontId="29" fillId="0" borderId="29" xfId="7" applyNumberFormat="1" applyFont="1" applyBorder="1" applyAlignment="1">
      <alignment horizontal="center" vertical="center"/>
    </xf>
    <xf numFmtId="3" fontId="29" fillId="0" borderId="14" xfId="7" applyNumberFormat="1" applyFont="1" applyBorder="1" applyAlignment="1">
      <alignment horizontal="center" vertical="center"/>
    </xf>
    <xf numFmtId="0" fontId="28" fillId="0" borderId="35" xfId="7" applyFont="1" applyBorder="1" applyAlignment="1">
      <alignment horizontal="center" vertical="center"/>
    </xf>
    <xf numFmtId="3" fontId="29" fillId="0" borderId="8" xfId="7" applyNumberFormat="1" applyFont="1" applyBorder="1" applyAlignment="1">
      <alignment horizontal="center" vertical="center"/>
    </xf>
    <xf numFmtId="3" fontId="29" fillId="0" borderId="10" xfId="7" applyNumberFormat="1" applyFont="1" applyBorder="1" applyAlignment="1">
      <alignment horizontal="center" vertical="center"/>
    </xf>
    <xf numFmtId="3" fontId="28" fillId="0" borderId="8" xfId="7" applyNumberFormat="1" applyFont="1" applyBorder="1" applyAlignment="1">
      <alignment horizontal="center" vertical="center"/>
    </xf>
    <xf numFmtId="3" fontId="29" fillId="0" borderId="5" xfId="7" applyNumberFormat="1" applyFont="1" applyBorder="1" applyAlignment="1">
      <alignment horizontal="center" vertical="center"/>
    </xf>
    <xf numFmtId="166" fontId="29" fillId="0" borderId="2" xfId="20" applyNumberFormat="1" applyFont="1" applyBorder="1" applyAlignment="1">
      <alignment horizontal="center" vertical="center"/>
    </xf>
    <xf numFmtId="166" fontId="29" fillId="0" borderId="12" xfId="20" applyNumberFormat="1" applyFont="1" applyBorder="1" applyAlignment="1">
      <alignment horizontal="center" vertical="center"/>
    </xf>
    <xf numFmtId="166" fontId="29" fillId="0" borderId="31" xfId="20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horizontal="center" vertical="center"/>
    </xf>
    <xf numFmtId="49" fontId="3" fillId="0" borderId="3" xfId="7" applyNumberFormat="1" applyFont="1" applyBorder="1" applyAlignment="1">
      <alignment horizontal="left" vertical="center" indent="1"/>
    </xf>
    <xf numFmtId="49" fontId="3" fillId="0" borderId="12" xfId="7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vertical="center" wrapText="1"/>
    </xf>
    <xf numFmtId="49" fontId="3" fillId="0" borderId="15" xfId="7" applyNumberFormat="1" applyFont="1" applyBorder="1" applyAlignment="1">
      <alignment vertical="center" wrapText="1"/>
    </xf>
    <xf numFmtId="3" fontId="28" fillId="0" borderId="8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horizontal="center" vertical="center" wrapText="1"/>
    </xf>
    <xf numFmtId="1" fontId="3" fillId="0" borderId="12" xfId="7" applyNumberFormat="1" applyFont="1" applyBorder="1" applyAlignment="1">
      <alignment horizontal="center" vertical="center" wrapText="1"/>
    </xf>
    <xf numFmtId="49" fontId="3" fillId="0" borderId="0" xfId="7" applyNumberFormat="1" applyFont="1" applyAlignment="1">
      <alignment horizontal="center" vertical="center"/>
    </xf>
    <xf numFmtId="49" fontId="3" fillId="0" borderId="1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horizontal="center" vertical="center"/>
    </xf>
    <xf numFmtId="1" fontId="3" fillId="0" borderId="7" xfId="7" applyNumberFormat="1" applyFont="1" applyBorder="1" applyAlignment="1">
      <alignment horizontal="left" vertical="center" indent="1"/>
    </xf>
    <xf numFmtId="1" fontId="3" fillId="0" borderId="11" xfId="7" applyNumberFormat="1" applyFont="1" applyBorder="1" applyAlignment="1">
      <alignment horizontal="center" vertical="center"/>
    </xf>
    <xf numFmtId="1" fontId="3" fillId="0" borderId="2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vertical="center"/>
    </xf>
    <xf numFmtId="3" fontId="3" fillId="0" borderId="12" xfId="7" applyNumberFormat="1" applyFont="1" applyBorder="1" applyAlignment="1">
      <alignment vertical="center"/>
    </xf>
    <xf numFmtId="1" fontId="3" fillId="0" borderId="3" xfId="7" applyNumberFormat="1" applyFont="1" applyBorder="1" applyAlignment="1">
      <alignment horizontal="left" vertical="center" indent="1"/>
    </xf>
    <xf numFmtId="1" fontId="3" fillId="0" borderId="0" xfId="7" applyNumberFormat="1" applyFont="1" applyAlignment="1">
      <alignment horizontal="center" vertical="center"/>
    </xf>
    <xf numFmtId="1" fontId="3" fillId="0" borderId="8" xfId="7" applyNumberFormat="1" applyFont="1" applyBorder="1" applyAlignment="1">
      <alignment horizontal="center" vertical="center"/>
    </xf>
    <xf numFmtId="49" fontId="3" fillId="0" borderId="31" xfId="7" applyNumberFormat="1" applyFont="1" applyBorder="1" applyAlignment="1">
      <alignment horizontal="center" vertical="center"/>
    </xf>
    <xf numFmtId="49" fontId="3" fillId="0" borderId="11" xfId="7" applyNumberFormat="1" applyFont="1" applyBorder="1" applyAlignment="1">
      <alignment vertical="center"/>
    </xf>
    <xf numFmtId="3" fontId="28" fillId="0" borderId="39" xfId="7" applyNumberFormat="1" applyFont="1" applyBorder="1" applyAlignment="1">
      <alignment vertical="center"/>
    </xf>
    <xf numFmtId="3" fontId="28" fillId="0" borderId="14" xfId="7" applyNumberFormat="1" applyFont="1" applyBorder="1" applyAlignment="1">
      <alignment vertical="center"/>
    </xf>
    <xf numFmtId="3" fontId="28" fillId="0" borderId="35" xfId="7" applyNumberFormat="1" applyFont="1" applyBorder="1" applyAlignment="1">
      <alignment vertical="center"/>
    </xf>
    <xf numFmtId="1" fontId="32" fillId="0" borderId="13" xfId="7" applyNumberFormat="1" applyFont="1" applyBorder="1" applyAlignment="1">
      <alignment vertical="center" wrapText="1"/>
    </xf>
    <xf numFmtId="1" fontId="32" fillId="0" borderId="15" xfId="7" applyNumberFormat="1" applyFont="1" applyBorder="1" applyAlignment="1">
      <alignment vertical="center" wrapText="1"/>
    </xf>
    <xf numFmtId="1" fontId="32" fillId="0" borderId="25" xfId="7" applyNumberFormat="1" applyFont="1" applyBorder="1" applyAlignment="1">
      <alignment horizontal="left" vertical="center" indent="1"/>
    </xf>
    <xf numFmtId="0" fontId="32" fillId="0" borderId="83" xfId="7" applyFont="1" applyBorder="1" applyAlignment="1">
      <alignment horizontal="left" vertical="center" indent="1"/>
    </xf>
    <xf numFmtId="0" fontId="32" fillId="0" borderId="6" xfId="7" applyFont="1" applyBorder="1" applyAlignment="1">
      <alignment horizontal="left" vertical="center" indent="1"/>
    </xf>
    <xf numFmtId="3" fontId="3" fillId="0" borderId="0" xfId="7" applyNumberFormat="1" applyFont="1" applyAlignment="1">
      <alignment vertical="center"/>
    </xf>
    <xf numFmtId="166" fontId="31" fillId="3" borderId="4" xfId="20" applyNumberFormat="1" applyFont="1" applyFill="1" applyBorder="1" applyAlignment="1">
      <alignment vertical="center"/>
    </xf>
    <xf numFmtId="166" fontId="31" fillId="3" borderId="5" xfId="20" applyNumberFormat="1" applyFont="1" applyFill="1" applyBorder="1" applyAlignment="1">
      <alignment vertical="center"/>
    </xf>
    <xf numFmtId="166" fontId="29" fillId="0" borderId="2" xfId="20" applyNumberFormat="1" applyFont="1" applyBorder="1" applyAlignment="1">
      <alignment vertical="center"/>
    </xf>
    <xf numFmtId="166" fontId="31" fillId="3" borderId="3" xfId="20" applyNumberFormat="1" applyFont="1" applyFill="1" applyBorder="1" applyAlignment="1">
      <alignment vertical="center"/>
    </xf>
    <xf numFmtId="166" fontId="31" fillId="3" borderId="10" xfId="20" applyNumberFormat="1" applyFont="1" applyFill="1" applyBorder="1" applyAlignment="1">
      <alignment vertical="center"/>
    </xf>
    <xf numFmtId="166" fontId="3" fillId="4" borderId="2" xfId="20" applyNumberFormat="1" applyFont="1" applyFill="1" applyBorder="1" applyAlignment="1">
      <alignment vertical="center"/>
    </xf>
    <xf numFmtId="166" fontId="3" fillId="4" borderId="4" xfId="20" applyNumberFormat="1" applyFont="1" applyFill="1" applyBorder="1" applyAlignment="1">
      <alignment vertical="center"/>
    </xf>
    <xf numFmtId="166" fontId="3" fillId="4" borderId="15" xfId="20" applyNumberFormat="1" applyFont="1" applyFill="1" applyBorder="1" applyAlignment="1">
      <alignment vertical="center"/>
    </xf>
    <xf numFmtId="166" fontId="3" fillId="3" borderId="6" xfId="20" applyNumberFormat="1" applyFont="1" applyFill="1" applyBorder="1" applyAlignment="1">
      <alignment vertical="center"/>
    </xf>
    <xf numFmtId="166" fontId="29" fillId="0" borderId="12" xfId="20" applyNumberFormat="1" applyFont="1" applyBorder="1" applyAlignment="1">
      <alignment vertical="center"/>
    </xf>
    <xf numFmtId="166" fontId="3" fillId="3" borderId="1" xfId="20" applyNumberFormat="1" applyFont="1" applyFill="1" applyBorder="1" applyAlignment="1">
      <alignment vertical="center"/>
    </xf>
    <xf numFmtId="166" fontId="3" fillId="3" borderId="2" xfId="20" applyNumberFormat="1" applyFont="1" applyFill="1" applyBorder="1" applyAlignment="1">
      <alignment vertical="center"/>
    </xf>
    <xf numFmtId="166" fontId="3" fillId="3" borderId="4" xfId="20" applyNumberFormat="1" applyFont="1" applyFill="1" applyBorder="1" applyAlignment="1">
      <alignment vertical="center"/>
    </xf>
    <xf numFmtId="166" fontId="3" fillId="3" borderId="3" xfId="20" applyNumberFormat="1" applyFont="1" applyFill="1" applyBorder="1" applyAlignment="1">
      <alignment vertical="center"/>
    </xf>
    <xf numFmtId="166" fontId="29" fillId="0" borderId="31" xfId="20" applyNumberFormat="1" applyFont="1" applyBorder="1" applyAlignment="1">
      <alignment vertical="center"/>
    </xf>
    <xf numFmtId="3" fontId="3" fillId="4" borderId="9" xfId="7" applyNumberFormat="1" applyFont="1" applyFill="1" applyBorder="1" applyAlignment="1">
      <alignment vertical="center"/>
    </xf>
    <xf numFmtId="3" fontId="3" fillId="4" borderId="5" xfId="7" applyNumberFormat="1" applyFont="1" applyFill="1" applyBorder="1" applyAlignment="1">
      <alignment vertical="center"/>
    </xf>
    <xf numFmtId="3" fontId="29" fillId="0" borderId="8" xfId="7" applyNumberFormat="1" applyFont="1" applyBorder="1" applyAlignment="1">
      <alignment vertical="center"/>
    </xf>
    <xf numFmtId="3" fontId="3" fillId="4" borderId="3" xfId="7" applyNumberFormat="1" applyFont="1" applyFill="1" applyBorder="1" applyAlignment="1">
      <alignment vertical="center"/>
    </xf>
    <xf numFmtId="3" fontId="3" fillId="4" borderId="10" xfId="7" applyNumberFormat="1" applyFont="1" applyFill="1" applyBorder="1" applyAlignment="1">
      <alignment vertical="center"/>
    </xf>
    <xf numFmtId="3" fontId="29" fillId="0" borderId="15" xfId="7" applyNumberFormat="1" applyFont="1" applyBorder="1" applyAlignment="1">
      <alignment vertical="center"/>
    </xf>
    <xf numFmtId="3" fontId="3" fillId="4" borderId="12" xfId="7" applyNumberFormat="1" applyFont="1" applyFill="1" applyBorder="1" applyAlignment="1">
      <alignment vertical="center"/>
    </xf>
    <xf numFmtId="3" fontId="3" fillId="4" borderId="2" xfId="7" applyNumberFormat="1" applyFont="1" applyFill="1" applyBorder="1" applyAlignment="1">
      <alignment vertical="center"/>
    </xf>
    <xf numFmtId="3" fontId="3" fillId="4" borderId="4" xfId="7" applyNumberFormat="1" applyFont="1" applyFill="1" applyBorder="1" applyAlignment="1">
      <alignment vertical="center"/>
    </xf>
    <xf numFmtId="3" fontId="3" fillId="4" borderId="15" xfId="7" applyNumberFormat="1" applyFont="1" applyFill="1" applyBorder="1" applyAlignment="1">
      <alignment vertical="center"/>
    </xf>
    <xf numFmtId="0" fontId="28" fillId="0" borderId="44" xfId="7" applyFont="1" applyBorder="1" applyAlignment="1">
      <alignment vertical="center"/>
    </xf>
    <xf numFmtId="0" fontId="28" fillId="0" borderId="12" xfId="7" applyFont="1" applyBorder="1" applyAlignment="1">
      <alignment vertical="center"/>
    </xf>
    <xf numFmtId="0" fontId="3" fillId="0" borderId="14" xfId="7" applyFont="1" applyBorder="1" applyAlignment="1">
      <alignment vertical="center"/>
    </xf>
    <xf numFmtId="3" fontId="3" fillId="3" borderId="6" xfId="7" applyNumberFormat="1" applyFont="1" applyFill="1" applyBorder="1" applyAlignment="1">
      <alignment vertical="center"/>
    </xf>
    <xf numFmtId="3" fontId="3" fillId="3" borderId="1" xfId="7" applyNumberFormat="1" applyFont="1" applyFill="1" applyBorder="1" applyAlignment="1">
      <alignment vertical="center"/>
    </xf>
    <xf numFmtId="0" fontId="28" fillId="0" borderId="31" xfId="7" applyFont="1" applyBorder="1" applyAlignment="1">
      <alignment vertical="center"/>
    </xf>
    <xf numFmtId="0" fontId="3" fillId="0" borderId="35" xfId="7" applyFont="1" applyBorder="1" applyAlignment="1">
      <alignment vertical="center"/>
    </xf>
    <xf numFmtId="0" fontId="3" fillId="0" borderId="3" xfId="7" applyFont="1" applyBorder="1" applyAlignment="1">
      <alignment horizontal="center" vertical="center"/>
    </xf>
    <xf numFmtId="3" fontId="29" fillId="0" borderId="5" xfId="7" applyNumberFormat="1" applyFont="1" applyBorder="1" applyAlignment="1">
      <alignment vertical="center"/>
    </xf>
    <xf numFmtId="3" fontId="3" fillId="9" borderId="34" xfId="7" applyNumberFormat="1" applyFont="1" applyFill="1" applyBorder="1" applyAlignment="1">
      <alignment vertical="center"/>
    </xf>
    <xf numFmtId="3" fontId="3" fillId="9" borderId="16" xfId="7" applyNumberFormat="1" applyFont="1" applyFill="1" applyBorder="1" applyAlignment="1">
      <alignment vertical="center"/>
    </xf>
    <xf numFmtId="3" fontId="29" fillId="0" borderId="31" xfId="7" applyNumberFormat="1" applyFont="1" applyBorder="1" applyAlignment="1">
      <alignment vertical="center"/>
    </xf>
    <xf numFmtId="3" fontId="3" fillId="4" borderId="24" xfId="7" applyNumberFormat="1" applyFont="1" applyFill="1" applyBorder="1" applyAlignment="1">
      <alignment vertical="center"/>
    </xf>
    <xf numFmtId="3" fontId="3" fillId="4" borderId="0" xfId="7" applyNumberFormat="1" applyFont="1" applyFill="1" applyAlignment="1">
      <alignment vertical="center"/>
    </xf>
    <xf numFmtId="3" fontId="3" fillId="9" borderId="6" xfId="7" applyNumberFormat="1" applyFont="1" applyFill="1" applyBorder="1" applyAlignment="1">
      <alignment vertical="center"/>
    </xf>
    <xf numFmtId="3" fontId="29" fillId="0" borderId="10" xfId="7" applyNumberFormat="1" applyFont="1" applyBorder="1" applyAlignment="1">
      <alignment vertical="center"/>
    </xf>
    <xf numFmtId="3" fontId="29" fillId="0" borderId="6" xfId="7" applyNumberFormat="1" applyFont="1" applyBorder="1" applyAlignment="1">
      <alignment vertical="center"/>
    </xf>
    <xf numFmtId="3" fontId="31" fillId="0" borderId="6" xfId="7" applyNumberFormat="1" applyFont="1" applyBorder="1" applyAlignment="1">
      <alignment vertical="center"/>
    </xf>
    <xf numFmtId="3" fontId="3" fillId="4" borderId="34" xfId="7" applyNumberFormat="1" applyFont="1" applyFill="1" applyBorder="1" applyAlignment="1">
      <alignment vertical="center"/>
    </xf>
    <xf numFmtId="3" fontId="3" fillId="4" borderId="22" xfId="7" applyNumberFormat="1" applyFont="1" applyFill="1" applyBorder="1" applyAlignment="1">
      <alignment vertical="center"/>
    </xf>
    <xf numFmtId="0" fontId="28" fillId="0" borderId="25" xfId="7" applyFont="1" applyBorder="1" applyAlignment="1">
      <alignment vertical="center"/>
    </xf>
    <xf numFmtId="0" fontId="3" fillId="0" borderId="22" xfId="7" applyFont="1" applyBorder="1" applyAlignment="1">
      <alignment vertical="center"/>
    </xf>
    <xf numFmtId="0" fontId="28" fillId="0" borderId="22" xfId="7" applyFont="1" applyBorder="1" applyAlignment="1">
      <alignment horizontal="right" vertical="center"/>
    </xf>
    <xf numFmtId="0" fontId="29" fillId="0" borderId="31" xfId="7" applyFont="1" applyBorder="1" applyAlignment="1">
      <alignment vertical="center"/>
    </xf>
    <xf numFmtId="0" fontId="3" fillId="0" borderId="56" xfId="7" applyFont="1" applyBorder="1" applyAlignment="1">
      <alignment vertical="center"/>
    </xf>
    <xf numFmtId="3" fontId="29" fillId="0" borderId="12" xfId="7" applyNumberFormat="1" applyFont="1" applyBorder="1" applyAlignment="1">
      <alignment vertical="center"/>
    </xf>
    <xf numFmtId="3" fontId="3" fillId="4" borderId="7" xfId="7" applyNumberFormat="1" applyFont="1" applyFill="1" applyBorder="1" applyAlignment="1">
      <alignment vertical="center"/>
    </xf>
    <xf numFmtId="3" fontId="3" fillId="4" borderId="1" xfId="7" applyNumberFormat="1" applyFont="1" applyFill="1" applyBorder="1" applyAlignment="1">
      <alignment vertical="center"/>
    </xf>
    <xf numFmtId="3" fontId="3" fillId="3" borderId="36" xfId="7" applyNumberFormat="1" applyFont="1" applyFill="1" applyBorder="1" applyAlignment="1">
      <alignment vertical="center"/>
    </xf>
    <xf numFmtId="3" fontId="3" fillId="4" borderId="37" xfId="7" applyNumberFormat="1" applyFont="1" applyFill="1" applyBorder="1" applyAlignment="1">
      <alignment vertical="center"/>
    </xf>
    <xf numFmtId="0" fontId="37" fillId="0" borderId="0" xfId="7" applyFont="1" applyAlignment="1">
      <alignment horizontal="right" vertical="center"/>
    </xf>
    <xf numFmtId="0" fontId="3" fillId="13" borderId="6" xfId="7" applyFont="1" applyFill="1" applyBorder="1" applyAlignment="1">
      <alignment vertical="center"/>
    </xf>
    <xf numFmtId="3" fontId="29" fillId="0" borderId="14" xfId="7" applyNumberFormat="1" applyFont="1" applyBorder="1" applyAlignment="1">
      <alignment vertical="center"/>
    </xf>
    <xf numFmtId="0" fontId="3" fillId="13" borderId="1" xfId="7" applyFont="1" applyFill="1" applyBorder="1" applyAlignment="1">
      <alignment vertical="center"/>
    </xf>
    <xf numFmtId="0" fontId="28" fillId="0" borderId="19" xfId="7" applyFont="1" applyBorder="1" applyAlignment="1">
      <alignment horizontal="left" vertical="center" indent="1"/>
    </xf>
    <xf numFmtId="0" fontId="3" fillId="13" borderId="14" xfId="7" applyFont="1" applyFill="1" applyBorder="1" applyAlignment="1">
      <alignment vertical="center"/>
    </xf>
    <xf numFmtId="0" fontId="29" fillId="0" borderId="83" xfId="7" applyFont="1" applyBorder="1" applyAlignment="1">
      <alignment horizontal="left" vertical="center" indent="1"/>
    </xf>
    <xf numFmtId="0" fontId="37" fillId="0" borderId="0" xfId="7" applyFont="1" applyAlignment="1">
      <alignment vertical="center"/>
    </xf>
    <xf numFmtId="0" fontId="28" fillId="10" borderId="19" xfId="7" applyFont="1" applyFill="1" applyBorder="1" applyAlignment="1">
      <alignment horizontal="center" vertical="center"/>
    </xf>
    <xf numFmtId="0" fontId="28" fillId="10" borderId="12" xfId="7" applyFont="1" applyFill="1" applyBorder="1" applyAlignment="1">
      <alignment horizontal="center" vertical="center"/>
    </xf>
    <xf numFmtId="0" fontId="28" fillId="10" borderId="14" xfId="7" applyFont="1" applyFill="1" applyBorder="1" applyAlignment="1">
      <alignment horizontal="center" vertical="center"/>
    </xf>
    <xf numFmtId="0" fontId="28" fillId="0" borderId="14" xfId="7" applyFont="1" applyBorder="1" applyAlignment="1">
      <alignment vertical="center"/>
    </xf>
    <xf numFmtId="0" fontId="28" fillId="0" borderId="20" xfId="7" applyFont="1" applyBorder="1" applyAlignment="1">
      <alignment horizontal="left" vertical="center" indent="1"/>
    </xf>
    <xf numFmtId="0" fontId="21" fillId="0" borderId="6" xfId="0" applyFont="1" applyBorder="1" applyAlignment="1">
      <alignment horizontal="left" vertical="top" wrapText="1"/>
    </xf>
    <xf numFmtId="0" fontId="28" fillId="0" borderId="35" xfId="7" applyFont="1" applyBorder="1" applyAlignment="1">
      <alignment vertical="center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vertical="center"/>
    </xf>
    <xf numFmtId="0" fontId="3" fillId="14" borderId="15" xfId="7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horizontal="center" vertical="center"/>
    </xf>
    <xf numFmtId="49" fontId="3" fillId="14" borderId="23" xfId="7" applyNumberFormat="1" applyFont="1" applyFill="1" applyBorder="1" applyAlignment="1">
      <alignment vertical="center"/>
    </xf>
    <xf numFmtId="49" fontId="3" fillId="14" borderId="21" xfId="7" applyNumberFormat="1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vertical="center" wrapText="1"/>
    </xf>
    <xf numFmtId="0" fontId="3" fillId="14" borderId="6" xfId="7" applyFont="1" applyFill="1" applyBorder="1" applyAlignment="1">
      <alignment horizontal="center" vertical="center"/>
    </xf>
    <xf numFmtId="0" fontId="3" fillId="14" borderId="0" xfId="7" applyFont="1" applyFill="1" applyAlignment="1">
      <alignment horizontal="left" vertical="center" indent="1"/>
    </xf>
    <xf numFmtId="0" fontId="3" fillId="14" borderId="0" xfId="7" applyFont="1" applyFill="1" applyAlignment="1">
      <alignment vertical="center"/>
    </xf>
    <xf numFmtId="3" fontId="29" fillId="14" borderId="31" xfId="7" applyNumberFormat="1" applyFont="1" applyFill="1" applyBorder="1" applyAlignment="1">
      <alignment vertical="center"/>
    </xf>
    <xf numFmtId="0" fontId="3" fillId="14" borderId="13" xfId="7" applyFont="1" applyFill="1" applyBorder="1" applyAlignment="1">
      <alignment vertical="center" textRotation="90" wrapText="1"/>
    </xf>
    <xf numFmtId="0" fontId="3" fillId="14" borderId="13" xfId="7" applyFont="1" applyFill="1" applyBorder="1" applyAlignment="1">
      <alignment vertical="center"/>
    </xf>
    <xf numFmtId="0" fontId="32" fillId="14" borderId="13" xfId="7" applyFont="1" applyFill="1" applyBorder="1" applyAlignment="1">
      <alignment horizontal="left" vertical="center" indent="1"/>
    </xf>
    <xf numFmtId="0" fontId="3" fillId="14" borderId="13" xfId="7" applyFont="1" applyFill="1" applyBorder="1" applyAlignment="1">
      <alignment horizontal="left" vertical="center" indent="1"/>
    </xf>
    <xf numFmtId="1" fontId="23" fillId="14" borderId="4" xfId="7" applyNumberFormat="1" applyFont="1" applyFill="1" applyBorder="1" applyAlignment="1">
      <alignment horizontal="left" vertical="center" indent="1"/>
    </xf>
    <xf numFmtId="0" fontId="23" fillId="14" borderId="5" xfId="7" applyFont="1" applyFill="1" applyBorder="1" applyAlignment="1">
      <alignment vertical="center"/>
    </xf>
    <xf numFmtId="0" fontId="38" fillId="0" borderId="0" xfId="7" applyFont="1" applyAlignment="1">
      <alignment horizontal="center" vertical="center"/>
    </xf>
    <xf numFmtId="1" fontId="23" fillId="14" borderId="26" xfId="7" applyNumberFormat="1" applyFont="1" applyFill="1" applyBorder="1" applyAlignment="1">
      <alignment horizontal="left" vertical="center" indent="1"/>
    </xf>
    <xf numFmtId="0" fontId="28" fillId="14" borderId="16" xfId="7" applyFont="1" applyFill="1" applyBorder="1" applyAlignment="1">
      <alignment vertical="center"/>
    </xf>
    <xf numFmtId="1" fontId="39" fillId="14" borderId="24" xfId="7" applyNumberFormat="1" applyFont="1" applyFill="1" applyBorder="1" applyAlignment="1">
      <alignment horizontal="left" vertical="center" indent="1"/>
    </xf>
    <xf numFmtId="0" fontId="39" fillId="14" borderId="24" xfId="7" applyFont="1" applyFill="1" applyBorder="1" applyAlignment="1">
      <alignment horizontal="left" vertical="center" indent="1"/>
    </xf>
    <xf numFmtId="0" fontId="28" fillId="14" borderId="24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vertical="center"/>
    </xf>
    <xf numFmtId="0" fontId="3" fillId="14" borderId="26" xfId="7" applyFont="1" applyFill="1" applyBorder="1" applyAlignment="1">
      <alignment horizontal="left" vertical="center"/>
    </xf>
    <xf numFmtId="17" fontId="28" fillId="14" borderId="18" xfId="7" applyNumberFormat="1" applyFont="1" applyFill="1" applyBorder="1" applyAlignment="1">
      <alignment horizontal="center" vertical="center"/>
    </xf>
    <xf numFmtId="17" fontId="28" fillId="14" borderId="19" xfId="7" applyNumberFormat="1" applyFont="1" applyFill="1" applyBorder="1" applyAlignment="1">
      <alignment horizontal="center" vertical="center"/>
    </xf>
    <xf numFmtId="0" fontId="28" fillId="14" borderId="20" xfId="7" applyFont="1" applyFill="1" applyBorder="1" applyAlignment="1">
      <alignment horizontal="center" vertical="center"/>
    </xf>
    <xf numFmtId="0" fontId="5" fillId="14" borderId="12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vertical="center"/>
    </xf>
    <xf numFmtId="3" fontId="3" fillId="0" borderId="14" xfId="7" applyNumberFormat="1" applyFont="1" applyBorder="1" applyAlignment="1">
      <alignment horizontal="center" vertical="center"/>
    </xf>
    <xf numFmtId="0" fontId="28" fillId="0" borderId="40" xfId="7" applyFont="1" applyBorder="1" applyAlignment="1">
      <alignment horizontal="center" vertical="center"/>
    </xf>
    <xf numFmtId="0" fontId="5" fillId="14" borderId="57" xfId="0" applyFont="1" applyFill="1" applyBorder="1" applyAlignment="1">
      <alignment horizontal="center" vertical="center"/>
    </xf>
    <xf numFmtId="0" fontId="5" fillId="14" borderId="58" xfId="0" applyFont="1" applyFill="1" applyBorder="1" applyAlignment="1">
      <alignment horizontal="center" vertical="center"/>
    </xf>
    <xf numFmtId="0" fontId="5" fillId="14" borderId="68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0" borderId="84" xfId="0" applyFont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0" borderId="86" xfId="0" applyFont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8" xfId="0" applyFont="1" applyFill="1" applyBorder="1" applyAlignment="1">
      <alignment horizontal="center" vertical="center"/>
    </xf>
    <xf numFmtId="0" fontId="5" fillId="4" borderId="89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vertical="center"/>
    </xf>
    <xf numFmtId="0" fontId="5" fillId="4" borderId="35" xfId="0" applyFont="1" applyFill="1" applyBorder="1" applyAlignment="1">
      <alignment vertical="center"/>
    </xf>
    <xf numFmtId="0" fontId="5" fillId="7" borderId="69" xfId="0" applyFont="1" applyFill="1" applyBorder="1" applyAlignment="1">
      <alignment horizontal="center" vertical="center" wrapText="1"/>
    </xf>
    <xf numFmtId="0" fontId="5" fillId="10" borderId="69" xfId="0" applyFont="1" applyFill="1" applyBorder="1" applyAlignment="1">
      <alignment horizontal="center" vertical="center" wrapText="1"/>
    </xf>
    <xf numFmtId="0" fontId="5" fillId="8" borderId="69" xfId="0" applyFont="1" applyFill="1" applyBorder="1" applyAlignment="1">
      <alignment horizontal="center" vertical="center" wrapText="1"/>
    </xf>
    <xf numFmtId="0" fontId="5" fillId="14" borderId="9" xfId="0" applyFont="1" applyFill="1" applyBorder="1" applyAlignment="1">
      <alignment horizontal="center" vertical="center"/>
    </xf>
    <xf numFmtId="3" fontId="3" fillId="14" borderId="12" xfId="7" applyNumberFormat="1" applyFont="1" applyFill="1" applyBorder="1" applyAlignment="1">
      <alignment horizontal="center" vertical="center"/>
    </xf>
    <xf numFmtId="3" fontId="3" fillId="14" borderId="2" xfId="7" applyNumberFormat="1" applyFont="1" applyFill="1" applyBorder="1" applyAlignment="1">
      <alignment horizontal="center" vertical="center"/>
    </xf>
    <xf numFmtId="0" fontId="5" fillId="14" borderId="4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vertical="center"/>
    </xf>
    <xf numFmtId="0" fontId="5" fillId="4" borderId="39" xfId="0" applyFont="1" applyFill="1" applyBorder="1" applyAlignment="1">
      <alignment vertical="center"/>
    </xf>
    <xf numFmtId="0" fontId="5" fillId="4" borderId="83" xfId="0" applyFont="1" applyFill="1" applyBorder="1" applyAlignment="1">
      <alignment vertical="center"/>
    </xf>
    <xf numFmtId="0" fontId="5" fillId="0" borderId="83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9" fillId="14" borderId="12" xfId="0" applyFont="1" applyFill="1" applyBorder="1" applyAlignment="1">
      <alignment horizontal="center" vertical="center"/>
    </xf>
    <xf numFmtId="3" fontId="29" fillId="14" borderId="12" xfId="7" applyNumberFormat="1" applyFont="1" applyFill="1" applyBorder="1" applyAlignment="1">
      <alignment horizontal="center" vertical="center"/>
    </xf>
    <xf numFmtId="0" fontId="29" fillId="14" borderId="51" xfId="7" applyFont="1" applyFill="1" applyBorder="1" applyAlignment="1">
      <alignment horizontal="center" vertical="center"/>
    </xf>
    <xf numFmtId="0" fontId="28" fillId="14" borderId="12" xfId="7" applyFont="1" applyFill="1" applyBorder="1" applyAlignment="1">
      <alignment horizontal="center" vertical="center"/>
    </xf>
    <xf numFmtId="0" fontId="5" fillId="14" borderId="9" xfId="0" applyFont="1" applyFill="1" applyBorder="1" applyAlignment="1">
      <alignment vertical="center"/>
    </xf>
    <xf numFmtId="0" fontId="4" fillId="14" borderId="13" xfId="0" applyFont="1" applyFill="1" applyBorder="1" applyAlignment="1">
      <alignment vertical="center"/>
    </xf>
    <xf numFmtId="1" fontId="40" fillId="14" borderId="7" xfId="7" applyNumberFormat="1" applyFont="1" applyFill="1" applyBorder="1" applyAlignment="1">
      <alignment vertical="center"/>
    </xf>
    <xf numFmtId="0" fontId="4" fillId="14" borderId="11" xfId="0" applyFont="1" applyFill="1" applyBorder="1" applyAlignment="1">
      <alignment vertical="center"/>
    </xf>
    <xf numFmtId="0" fontId="41" fillId="0" borderId="0" xfId="0" applyFont="1"/>
    <xf numFmtId="0" fontId="5" fillId="14" borderId="12" xfId="0" applyFont="1" applyFill="1" applyBorder="1" applyAlignment="1">
      <alignment vertical="center"/>
    </xf>
    <xf numFmtId="1" fontId="3" fillId="0" borderId="6" xfId="7" applyNumberFormat="1" applyFont="1" applyBorder="1" applyAlignment="1">
      <alignment horizontal="center" vertical="center"/>
    </xf>
    <xf numFmtId="0" fontId="5" fillId="14" borderId="73" xfId="0" applyFont="1" applyFill="1" applyBorder="1" applyAlignment="1">
      <alignment vertical="center"/>
    </xf>
    <xf numFmtId="0" fontId="28" fillId="14" borderId="12" xfId="7" applyFont="1" applyFill="1" applyBorder="1" applyAlignment="1">
      <alignment horizontal="left" vertical="center" indent="1"/>
    </xf>
    <xf numFmtId="0" fontId="3" fillId="14" borderId="12" xfId="7" applyFont="1" applyFill="1" applyBorder="1" applyAlignment="1">
      <alignment horizontal="left" vertical="center"/>
    </xf>
    <xf numFmtId="0" fontId="28" fillId="0" borderId="0" xfId="7" applyFont="1" applyAlignment="1">
      <alignment horizontal="left" vertical="center" indent="1"/>
    </xf>
    <xf numFmtId="0" fontId="3" fillId="0" borderId="19" xfId="7" applyFont="1" applyBorder="1" applyAlignment="1">
      <alignment horizontal="left" vertical="center" indent="1"/>
    </xf>
    <xf numFmtId="0" fontId="31" fillId="0" borderId="83" xfId="7" applyFont="1" applyBorder="1" applyAlignment="1">
      <alignment horizontal="left" vertical="center" indent="1"/>
    </xf>
    <xf numFmtId="0" fontId="3" fillId="0" borderId="20" xfId="7" applyFont="1" applyBorder="1" applyAlignment="1">
      <alignment horizontal="left" vertical="center" indent="1"/>
    </xf>
    <xf numFmtId="0" fontId="3" fillId="0" borderId="14" xfId="7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39" xfId="7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vertical="center"/>
    </xf>
    <xf numFmtId="0" fontId="5" fillId="10" borderId="79" xfId="0" applyFont="1" applyFill="1" applyBorder="1" applyAlignment="1">
      <alignment vertical="center"/>
    </xf>
    <xf numFmtId="49" fontId="45" fillId="0" borderId="0" xfId="0" applyNumberFormat="1" applyFont="1" applyAlignment="1">
      <alignment horizontal="right" vertical="center"/>
    </xf>
    <xf numFmtId="0" fontId="8" fillId="15" borderId="0" xfId="0" applyFont="1" applyFill="1" applyAlignment="1">
      <alignment vertical="center"/>
    </xf>
    <xf numFmtId="0" fontId="9" fillId="16" borderId="12" xfId="0" applyFont="1" applyFill="1" applyBorder="1" applyAlignment="1">
      <alignment vertical="center"/>
    </xf>
    <xf numFmtId="0" fontId="5" fillId="16" borderId="15" xfId="0" applyFont="1" applyFill="1" applyBorder="1" applyAlignment="1">
      <alignment horizontal="center" vertical="center"/>
    </xf>
    <xf numFmtId="0" fontId="5" fillId="17" borderId="79" xfId="0" applyFont="1" applyFill="1" applyBorder="1" applyAlignment="1">
      <alignment vertical="center"/>
    </xf>
    <xf numFmtId="0" fontId="46" fillId="0" borderId="0" xfId="0" applyFont="1" applyAlignment="1">
      <alignment vertical="center"/>
    </xf>
    <xf numFmtId="3" fontId="3" fillId="0" borderId="12" xfId="7" applyNumberFormat="1" applyFont="1" applyBorder="1" applyAlignment="1">
      <alignment horizontal="center" vertical="center"/>
    </xf>
    <xf numFmtId="0" fontId="5" fillId="2" borderId="12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5" fillId="10" borderId="12" xfId="0" applyFont="1" applyFill="1" applyBorder="1" applyAlignment="1">
      <alignment vertical="center"/>
    </xf>
    <xf numFmtId="0" fontId="3" fillId="0" borderId="45" xfId="7" applyFont="1" applyBorder="1" applyAlignment="1">
      <alignment vertical="center"/>
    </xf>
    <xf numFmtId="0" fontId="28" fillId="0" borderId="46" xfId="7" applyFont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5" fillId="0" borderId="83" xfId="0" applyFont="1" applyFill="1" applyBorder="1" applyAlignment="1">
      <alignment vertical="center"/>
    </xf>
    <xf numFmtId="0" fontId="5" fillId="0" borderId="39" xfId="0" applyFont="1" applyFill="1" applyBorder="1" applyAlignment="1">
      <alignment vertical="center"/>
    </xf>
    <xf numFmtId="0" fontId="9" fillId="2" borderId="12" xfId="0" applyFont="1" applyFill="1" applyBorder="1" applyAlignment="1">
      <alignment horizontal="center" vertical="center"/>
    </xf>
    <xf numFmtId="0" fontId="28" fillId="14" borderId="9" xfId="7" applyFont="1" applyFill="1" applyBorder="1" applyAlignment="1">
      <alignment horizontal="left" vertical="center" indent="1"/>
    </xf>
    <xf numFmtId="0" fontId="28" fillId="14" borderId="13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horizontal="left" vertical="center" indent="1"/>
    </xf>
    <xf numFmtId="0" fontId="9" fillId="2" borderId="0" xfId="0" applyFont="1" applyFill="1" applyAlignment="1">
      <alignment vertical="center"/>
    </xf>
    <xf numFmtId="0" fontId="27" fillId="0" borderId="0" xfId="6" applyFont="1" applyAlignment="1">
      <alignment vertical="center"/>
    </xf>
    <xf numFmtId="0" fontId="9" fillId="2" borderId="0" xfId="0" applyFont="1" applyFill="1" applyAlignment="1">
      <alignment vertical="center"/>
    </xf>
    <xf numFmtId="0" fontId="28" fillId="0" borderId="0" xfId="7" applyFont="1" applyAlignment="1">
      <alignment vertical="center"/>
    </xf>
    <xf numFmtId="0" fontId="5" fillId="16" borderId="12" xfId="0" applyFont="1" applyFill="1" applyBorder="1" applyAlignment="1">
      <alignment horizontal="center" vertical="center"/>
    </xf>
    <xf numFmtId="0" fontId="5" fillId="17" borderId="12" xfId="0" applyFont="1" applyFill="1" applyBorder="1" applyAlignment="1">
      <alignment vertical="center"/>
    </xf>
    <xf numFmtId="0" fontId="9" fillId="10" borderId="79" xfId="0" applyFont="1" applyFill="1" applyBorder="1" applyAlignment="1">
      <alignment horizontal="left" vertical="center" indent="1"/>
    </xf>
    <xf numFmtId="0" fontId="5" fillId="10" borderId="68" xfId="0" applyFont="1" applyFill="1" applyBorder="1" applyAlignment="1">
      <alignment horizontal="center" vertical="center"/>
    </xf>
    <xf numFmtId="0" fontId="9" fillId="18" borderId="80" xfId="0" applyFont="1" applyFill="1" applyBorder="1" applyAlignment="1">
      <alignment horizontal="left" vertical="center" indent="1"/>
    </xf>
    <xf numFmtId="0" fontId="5" fillId="18" borderId="58" xfId="0" applyFont="1" applyFill="1" applyBorder="1" applyAlignment="1">
      <alignment horizontal="center" vertical="center"/>
    </xf>
    <xf numFmtId="0" fontId="5" fillId="14" borderId="79" xfId="0" applyFont="1" applyFill="1" applyBorder="1" applyAlignment="1">
      <alignment horizontal="left" vertical="center" indent="1"/>
    </xf>
    <xf numFmtId="0" fontId="48" fillId="0" borderId="0" xfId="0" applyFont="1" applyAlignment="1">
      <alignment vertical="center"/>
    </xf>
    <xf numFmtId="0" fontId="4" fillId="11" borderId="0" xfId="0" applyFont="1" applyFill="1" applyAlignment="1">
      <alignment vertical="center"/>
    </xf>
    <xf numFmtId="0" fontId="9" fillId="6" borderId="9" xfId="0" applyFont="1" applyFill="1" applyBorder="1" applyAlignment="1">
      <alignment horizontal="center" vertical="center" wrapText="1"/>
    </xf>
    <xf numFmtId="0" fontId="9" fillId="6" borderId="13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 vertical="center" wrapText="1"/>
    </xf>
    <xf numFmtId="49" fontId="47" fillId="0" borderId="10" xfId="0" applyNumberFormat="1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9" fillId="6" borderId="6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0" fontId="5" fillId="0" borderId="62" xfId="0" applyFont="1" applyBorder="1" applyAlignment="1">
      <alignment vertical="center"/>
    </xf>
    <xf numFmtId="0" fontId="9" fillId="6" borderId="12" xfId="0" applyFont="1" applyFill="1" applyBorder="1" applyAlignment="1">
      <alignment horizontal="center" vertical="center"/>
    </xf>
    <xf numFmtId="0" fontId="5" fillId="0" borderId="59" xfId="0" applyFont="1" applyBorder="1" applyAlignment="1">
      <alignment vertical="center"/>
    </xf>
    <xf numFmtId="0" fontId="5" fillId="7" borderId="62" xfId="0" applyFont="1" applyFill="1" applyBorder="1" applyAlignment="1">
      <alignment vertical="center"/>
    </xf>
    <xf numFmtId="0" fontId="9" fillId="6" borderId="18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 applyAlignment="1">
      <alignment horizontal="center" vertical="center"/>
    </xf>
    <xf numFmtId="0" fontId="9" fillId="6" borderId="6" xfId="5" applyFont="1" applyFill="1" applyBorder="1" applyAlignment="1">
      <alignment horizontal="center" vertical="center" wrapText="1"/>
    </xf>
    <xf numFmtId="0" fontId="9" fillId="6" borderId="2" xfId="5" applyFont="1" applyFill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 vertical="center"/>
    </xf>
    <xf numFmtId="0" fontId="5" fillId="14" borderId="9" xfId="0" applyFont="1" applyFill="1" applyBorder="1" applyAlignment="1">
      <alignment horizontal="left" vertical="center"/>
    </xf>
    <xf numFmtId="0" fontId="5" fillId="14" borderId="15" xfId="0" applyFont="1" applyFill="1" applyBorder="1" applyAlignment="1">
      <alignment horizontal="left" vertical="center"/>
    </xf>
    <xf numFmtId="0" fontId="9" fillId="6" borderId="12" xfId="0" applyFont="1" applyFill="1" applyBorder="1" applyAlignment="1">
      <alignment horizontal="center" vertical="center" wrapText="1"/>
    </xf>
    <xf numFmtId="0" fontId="5" fillId="0" borderId="60" xfId="0" applyFont="1" applyBorder="1" applyAlignment="1">
      <alignment horizontal="center" vertical="center"/>
    </xf>
    <xf numFmtId="0" fontId="5" fillId="0" borderId="70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5" fillId="0" borderId="63" xfId="0" applyFont="1" applyBorder="1" applyAlignment="1">
      <alignment horizontal="center" vertical="center" wrapText="1"/>
    </xf>
    <xf numFmtId="0" fontId="9" fillId="6" borderId="12" xfId="5" applyFont="1" applyFill="1" applyBorder="1" applyAlignment="1">
      <alignment horizontal="center" vertical="center"/>
    </xf>
    <xf numFmtId="0" fontId="5" fillId="0" borderId="60" xfId="0" applyFont="1" applyBorder="1" applyAlignment="1">
      <alignment vertical="center"/>
    </xf>
    <xf numFmtId="0" fontId="5" fillId="0" borderId="70" xfId="0" applyFont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/>
    </xf>
    <xf numFmtId="0" fontId="9" fillId="6" borderId="21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5" fillId="14" borderId="4" xfId="0" applyFont="1" applyFill="1" applyBorder="1" applyAlignment="1">
      <alignment horizontal="left" vertical="center"/>
    </xf>
    <xf numFmtId="0" fontId="5" fillId="14" borderId="5" xfId="0" applyFont="1" applyFill="1" applyBorder="1" applyAlignment="1">
      <alignment horizontal="left" vertical="center"/>
    </xf>
    <xf numFmtId="0" fontId="9" fillId="6" borderId="5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5" fillId="0" borderId="61" xfId="0" applyFont="1" applyBorder="1" applyAlignment="1">
      <alignment horizontal="center" vertical="center"/>
    </xf>
    <xf numFmtId="0" fontId="5" fillId="0" borderId="57" xfId="0" applyFont="1" applyBorder="1" applyAlignment="1">
      <alignment horizontal="center" vertical="center" textRotation="90" wrapText="1"/>
    </xf>
    <xf numFmtId="0" fontId="5" fillId="0" borderId="68" xfId="0" applyFont="1" applyBorder="1" applyAlignment="1">
      <alignment horizontal="center" vertical="center" textRotation="90" wrapText="1"/>
    </xf>
    <xf numFmtId="0" fontId="5" fillId="0" borderId="58" xfId="0" applyFont="1" applyBorder="1" applyAlignment="1">
      <alignment horizontal="center" vertical="center" textRotation="90" wrapText="1"/>
    </xf>
    <xf numFmtId="0" fontId="5" fillId="0" borderId="4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28" fillId="14" borderId="9" xfId="7" applyFont="1" applyFill="1" applyBorder="1" applyAlignment="1">
      <alignment horizontal="left" vertical="center" indent="1"/>
    </xf>
    <xf numFmtId="0" fontId="28" fillId="14" borderId="13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horizontal="left" vertical="center" indent="1"/>
    </xf>
    <xf numFmtId="0" fontId="5" fillId="0" borderId="63" xfId="0" applyFont="1" applyBorder="1" applyAlignment="1">
      <alignment vertical="center"/>
    </xf>
    <xf numFmtId="0" fontId="5" fillId="0" borderId="69" xfId="0" applyFont="1" applyBorder="1" applyAlignment="1">
      <alignment vertical="center"/>
    </xf>
    <xf numFmtId="0" fontId="5" fillId="0" borderId="61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 wrapText="1"/>
    </xf>
    <xf numFmtId="0" fontId="5" fillId="14" borderId="12" xfId="0" applyFont="1" applyFill="1" applyBorder="1" applyAlignment="1">
      <alignment horizontal="left" vertical="center"/>
    </xf>
    <xf numFmtId="0" fontId="28" fillId="0" borderId="52" xfId="7" applyFont="1" applyBorder="1" applyAlignment="1">
      <alignment horizontal="center" vertical="center"/>
    </xf>
    <xf numFmtId="0" fontId="28" fillId="0" borderId="50" xfId="7" applyFont="1" applyBorder="1" applyAlignment="1">
      <alignment horizontal="center" vertical="center"/>
    </xf>
    <xf numFmtId="0" fontId="28" fillId="0" borderId="51" xfId="7" applyFont="1" applyBorder="1" applyAlignment="1">
      <alignment horizontal="center" vertical="center"/>
    </xf>
    <xf numFmtId="0" fontId="28" fillId="0" borderId="40" xfId="7" applyFont="1" applyBorder="1" applyAlignment="1">
      <alignment horizontal="center" vertical="center" wrapText="1"/>
    </xf>
    <xf numFmtId="0" fontId="28" fillId="0" borderId="41" xfId="7" applyFont="1" applyBorder="1" applyAlignment="1">
      <alignment horizontal="center" vertical="center" wrapText="1"/>
    </xf>
    <xf numFmtId="0" fontId="3" fillId="0" borderId="23" xfId="7" applyFont="1" applyBorder="1" applyAlignment="1">
      <alignment horizontal="left" vertical="center" indent="1"/>
    </xf>
    <xf numFmtId="0" fontId="3" fillId="0" borderId="21" xfId="7" applyFont="1" applyBorder="1" applyAlignment="1">
      <alignment horizontal="left" vertical="center" indent="1"/>
    </xf>
    <xf numFmtId="0" fontId="3" fillId="0" borderId="5" xfId="7" applyFont="1" applyBorder="1" applyAlignment="1">
      <alignment horizontal="left" vertical="center" indent="1"/>
    </xf>
    <xf numFmtId="0" fontId="3" fillId="0" borderId="43" xfId="7" applyFont="1" applyBorder="1" applyAlignment="1">
      <alignment horizontal="left" vertical="center" indent="1"/>
    </xf>
    <xf numFmtId="0" fontId="3" fillId="0" borderId="0" xfId="7" applyFont="1" applyAlignment="1">
      <alignment horizontal="left" vertical="center" indent="1"/>
    </xf>
    <xf numFmtId="0" fontId="3" fillId="0" borderId="10" xfId="7" applyFont="1" applyBorder="1" applyAlignment="1">
      <alignment horizontal="left" vertical="center" indent="1"/>
    </xf>
    <xf numFmtId="0" fontId="3" fillId="0" borderId="42" xfId="7" applyFont="1" applyBorder="1" applyAlignment="1">
      <alignment horizontal="left" vertical="center" indent="1"/>
    </xf>
    <xf numFmtId="0" fontId="3" fillId="0" borderId="11" xfId="7" applyFont="1" applyBorder="1" applyAlignment="1">
      <alignment horizontal="left" vertical="center" indent="1"/>
    </xf>
    <xf numFmtId="0" fontId="3" fillId="0" borderId="8" xfId="7" applyFont="1" applyBorder="1" applyAlignment="1">
      <alignment horizontal="left" vertical="center" indent="1"/>
    </xf>
    <xf numFmtId="0" fontId="3" fillId="11" borderId="9" xfId="19" applyFont="1" applyFill="1" applyBorder="1" applyAlignment="1">
      <alignment horizontal="center" vertical="center"/>
    </xf>
    <xf numFmtId="0" fontId="3" fillId="11" borderId="13" xfId="19" applyFont="1" applyFill="1" applyBorder="1" applyAlignment="1">
      <alignment horizontal="center" vertical="center"/>
    </xf>
    <xf numFmtId="0" fontId="3" fillId="11" borderId="15" xfId="19" applyFont="1" applyFill="1" applyBorder="1" applyAlignment="1">
      <alignment horizontal="center" vertical="center"/>
    </xf>
    <xf numFmtId="0" fontId="24" fillId="0" borderId="0" xfId="7" applyFont="1" applyAlignment="1">
      <alignment horizontal="left" vertical="center" indent="22"/>
    </xf>
    <xf numFmtId="0" fontId="27" fillId="0" borderId="0" xfId="18" applyFont="1" applyAlignment="1">
      <alignment horizontal="left" vertical="center"/>
    </xf>
    <xf numFmtId="0" fontId="28" fillId="0" borderId="0" xfId="7" applyFont="1" applyAlignment="1">
      <alignment horizontal="left" vertical="center"/>
    </xf>
    <xf numFmtId="0" fontId="30" fillId="0" borderId="22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15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0" fontId="3" fillId="0" borderId="5" xfId="7" applyFont="1" applyBorder="1" applyAlignment="1">
      <alignment horizontal="center" vertical="center"/>
    </xf>
    <xf numFmtId="0" fontId="28" fillId="0" borderId="47" xfId="7" applyFont="1" applyBorder="1" applyAlignment="1">
      <alignment horizontal="center" vertical="center"/>
    </xf>
    <xf numFmtId="0" fontId="28" fillId="0" borderId="54" xfId="7" applyFont="1" applyBorder="1" applyAlignment="1">
      <alignment horizontal="center" vertical="center"/>
    </xf>
    <xf numFmtId="0" fontId="28" fillId="0" borderId="48" xfId="7" applyFont="1" applyBorder="1" applyAlignment="1">
      <alignment horizontal="center" vertical="center"/>
    </xf>
    <xf numFmtId="0" fontId="28" fillId="0" borderId="42" xfId="7" applyFont="1" applyBorder="1" applyAlignment="1">
      <alignment horizontal="center" vertical="center"/>
    </xf>
    <xf numFmtId="0" fontId="28" fillId="0" borderId="11" xfId="7" applyFont="1" applyBorder="1" applyAlignment="1">
      <alignment horizontal="center" vertical="center"/>
    </xf>
    <xf numFmtId="0" fontId="28" fillId="0" borderId="8" xfId="7" applyFont="1" applyBorder="1" applyAlignment="1">
      <alignment horizontal="center" vertical="center"/>
    </xf>
    <xf numFmtId="0" fontId="3" fillId="0" borderId="24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left" vertical="center" indent="1"/>
    </xf>
    <xf numFmtId="0" fontId="3" fillId="0" borderId="15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center" vertical="center"/>
    </xf>
    <xf numFmtId="0" fontId="3" fillId="4" borderId="9" xfId="7" applyFont="1" applyFill="1" applyBorder="1" applyAlignment="1">
      <alignment horizontal="center" vertical="center"/>
    </xf>
    <xf numFmtId="0" fontId="3" fillId="4" borderId="13" xfId="7" applyFont="1" applyFill="1" applyBorder="1" applyAlignment="1">
      <alignment horizontal="center" vertical="center"/>
    </xf>
    <xf numFmtId="0" fontId="3" fillId="4" borderId="15" xfId="7" applyFont="1" applyFill="1" applyBorder="1" applyAlignment="1">
      <alignment horizontal="center" vertical="center"/>
    </xf>
    <xf numFmtId="0" fontId="3" fillId="11" borderId="24" xfId="7" applyFont="1" applyFill="1" applyBorder="1" applyAlignment="1">
      <alignment horizontal="left" vertical="center" indent="1"/>
    </xf>
    <xf numFmtId="0" fontId="3" fillId="11" borderId="13" xfId="7" applyFont="1" applyFill="1" applyBorder="1" applyAlignment="1">
      <alignment horizontal="left" vertical="center" indent="1"/>
    </xf>
    <xf numFmtId="0" fontId="3" fillId="11" borderId="15" xfId="7" applyFont="1" applyFill="1" applyBorder="1" applyAlignment="1">
      <alignment horizontal="left" vertical="center" indent="1"/>
    </xf>
    <xf numFmtId="0" fontId="3" fillId="0" borderId="23" xfId="7" applyFont="1" applyBorder="1" applyAlignment="1">
      <alignment horizontal="left" vertical="center" wrapText="1" indent="1"/>
    </xf>
    <xf numFmtId="0" fontId="3" fillId="0" borderId="21" xfId="7" applyFont="1" applyBorder="1" applyAlignment="1">
      <alignment horizontal="left" vertical="center" wrapText="1" indent="1"/>
    </xf>
    <xf numFmtId="0" fontId="3" fillId="0" borderId="5" xfId="7" applyFont="1" applyBorder="1" applyAlignment="1">
      <alignment horizontal="left" vertical="center" wrapText="1" indent="1"/>
    </xf>
    <xf numFmtId="0" fontId="3" fillId="0" borderId="43" xfId="7" applyFont="1" applyBorder="1" applyAlignment="1">
      <alignment horizontal="left" vertical="center" wrapText="1" indent="1"/>
    </xf>
    <xf numFmtId="0" fontId="3" fillId="0" borderId="0" xfId="7" applyFont="1" applyAlignment="1">
      <alignment horizontal="left" vertical="center" wrapText="1" indent="1"/>
    </xf>
    <xf numFmtId="0" fontId="3" fillId="0" borderId="10" xfId="7" applyFont="1" applyBorder="1" applyAlignment="1">
      <alignment horizontal="left" vertical="center" wrapText="1" indent="1"/>
    </xf>
    <xf numFmtId="0" fontId="3" fillId="0" borderId="42" xfId="7" applyFont="1" applyBorder="1" applyAlignment="1">
      <alignment horizontal="left" vertical="center" wrapText="1" indent="1"/>
    </xf>
    <xf numFmtId="0" fontId="3" fillId="0" borderId="11" xfId="7" applyFont="1" applyBorder="1" applyAlignment="1">
      <alignment horizontal="left" vertical="center" wrapText="1" indent="1"/>
    </xf>
    <xf numFmtId="0" fontId="3" fillId="0" borderId="8" xfId="7" applyFont="1" applyBorder="1" applyAlignment="1">
      <alignment horizontal="left" vertical="center" wrapText="1" indent="1"/>
    </xf>
    <xf numFmtId="0" fontId="3" fillId="0" borderId="23" xfId="7" applyFont="1" applyBorder="1" applyAlignment="1">
      <alignment horizontal="center" vertical="center" textRotation="90"/>
    </xf>
    <xf numFmtId="0" fontId="3" fillId="0" borderId="5" xfId="7" applyFont="1" applyBorder="1" applyAlignment="1">
      <alignment horizontal="center" vertical="center" textRotation="90"/>
    </xf>
    <xf numFmtId="0" fontId="3" fillId="0" borderId="43" xfId="7" applyFont="1" applyBorder="1" applyAlignment="1">
      <alignment horizontal="center" vertical="center" textRotation="90"/>
    </xf>
    <xf numFmtId="0" fontId="3" fillId="0" borderId="10" xfId="7" applyFont="1" applyBorder="1" applyAlignment="1">
      <alignment horizontal="center" vertical="center" textRotation="90"/>
    </xf>
    <xf numFmtId="0" fontId="3" fillId="0" borderId="42" xfId="7" applyFont="1" applyBorder="1" applyAlignment="1">
      <alignment horizontal="center" vertical="center" textRotation="90"/>
    </xf>
    <xf numFmtId="0" fontId="3" fillId="0" borderId="8" xfId="7" applyFont="1" applyBorder="1" applyAlignment="1">
      <alignment horizontal="center" vertical="center" textRotation="90"/>
    </xf>
    <xf numFmtId="0" fontId="18" fillId="0" borderId="4" xfId="7" applyFont="1" applyBorder="1" applyAlignment="1">
      <alignment horizontal="center" vertical="center" wrapText="1"/>
    </xf>
    <xf numFmtId="0" fontId="18" fillId="0" borderId="21" xfId="7" applyFont="1" applyBorder="1" applyAlignment="1">
      <alignment horizontal="center" vertical="center" wrapText="1"/>
    </xf>
    <xf numFmtId="0" fontId="18" fillId="0" borderId="33" xfId="7" applyFont="1" applyBorder="1" applyAlignment="1">
      <alignment horizontal="center" vertical="center" wrapText="1"/>
    </xf>
    <xf numFmtId="0" fontId="18" fillId="0" borderId="3" xfId="7" applyFont="1" applyBorder="1" applyAlignment="1">
      <alignment horizontal="center" vertical="center" wrapText="1"/>
    </xf>
    <xf numFmtId="0" fontId="18" fillId="0" borderId="0" xfId="7" applyFont="1" applyAlignment="1">
      <alignment horizontal="center" vertical="center" wrapText="1"/>
    </xf>
    <xf numFmtId="0" fontId="18" fillId="0" borderId="27" xfId="7" applyFont="1" applyBorder="1" applyAlignment="1">
      <alignment horizontal="center" vertical="center" wrapText="1"/>
    </xf>
    <xf numFmtId="0" fontId="18" fillId="0" borderId="56" xfId="7" applyFont="1" applyBorder="1" applyAlignment="1">
      <alignment horizontal="center" vertical="center" wrapText="1"/>
    </xf>
    <xf numFmtId="0" fontId="18" fillId="0" borderId="22" xfId="7" applyFont="1" applyBorder="1" applyAlignment="1">
      <alignment horizontal="center" vertical="center" wrapText="1"/>
    </xf>
    <xf numFmtId="0" fontId="18" fillId="0" borderId="38" xfId="7" applyFont="1" applyBorder="1" applyAlignment="1">
      <alignment horizontal="center" vertical="center" wrapText="1"/>
    </xf>
    <xf numFmtId="49" fontId="3" fillId="0" borderId="9" xfId="7" applyNumberFormat="1" applyFont="1" applyBorder="1" applyAlignment="1">
      <alignment horizontal="center" vertical="center" wrapText="1"/>
    </xf>
    <xf numFmtId="49" fontId="3" fillId="0" borderId="13" xfId="7" applyNumberFormat="1" applyFont="1" applyBorder="1" applyAlignment="1">
      <alignment horizontal="center" vertical="center" wrapText="1"/>
    </xf>
    <xf numFmtId="49" fontId="3" fillId="0" borderId="15" xfId="7" applyNumberFormat="1" applyFont="1" applyBorder="1" applyAlignment="1">
      <alignment horizontal="center" vertical="center" wrapText="1"/>
    </xf>
    <xf numFmtId="49" fontId="3" fillId="0" borderId="6" xfId="7" applyNumberFormat="1" applyFont="1" applyBorder="1" applyAlignment="1">
      <alignment horizontal="center" vertical="center"/>
    </xf>
    <xf numFmtId="49" fontId="3" fillId="0" borderId="2" xfId="7" applyNumberFormat="1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wrapText="1"/>
    </xf>
    <xf numFmtId="49" fontId="3" fillId="0" borderId="13" xfId="7" applyNumberFormat="1" applyFont="1" applyBorder="1" applyAlignment="1">
      <alignment horizontal="left" vertical="center" wrapText="1"/>
    </xf>
    <xf numFmtId="49" fontId="3" fillId="0" borderId="15" xfId="7" applyNumberFormat="1" applyFont="1" applyBorder="1" applyAlignment="1">
      <alignment horizontal="left" vertical="center" wrapText="1"/>
    </xf>
    <xf numFmtId="1" fontId="3" fillId="0" borderId="24" xfId="7" applyNumberFormat="1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1" fontId="3" fillId="0" borderId="13" xfId="7" applyNumberFormat="1" applyFont="1" applyBorder="1" applyAlignment="1">
      <alignment horizontal="left" vertical="center" indent="1"/>
    </xf>
    <xf numFmtId="1" fontId="3" fillId="0" borderId="15" xfId="7" applyNumberFormat="1" applyFont="1" applyBorder="1" applyAlignment="1">
      <alignment horizontal="left" vertical="center" indent="1"/>
    </xf>
    <xf numFmtId="0" fontId="3" fillId="0" borderId="26" xfId="7" applyFont="1" applyBorder="1" applyAlignment="1">
      <alignment horizontal="left" vertical="center" indent="1"/>
    </xf>
    <xf numFmtId="0" fontId="3" fillId="0" borderId="17" xfId="7" applyFont="1" applyBorder="1" applyAlignment="1">
      <alignment horizontal="left" vertical="center" indent="1"/>
    </xf>
    <xf numFmtId="0" fontId="3" fillId="0" borderId="16" xfId="7" applyFont="1" applyBorder="1" applyAlignment="1">
      <alignment horizontal="left" vertical="center" indent="1"/>
    </xf>
    <xf numFmtId="0" fontId="3" fillId="0" borderId="34" xfId="7" applyFont="1" applyBorder="1" applyAlignment="1">
      <alignment horizontal="center" vertical="center"/>
    </xf>
    <xf numFmtId="0" fontId="3" fillId="0" borderId="16" xfId="7" applyFont="1" applyBorder="1" applyAlignment="1">
      <alignment horizontal="center" vertical="center"/>
    </xf>
    <xf numFmtId="0" fontId="29" fillId="0" borderId="52" xfId="7" applyFont="1" applyBorder="1" applyAlignment="1">
      <alignment horizontal="center" vertical="center"/>
    </xf>
    <xf numFmtId="0" fontId="29" fillId="0" borderId="50" xfId="7" applyFont="1" applyBorder="1" applyAlignment="1">
      <alignment horizontal="center" vertical="center"/>
    </xf>
    <xf numFmtId="0" fontId="29" fillId="0" borderId="51" xfId="7" applyFont="1" applyBorder="1" applyAlignment="1">
      <alignment horizontal="center" vertical="center"/>
    </xf>
    <xf numFmtId="0" fontId="28" fillId="0" borderId="53" xfId="7" applyFont="1" applyBorder="1" applyAlignment="1">
      <alignment horizontal="center" vertical="center"/>
    </xf>
    <xf numFmtId="0" fontId="29" fillId="0" borderId="55" xfId="7" applyFont="1" applyBorder="1" applyAlignment="1">
      <alignment horizontal="center" vertical="center"/>
    </xf>
    <xf numFmtId="1" fontId="3" fillId="0" borderId="24" xfId="7" applyNumberFormat="1" applyFont="1" applyBorder="1" applyAlignment="1">
      <alignment horizontal="left" vertical="center" indent="1"/>
    </xf>
    <xf numFmtId="1" fontId="3" fillId="11" borderId="24" xfId="7" applyNumberFormat="1" applyFont="1" applyFill="1" applyBorder="1" applyAlignment="1">
      <alignment horizontal="center" vertical="center"/>
    </xf>
    <xf numFmtId="1" fontId="3" fillId="11" borderId="13" xfId="7" applyNumberFormat="1" applyFont="1" applyFill="1" applyBorder="1" applyAlignment="1">
      <alignment horizontal="center" vertical="center"/>
    </xf>
    <xf numFmtId="0" fontId="3" fillId="0" borderId="43" xfId="7" applyFont="1" applyBorder="1" applyAlignment="1">
      <alignment horizontal="center" vertical="center" textRotation="90" wrapText="1"/>
    </xf>
    <xf numFmtId="0" fontId="3" fillId="0" borderId="0" xfId="7" applyFont="1" applyAlignment="1">
      <alignment horizontal="center" vertical="center" textRotation="90" wrapText="1"/>
    </xf>
    <xf numFmtId="0" fontId="3" fillId="0" borderId="42" xfId="7" applyFont="1" applyBorder="1" applyAlignment="1">
      <alignment horizontal="center" vertical="center" textRotation="90" wrapText="1"/>
    </xf>
    <xf numFmtId="0" fontId="3" fillId="0" borderId="11" xfId="7" applyFont="1" applyBorder="1" applyAlignment="1">
      <alignment horizontal="center" vertical="center" textRotation="90" wrapText="1"/>
    </xf>
    <xf numFmtId="0" fontId="3" fillId="0" borderId="23" xfId="7" applyFont="1" applyBorder="1" applyAlignment="1">
      <alignment horizontal="center" vertical="center" textRotation="90" wrapText="1"/>
    </xf>
    <xf numFmtId="0" fontId="3" fillId="0" borderId="21" xfId="7" applyFont="1" applyBorder="1" applyAlignment="1">
      <alignment horizontal="center" vertical="center" textRotation="90" wrapText="1"/>
    </xf>
    <xf numFmtId="0" fontId="3" fillId="0" borderId="25" xfId="7" applyFont="1" applyBorder="1" applyAlignment="1">
      <alignment horizontal="center" vertical="center" textRotation="90" wrapText="1"/>
    </xf>
    <xf numFmtId="0" fontId="3" fillId="0" borderId="22" xfId="7" applyFont="1" applyBorder="1" applyAlignment="1">
      <alignment horizontal="center" vertical="center" textRotation="90" wrapText="1"/>
    </xf>
    <xf numFmtId="0" fontId="3" fillId="0" borderId="7" xfId="7" applyFont="1" applyBorder="1" applyAlignment="1">
      <alignment horizontal="center" vertical="center"/>
    </xf>
    <xf numFmtId="0" fontId="3" fillId="0" borderId="8" xfId="7" applyFont="1" applyBorder="1" applyAlignment="1">
      <alignment horizontal="center" vertical="center"/>
    </xf>
    <xf numFmtId="0" fontId="3" fillId="11" borderId="9" xfId="7" applyFont="1" applyFill="1" applyBorder="1" applyAlignment="1">
      <alignment horizontal="center" vertical="center"/>
    </xf>
    <xf numFmtId="0" fontId="3" fillId="11" borderId="13" xfId="7" applyFont="1" applyFill="1" applyBorder="1" applyAlignment="1">
      <alignment horizontal="center" vertical="center"/>
    </xf>
    <xf numFmtId="0" fontId="17" fillId="0" borderId="4" xfId="7" applyFont="1" applyBorder="1" applyAlignment="1">
      <alignment horizontal="center" vertical="center" wrapText="1"/>
    </xf>
    <xf numFmtId="0" fontId="17" fillId="0" borderId="5" xfId="7" applyFont="1" applyBorder="1" applyAlignment="1">
      <alignment horizontal="center" vertical="center" wrapText="1"/>
    </xf>
    <xf numFmtId="0" fontId="17" fillId="0" borderId="3" xfId="7" applyFont="1" applyBorder="1" applyAlignment="1">
      <alignment horizontal="center" vertical="center" wrapText="1"/>
    </xf>
    <xf numFmtId="0" fontId="17" fillId="0" borderId="10" xfId="7" applyFont="1" applyBorder="1" applyAlignment="1">
      <alignment horizontal="center" vertical="center" wrapText="1"/>
    </xf>
    <xf numFmtId="0" fontId="17" fillId="0" borderId="7" xfId="7" applyFont="1" applyBorder="1" applyAlignment="1">
      <alignment horizontal="center" vertical="center" wrapText="1"/>
    </xf>
    <xf numFmtId="0" fontId="17" fillId="0" borderId="8" xfId="7" applyFont="1" applyBorder="1" applyAlignment="1">
      <alignment horizontal="center" vertical="center" wrapText="1"/>
    </xf>
    <xf numFmtId="0" fontId="3" fillId="0" borderId="34" xfId="7" applyFont="1" applyBorder="1" applyAlignment="1">
      <alignment horizontal="center" vertical="center" wrapText="1"/>
    </xf>
    <xf numFmtId="0" fontId="3" fillId="0" borderId="17" xfId="7" applyFont="1" applyBorder="1" applyAlignment="1">
      <alignment horizontal="center" vertical="center" wrapText="1"/>
    </xf>
    <xf numFmtId="0" fontId="28" fillId="0" borderId="49" xfId="7" applyFont="1" applyBorder="1" applyAlignment="1">
      <alignment horizontal="center" vertical="center" wrapText="1"/>
    </xf>
    <xf numFmtId="0" fontId="28" fillId="0" borderId="18" xfId="7" applyFont="1" applyBorder="1" applyAlignment="1">
      <alignment horizontal="center" vertical="center" wrapText="1"/>
    </xf>
    <xf numFmtId="0" fontId="3" fillId="0" borderId="5" xfId="7" applyFont="1" applyBorder="1" applyAlignment="1">
      <alignment horizontal="center" vertical="center" textRotation="90" wrapText="1"/>
    </xf>
    <xf numFmtId="0" fontId="3" fillId="0" borderId="10" xfId="7" applyFont="1" applyBorder="1" applyAlignment="1">
      <alignment horizontal="center" vertical="center" textRotation="90" wrapText="1"/>
    </xf>
    <xf numFmtId="0" fontId="3" fillId="0" borderId="37" xfId="7" applyFont="1" applyBorder="1" applyAlignment="1">
      <alignment horizontal="center" vertical="center" textRotation="90" wrapText="1"/>
    </xf>
    <xf numFmtId="0" fontId="3" fillId="8" borderId="9" xfId="7" applyFont="1" applyFill="1" applyBorder="1" applyAlignment="1">
      <alignment horizontal="left" vertical="center" wrapText="1" indent="1"/>
    </xf>
    <xf numFmtId="0" fontId="3" fillId="8" borderId="13" xfId="7" applyFont="1" applyFill="1" applyBorder="1" applyAlignment="1">
      <alignment horizontal="left" vertical="center" wrapText="1" indent="1"/>
    </xf>
    <xf numFmtId="0" fontId="3" fillId="8" borderId="15" xfId="7" applyFont="1" applyFill="1" applyBorder="1" applyAlignment="1">
      <alignment horizontal="left" vertical="center" wrapText="1" indent="1"/>
    </xf>
    <xf numFmtId="49" fontId="3" fillId="0" borderId="34" xfId="7" applyNumberFormat="1" applyFont="1" applyBorder="1" applyAlignment="1">
      <alignment horizontal="left" vertical="center" indent="1"/>
    </xf>
    <xf numFmtId="49" fontId="3" fillId="0" borderId="17" xfId="7" applyNumberFormat="1" applyFont="1" applyBorder="1" applyAlignment="1">
      <alignment horizontal="left" vertical="center" indent="1"/>
    </xf>
    <xf numFmtId="49" fontId="3" fillId="0" borderId="16" xfId="7" applyNumberFormat="1" applyFont="1" applyBorder="1" applyAlignment="1">
      <alignment horizontal="left" vertical="center" indent="1"/>
    </xf>
    <xf numFmtId="0" fontId="28" fillId="0" borderId="40" xfId="7" applyFont="1" applyBorder="1" applyAlignment="1">
      <alignment horizontal="center" vertical="center"/>
    </xf>
    <xf numFmtId="0" fontId="28" fillId="0" borderId="41" xfId="7" applyFont="1" applyBorder="1" applyAlignment="1">
      <alignment horizontal="center" vertical="center"/>
    </xf>
    <xf numFmtId="0" fontId="28" fillId="0" borderId="43" xfId="7" applyFont="1" applyBorder="1" applyAlignment="1">
      <alignment horizontal="center" vertical="center"/>
    </xf>
    <xf numFmtId="0" fontId="28" fillId="0" borderId="0" xfId="7" applyFont="1" applyAlignment="1">
      <alignment horizontal="center" vertical="center"/>
    </xf>
    <xf numFmtId="0" fontId="28" fillId="0" borderId="10" xfId="7" applyFont="1" applyBorder="1" applyAlignment="1">
      <alignment horizontal="center" vertical="center"/>
    </xf>
    <xf numFmtId="0" fontId="3" fillId="0" borderId="4" xfId="7" applyFont="1" applyBorder="1" applyAlignment="1">
      <alignment horizontal="left" vertical="center" indent="1"/>
    </xf>
    <xf numFmtId="0" fontId="3" fillId="0" borderId="7" xfId="7" applyFont="1" applyBorder="1" applyAlignment="1">
      <alignment horizontal="left" vertical="center" indent="1"/>
    </xf>
    <xf numFmtId="0" fontId="3" fillId="11" borderId="9" xfId="7" applyFont="1" applyFill="1" applyBorder="1" applyAlignment="1">
      <alignment horizontal="left" vertical="center" indent="1"/>
    </xf>
    <xf numFmtId="0" fontId="28" fillId="0" borderId="44" xfId="7" applyFont="1" applyBorder="1" applyAlignment="1">
      <alignment horizontal="center" vertical="center" wrapText="1"/>
    </xf>
    <xf numFmtId="0" fontId="28" fillId="0" borderId="19" xfId="7" applyFont="1" applyBorder="1" applyAlignment="1">
      <alignment horizontal="center" vertical="center" wrapText="1"/>
    </xf>
    <xf numFmtId="0" fontId="29" fillId="0" borderId="45" xfId="7" applyFont="1" applyBorder="1" applyAlignment="1">
      <alignment horizontal="center" vertical="center"/>
    </xf>
    <xf numFmtId="0" fontId="3" fillId="12" borderId="4" xfId="7" applyFont="1" applyFill="1" applyBorder="1" applyAlignment="1">
      <alignment horizontal="left" vertical="center" wrapText="1" indent="1"/>
    </xf>
    <xf numFmtId="0" fontId="3" fillId="12" borderId="5" xfId="7" applyFont="1" applyFill="1" applyBorder="1" applyAlignment="1">
      <alignment horizontal="left" vertical="center" wrapText="1" indent="1"/>
    </xf>
    <xf numFmtId="0" fontId="3" fillId="12" borderId="3" xfId="7" applyFont="1" applyFill="1" applyBorder="1" applyAlignment="1">
      <alignment horizontal="left" vertical="center" wrapText="1" indent="1"/>
    </xf>
    <xf numFmtId="0" fontId="3" fillId="12" borderId="10" xfId="7" applyFont="1" applyFill="1" applyBorder="1" applyAlignment="1">
      <alignment horizontal="left" vertical="center" wrapText="1" indent="1"/>
    </xf>
    <xf numFmtId="0" fontId="3" fillId="12" borderId="7" xfId="7" applyFont="1" applyFill="1" applyBorder="1" applyAlignment="1">
      <alignment horizontal="left" vertical="center" wrapText="1" indent="1"/>
    </xf>
    <xf numFmtId="0" fontId="3" fillId="12" borderId="8" xfId="7" applyFont="1" applyFill="1" applyBorder="1" applyAlignment="1">
      <alignment horizontal="left" vertical="center" wrapText="1" indent="1"/>
    </xf>
    <xf numFmtId="0" fontId="3" fillId="8" borderId="4" xfId="7" applyFont="1" applyFill="1" applyBorder="1" applyAlignment="1">
      <alignment horizontal="left" vertical="center" wrapText="1" indent="1"/>
    </xf>
    <xf numFmtId="0" fontId="3" fillId="8" borderId="21" xfId="7" applyFont="1" applyFill="1" applyBorder="1" applyAlignment="1">
      <alignment horizontal="left" vertical="center" wrapText="1" indent="1"/>
    </xf>
    <xf numFmtId="0" fontId="3" fillId="8" borderId="5" xfId="7" applyFont="1" applyFill="1" applyBorder="1" applyAlignment="1">
      <alignment horizontal="left" vertical="center" wrapText="1" indent="1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horizontal="left" vertical="center" indent="1"/>
    </xf>
    <xf numFmtId="49" fontId="3" fillId="0" borderId="15" xfId="7" applyNumberFormat="1" applyFont="1" applyBorder="1" applyAlignment="1">
      <alignment horizontal="left" vertical="center" indent="1"/>
    </xf>
    <xf numFmtId="0" fontId="28" fillId="0" borderId="19" xfId="7" applyFont="1" applyBorder="1" applyAlignment="1">
      <alignment horizontal="center" vertical="center" textRotation="90" wrapText="1"/>
    </xf>
    <xf numFmtId="0" fontId="28" fillId="0" borderId="12" xfId="7" applyFont="1" applyBorder="1" applyAlignment="1">
      <alignment horizontal="center" vertical="center" textRotation="90" wrapText="1"/>
    </xf>
    <xf numFmtId="0" fontId="28" fillId="0" borderId="23" xfId="7" applyFont="1" applyBorder="1" applyAlignment="1">
      <alignment horizontal="center" vertical="center" textRotation="90" wrapText="1"/>
    </xf>
    <xf numFmtId="0" fontId="28" fillId="0" borderId="5" xfId="7" applyFont="1" applyBorder="1" applyAlignment="1">
      <alignment horizontal="center" vertical="center" textRotation="90" wrapText="1"/>
    </xf>
    <xf numFmtId="0" fontId="28" fillId="0" borderId="43" xfId="7" applyFont="1" applyBorder="1" applyAlignment="1">
      <alignment horizontal="center" vertical="center" textRotation="90" wrapText="1"/>
    </xf>
    <xf numFmtId="0" fontId="28" fillId="0" borderId="10" xfId="7" applyFont="1" applyBorder="1" applyAlignment="1">
      <alignment horizontal="center" vertical="center" textRotation="90" wrapText="1"/>
    </xf>
    <xf numFmtId="0" fontId="28" fillId="0" borderId="42" xfId="7" applyFont="1" applyBorder="1" applyAlignment="1">
      <alignment horizontal="center" vertical="center" textRotation="90" wrapText="1"/>
    </xf>
    <xf numFmtId="0" fontId="28" fillId="0" borderId="8" xfId="7" applyFont="1" applyBorder="1" applyAlignment="1">
      <alignment horizontal="center" vertical="center" textRotation="90" wrapText="1"/>
    </xf>
    <xf numFmtId="0" fontId="28" fillId="0" borderId="20" xfId="7" applyFont="1" applyBorder="1" applyAlignment="1">
      <alignment horizontal="center" vertical="center" wrapText="1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13" borderId="12" xfId="7" applyNumberFormat="1" applyFont="1" applyFill="1" applyBorder="1" applyAlignment="1">
      <alignment horizontal="center" vertical="center"/>
    </xf>
    <xf numFmtId="3" fontId="3" fillId="13" borderId="31" xfId="7" applyNumberFormat="1" applyFont="1" applyFill="1" applyBorder="1" applyAlignment="1">
      <alignment horizontal="center" vertical="center"/>
    </xf>
    <xf numFmtId="0" fontId="29" fillId="0" borderId="19" xfId="7" applyFont="1" applyBorder="1" applyAlignment="1">
      <alignment horizontal="center" vertical="center"/>
    </xf>
    <xf numFmtId="0" fontId="29" fillId="0" borderId="12" xfId="7" applyFont="1" applyBorder="1" applyAlignment="1">
      <alignment horizontal="center" vertical="center"/>
    </xf>
    <xf numFmtId="0" fontId="29" fillId="0" borderId="14" xfId="7" applyFont="1" applyBorder="1" applyAlignment="1">
      <alignment horizontal="center" vertical="center"/>
    </xf>
    <xf numFmtId="0" fontId="33" fillId="0" borderId="26" xfId="7" applyFont="1" applyBorder="1" applyAlignment="1">
      <alignment horizontal="center" vertical="center"/>
    </xf>
    <xf numFmtId="0" fontId="33" fillId="0" borderId="17" xfId="7" applyFont="1" applyBorder="1" applyAlignment="1">
      <alignment horizontal="center" vertical="center"/>
    </xf>
    <xf numFmtId="0" fontId="33" fillId="0" borderId="16" xfId="7" applyFont="1" applyBorder="1" applyAlignment="1">
      <alignment horizontal="center" vertical="center"/>
    </xf>
    <xf numFmtId="0" fontId="29" fillId="0" borderId="53" xfId="7" applyFont="1" applyBorder="1" applyAlignment="1">
      <alignment horizontal="center" vertical="center"/>
    </xf>
    <xf numFmtId="0" fontId="3" fillId="0" borderId="0" xfId="7" applyFont="1" applyAlignment="1">
      <alignment horizontal="left" vertical="top" wrapText="1"/>
    </xf>
    <xf numFmtId="0" fontId="29" fillId="0" borderId="44" xfId="7" applyFont="1" applyBorder="1" applyAlignment="1">
      <alignment horizontal="center" vertical="center"/>
    </xf>
    <xf numFmtId="0" fontId="29" fillId="0" borderId="46" xfId="7" applyFont="1" applyBorder="1" applyAlignment="1">
      <alignment horizontal="center" vertical="center"/>
    </xf>
    <xf numFmtId="3" fontId="28" fillId="0" borderId="12" xfId="7" applyNumberFormat="1" applyFont="1" applyBorder="1" applyAlignment="1">
      <alignment horizontal="center" vertical="center"/>
    </xf>
    <xf numFmtId="3" fontId="28" fillId="0" borderId="31" xfId="7" applyNumberFormat="1" applyFont="1" applyBorder="1" applyAlignment="1">
      <alignment horizontal="center" vertical="center"/>
    </xf>
    <xf numFmtId="3" fontId="3" fillId="0" borderId="14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32" fillId="0" borderId="24" xfId="7" applyFont="1" applyBorder="1" applyAlignment="1">
      <alignment horizontal="left" vertical="center" indent="1"/>
    </xf>
    <xf numFmtId="0" fontId="32" fillId="0" borderId="13" xfId="7" applyFont="1" applyBorder="1" applyAlignment="1">
      <alignment horizontal="left" vertical="center" indent="1"/>
    </xf>
    <xf numFmtId="0" fontId="32" fillId="0" borderId="15" xfId="7" applyFont="1" applyBorder="1" applyAlignment="1">
      <alignment horizontal="left" vertical="center" indent="1"/>
    </xf>
    <xf numFmtId="0" fontId="28" fillId="0" borderId="44" xfId="7" applyFont="1" applyBorder="1" applyAlignment="1">
      <alignment horizontal="center" vertical="center"/>
    </xf>
    <xf numFmtId="0" fontId="28" fillId="0" borderId="45" xfId="7" applyFont="1" applyBorder="1" applyAlignment="1">
      <alignment horizontal="center" vertical="center"/>
    </xf>
    <xf numFmtId="0" fontId="28" fillId="0" borderId="19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28" fillId="0" borderId="24" xfId="7" applyFont="1" applyBorder="1" applyAlignment="1">
      <alignment horizontal="left" vertical="center" indent="1"/>
    </xf>
    <xf numFmtId="0" fontId="28" fillId="0" borderId="13" xfId="7" applyFont="1" applyBorder="1" applyAlignment="1">
      <alignment horizontal="left" vertical="center" indent="1"/>
    </xf>
    <xf numFmtId="0" fontId="28" fillId="0" borderId="15" xfId="7" applyFont="1" applyBorder="1" applyAlignment="1">
      <alignment horizontal="left" vertical="center" indent="1"/>
    </xf>
    <xf numFmtId="0" fontId="28" fillId="14" borderId="44" xfId="7" applyFont="1" applyFill="1" applyBorder="1" applyAlignment="1">
      <alignment horizontal="left" vertical="center"/>
    </xf>
    <xf numFmtId="0" fontId="28" fillId="14" borderId="45" xfId="7" applyFont="1" applyFill="1" applyBorder="1" applyAlignment="1">
      <alignment horizontal="left" vertical="center"/>
    </xf>
    <xf numFmtId="1" fontId="32" fillId="14" borderId="19" xfId="7" applyNumberFormat="1" applyFont="1" applyFill="1" applyBorder="1" applyAlignment="1">
      <alignment horizontal="left" vertical="center"/>
    </xf>
    <xf numFmtId="1" fontId="32" fillId="14" borderId="12" xfId="7" applyNumberFormat="1" applyFont="1" applyFill="1" applyBorder="1" applyAlignment="1">
      <alignment horizontal="left" vertical="center"/>
    </xf>
    <xf numFmtId="0" fontId="32" fillId="14" borderId="19" xfId="7" applyFont="1" applyFill="1" applyBorder="1" applyAlignment="1">
      <alignment horizontal="left" vertical="center"/>
    </xf>
    <xf numFmtId="0" fontId="32" fillId="14" borderId="12" xfId="7" applyFont="1" applyFill="1" applyBorder="1" applyAlignment="1">
      <alignment horizontal="left" vertical="center"/>
    </xf>
    <xf numFmtId="0" fontId="33" fillId="14" borderId="55" xfId="7" applyFont="1" applyFill="1" applyBorder="1" applyAlignment="1">
      <alignment horizontal="center" vertical="center" wrapText="1"/>
    </xf>
    <xf numFmtId="0" fontId="33" fillId="14" borderId="50" xfId="7" applyFont="1" applyFill="1" applyBorder="1" applyAlignment="1">
      <alignment horizontal="center" vertical="center" wrapText="1"/>
    </xf>
    <xf numFmtId="0" fontId="33" fillId="14" borderId="51" xfId="7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3" fillId="0" borderId="8" xfId="7" applyFont="1" applyBorder="1" applyAlignment="1">
      <alignment horizontal="center" vertical="center" textRotation="90" wrapText="1"/>
    </xf>
    <xf numFmtId="0" fontId="33" fillId="0" borderId="19" xfId="7" applyFont="1" applyBorder="1" applyAlignment="1">
      <alignment horizontal="left" vertical="top" wrapText="1" indent="1"/>
    </xf>
    <xf numFmtId="0" fontId="33" fillId="0" borderId="20" xfId="7" applyFont="1" applyBorder="1" applyAlignment="1">
      <alignment horizontal="left" vertical="top" wrapText="1" indent="1"/>
    </xf>
    <xf numFmtId="3" fontId="3" fillId="0" borderId="12" xfId="7" applyNumberFormat="1" applyFont="1" applyBorder="1" applyAlignment="1">
      <alignment horizontal="right" vertical="center"/>
    </xf>
    <xf numFmtId="3" fontId="3" fillId="0" borderId="31" xfId="7" applyNumberFormat="1" applyFont="1" applyBorder="1" applyAlignment="1">
      <alignment horizontal="right" vertical="center"/>
    </xf>
    <xf numFmtId="49" fontId="3" fillId="0" borderId="24" xfId="7" applyNumberFormat="1" applyFont="1" applyBorder="1" applyAlignment="1">
      <alignment horizontal="left" vertical="center"/>
    </xf>
    <xf numFmtId="49" fontId="3" fillId="0" borderId="13" xfId="7" applyNumberFormat="1" applyFont="1" applyBorder="1" applyAlignment="1">
      <alignment horizontal="left" vertical="center"/>
    </xf>
    <xf numFmtId="49" fontId="3" fillId="0" borderId="15" xfId="7" applyNumberFormat="1" applyFont="1" applyBorder="1" applyAlignment="1">
      <alignment horizontal="left" vertical="center"/>
    </xf>
    <xf numFmtId="1" fontId="32" fillId="0" borderId="23" xfId="7" applyNumberFormat="1" applyFont="1" applyBorder="1" applyAlignment="1">
      <alignment horizontal="left" vertical="center" wrapText="1" indent="1"/>
    </xf>
    <xf numFmtId="1" fontId="32" fillId="0" borderId="21" xfId="7" applyNumberFormat="1" applyFont="1" applyBorder="1" applyAlignment="1">
      <alignment horizontal="left" vertical="center" wrapText="1" indent="1"/>
    </xf>
    <xf numFmtId="1" fontId="32" fillId="0" borderId="5" xfId="7" applyNumberFormat="1" applyFont="1" applyBorder="1" applyAlignment="1">
      <alignment horizontal="left" vertical="center" wrapText="1" indent="1"/>
    </xf>
    <xf numFmtId="1" fontId="32" fillId="0" borderId="43" xfId="7" applyNumberFormat="1" applyFont="1" applyBorder="1" applyAlignment="1">
      <alignment horizontal="left" vertical="center" wrapText="1" indent="1"/>
    </xf>
    <xf numFmtId="1" fontId="32" fillId="0" borderId="0" xfId="7" applyNumberFormat="1" applyFont="1" applyAlignment="1">
      <alignment horizontal="left" vertical="center" wrapText="1" indent="1"/>
    </xf>
    <xf numFmtId="1" fontId="32" fillId="0" borderId="10" xfId="7" applyNumberFormat="1" applyFont="1" applyBorder="1" applyAlignment="1">
      <alignment horizontal="left" vertical="center" wrapText="1" indent="1"/>
    </xf>
    <xf numFmtId="3" fontId="3" fillId="0" borderId="39" xfId="7" applyNumberFormat="1" applyFont="1" applyBorder="1" applyAlignment="1">
      <alignment horizontal="center" vertical="center"/>
    </xf>
    <xf numFmtId="3" fontId="3" fillId="0" borderId="82" xfId="7" applyNumberFormat="1" applyFont="1" applyBorder="1" applyAlignment="1">
      <alignment horizontal="center" vertical="center"/>
    </xf>
    <xf numFmtId="3" fontId="28" fillId="0" borderId="12" xfId="7" applyNumberFormat="1" applyFont="1" applyBorder="1" applyAlignment="1">
      <alignment horizontal="right" vertical="center"/>
    </xf>
    <xf numFmtId="3" fontId="28" fillId="0" borderId="31" xfId="7" applyNumberFormat="1" applyFont="1" applyBorder="1" applyAlignment="1">
      <alignment horizontal="right" vertical="center"/>
    </xf>
    <xf numFmtId="0" fontId="3" fillId="0" borderId="19" xfId="7" applyFont="1" applyBorder="1" applyAlignment="1">
      <alignment horizontal="center" vertical="center" textRotation="90" wrapText="1"/>
    </xf>
    <xf numFmtId="0" fontId="3" fillId="0" borderId="12" xfId="7" applyFont="1" applyBorder="1" applyAlignment="1">
      <alignment horizontal="center" vertical="center" textRotation="90" wrapText="1"/>
    </xf>
    <xf numFmtId="0" fontId="28" fillId="0" borderId="0" xfId="7" applyFont="1" applyAlignment="1">
      <alignment vertical="top" wrapText="1"/>
    </xf>
    <xf numFmtId="0" fontId="28" fillId="0" borderId="22" xfId="7" applyFont="1" applyBorder="1" applyAlignment="1">
      <alignment vertical="top" wrapText="1"/>
    </xf>
    <xf numFmtId="0" fontId="29" fillId="13" borderId="52" xfId="7" applyFont="1" applyFill="1" applyBorder="1" applyAlignment="1">
      <alignment horizontal="center" vertical="center"/>
    </xf>
    <xf numFmtId="0" fontId="29" fillId="13" borderId="50" xfId="7" applyFont="1" applyFill="1" applyBorder="1" applyAlignment="1">
      <alignment horizontal="center" vertical="center"/>
    </xf>
    <xf numFmtId="0" fontId="29" fillId="13" borderId="51" xfId="7" applyFont="1" applyFill="1" applyBorder="1" applyAlignment="1">
      <alignment horizontal="center" vertical="center"/>
    </xf>
    <xf numFmtId="0" fontId="3" fillId="0" borderId="4" xfId="7" applyFont="1" applyBorder="1" applyAlignment="1">
      <alignment horizontal="left" vertical="center" wrapText="1" indent="1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horizontal="left" vertical="center" indent="1"/>
    </xf>
    <xf numFmtId="49" fontId="3" fillId="14" borderId="15" xfId="7" applyNumberFormat="1" applyFont="1" applyFill="1" applyBorder="1" applyAlignment="1">
      <alignment horizontal="left" vertical="center" indent="1"/>
    </xf>
    <xf numFmtId="49" fontId="3" fillId="14" borderId="12" xfId="7" applyNumberFormat="1" applyFont="1" applyFill="1" applyBorder="1" applyAlignment="1">
      <alignment horizontal="left" vertical="center" wrapText="1" indent="1"/>
    </xf>
    <xf numFmtId="49" fontId="3" fillId="0" borderId="26" xfId="7" applyNumberFormat="1" applyFont="1" applyBorder="1" applyAlignment="1">
      <alignment horizontal="left" vertical="center" wrapText="1"/>
    </xf>
    <xf numFmtId="49" fontId="3" fillId="0" borderId="17" xfId="7" applyNumberFormat="1" applyFont="1" applyBorder="1" applyAlignment="1">
      <alignment horizontal="left" vertical="center" wrapText="1"/>
    </xf>
    <xf numFmtId="49" fontId="3" fillId="0" borderId="16" xfId="7" applyNumberFormat="1" applyFont="1" applyBorder="1" applyAlignment="1">
      <alignment horizontal="left" vertical="center" wrapText="1"/>
    </xf>
    <xf numFmtId="49" fontId="3" fillId="0" borderId="54" xfId="7" applyNumberFormat="1" applyFont="1" applyBorder="1" applyAlignment="1">
      <alignment horizontal="left" vertical="center" indent="1"/>
    </xf>
    <xf numFmtId="0" fontId="3" fillId="12" borderId="21" xfId="7" applyFont="1" applyFill="1" applyBorder="1" applyAlignment="1">
      <alignment horizontal="left" vertical="center" wrapText="1" indent="1"/>
    </xf>
    <xf numFmtId="0" fontId="3" fillId="12" borderId="0" xfId="7" applyFont="1" applyFill="1" applyAlignment="1">
      <alignment horizontal="left" vertical="center" wrapText="1" indent="1"/>
    </xf>
    <xf numFmtId="0" fontId="3" fillId="12" borderId="11" xfId="7" applyFont="1" applyFill="1" applyBorder="1" applyAlignment="1">
      <alignment horizontal="left" vertical="center" wrapText="1" indent="1"/>
    </xf>
    <xf numFmtId="0" fontId="3" fillId="0" borderId="13" xfId="7" applyFont="1" applyBorder="1" applyAlignment="1">
      <alignment horizontal="left" vertical="center" wrapText="1" indent="1"/>
    </xf>
    <xf numFmtId="0" fontId="3" fillId="0" borderId="15" xfId="7" applyFont="1" applyBorder="1" applyAlignment="1">
      <alignment horizontal="left" vertical="center" wrapText="1" indent="1"/>
    </xf>
    <xf numFmtId="49" fontId="3" fillId="14" borderId="12" xfId="7" applyNumberFormat="1" applyFont="1" applyFill="1" applyBorder="1" applyAlignment="1">
      <alignment horizontal="left" vertical="center" indent="1"/>
    </xf>
    <xf numFmtId="0" fontId="18" fillId="0" borderId="5" xfId="7" applyFont="1" applyBorder="1" applyAlignment="1">
      <alignment horizontal="center" vertical="center" wrapText="1"/>
    </xf>
    <xf numFmtId="0" fontId="18" fillId="0" borderId="10" xfId="7" applyFont="1" applyBorder="1" applyAlignment="1">
      <alignment horizontal="center" vertical="center" wrapText="1"/>
    </xf>
    <xf numFmtId="0" fontId="18" fillId="0" borderId="7" xfId="7" applyFont="1" applyBorder="1" applyAlignment="1">
      <alignment horizontal="center" vertical="center" wrapText="1"/>
    </xf>
    <xf numFmtId="0" fontId="18" fillId="0" borderId="11" xfId="7" applyFont="1" applyBorder="1" applyAlignment="1">
      <alignment horizontal="center" vertical="center" wrapText="1"/>
    </xf>
    <xf numFmtId="0" fontId="18" fillId="0" borderId="8" xfId="7" applyFont="1" applyBorder="1" applyAlignment="1">
      <alignment horizontal="center" vertical="center" wrapText="1"/>
    </xf>
    <xf numFmtId="0" fontId="3" fillId="11" borderId="9" xfId="8" applyFont="1" applyFill="1" applyBorder="1" applyAlignment="1">
      <alignment horizontal="center" vertical="center"/>
    </xf>
    <xf numFmtId="0" fontId="3" fillId="11" borderId="13" xfId="8" applyFont="1" applyFill="1" applyBorder="1" applyAlignment="1">
      <alignment horizontal="center" vertical="center"/>
    </xf>
    <xf numFmtId="0" fontId="3" fillId="11" borderId="15" xfId="8" applyFont="1" applyFill="1" applyBorder="1" applyAlignment="1">
      <alignment horizontal="center" vertical="center"/>
    </xf>
    <xf numFmtId="1" fontId="32" fillId="14" borderId="20" xfId="7" applyNumberFormat="1" applyFont="1" applyFill="1" applyBorder="1" applyAlignment="1">
      <alignment horizontal="left" vertical="center"/>
    </xf>
    <xf numFmtId="1" fontId="32" fillId="14" borderId="31" xfId="7" applyNumberFormat="1" applyFont="1" applyFill="1" applyBorder="1" applyAlignment="1">
      <alignment horizontal="left" vertical="center"/>
    </xf>
    <xf numFmtId="0" fontId="3" fillId="0" borderId="26" xfId="7" applyFont="1" applyBorder="1" applyAlignment="1">
      <alignment horizontal="left" vertical="center" wrapText="1"/>
    </xf>
    <xf numFmtId="0" fontId="3" fillId="0" borderId="17" xfId="7" applyFont="1" applyBorder="1" applyAlignment="1">
      <alignment horizontal="left" vertical="center" wrapText="1"/>
    </xf>
  </cellXfs>
  <cellStyles count="21">
    <cellStyle name="Euro" xfId="1"/>
    <cellStyle name="Euro 2" xfId="2"/>
    <cellStyle name="Millares 2" xfId="3"/>
    <cellStyle name="Millares 2 2" xfId="4"/>
    <cellStyle name="Millares 3" xfId="20"/>
    <cellStyle name="Normal" xfId="0" builtinId="0"/>
    <cellStyle name="Normal 2" xfId="5"/>
    <cellStyle name="Normal 2 2" xfId="6"/>
    <cellStyle name="Normal 2 2 2" xfId="18"/>
    <cellStyle name="Normal 2 3" xfId="7"/>
    <cellStyle name="Normal 3" xfId="8"/>
    <cellStyle name="Normal 3 2" xfId="9"/>
    <cellStyle name="Normal 3 2 2" xfId="10"/>
    <cellStyle name="Normal 3 3" xfId="19"/>
    <cellStyle name="Normal 4" xfId="11"/>
    <cellStyle name="Normal 45" xfId="12"/>
    <cellStyle name="Normal 5" xfId="13"/>
    <cellStyle name="Normal 6" xfId="14"/>
    <cellStyle name="Normal 7" xfId="15"/>
    <cellStyle name="Normal 8" xfId="16"/>
    <cellStyle name="Porcentaje 2" xfId="17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3" name="Text Box 1">
          <a:extLst>
            <a:ext uri="{FF2B5EF4-FFF2-40B4-BE49-F238E27FC236}">
              <a16:creationId xmlns:a16="http://schemas.microsoft.com/office/drawing/2014/main" xmlns="" id="{00000000-0008-0000-0000-00005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91</xdr:row>
      <xdr:rowOff>0</xdr:rowOff>
    </xdr:from>
    <xdr:to>
      <xdr:col>2</xdr:col>
      <xdr:colOff>295275</xdr:colOff>
      <xdr:row>92</xdr:row>
      <xdr:rowOff>0</xdr:rowOff>
    </xdr:to>
    <xdr:sp macro="" textlink="">
      <xdr:nvSpPr>
        <xdr:cNvPr id="1884" name="Text Box 2">
          <a:extLst>
            <a:ext uri="{FF2B5EF4-FFF2-40B4-BE49-F238E27FC236}">
              <a16:creationId xmlns:a16="http://schemas.microsoft.com/office/drawing/2014/main" xmlns="" id="{00000000-0008-0000-0000-00005C070000}"/>
            </a:ext>
          </a:extLst>
        </xdr:cNvPr>
        <xdr:cNvSpPr txBox="1">
          <a:spLocks noChangeArrowheads="1"/>
        </xdr:cNvSpPr>
      </xdr:nvSpPr>
      <xdr:spPr bwMode="auto">
        <a:xfrm>
          <a:off x="288607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885" name="Text Box 4">
          <a:extLst>
            <a:ext uri="{FF2B5EF4-FFF2-40B4-BE49-F238E27FC236}">
              <a16:creationId xmlns:a16="http://schemas.microsoft.com/office/drawing/2014/main" xmlns="" id="{00000000-0008-0000-0000-00005D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886" name="Text Box 5">
          <a:extLst>
            <a:ext uri="{FF2B5EF4-FFF2-40B4-BE49-F238E27FC236}">
              <a16:creationId xmlns:a16="http://schemas.microsoft.com/office/drawing/2014/main" xmlns="" id="{00000000-0008-0000-0000-00005E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887" name="Text Box 6">
          <a:extLst>
            <a:ext uri="{FF2B5EF4-FFF2-40B4-BE49-F238E27FC236}">
              <a16:creationId xmlns:a16="http://schemas.microsoft.com/office/drawing/2014/main" xmlns="" id="{00000000-0008-0000-0000-00005F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485775</xdr:colOff>
      <xdr:row>92</xdr:row>
      <xdr:rowOff>0</xdr:rowOff>
    </xdr:to>
    <xdr:sp macro="" textlink="">
      <xdr:nvSpPr>
        <xdr:cNvPr id="1888" name="Text Box 7">
          <a:extLst>
            <a:ext uri="{FF2B5EF4-FFF2-40B4-BE49-F238E27FC236}">
              <a16:creationId xmlns:a16="http://schemas.microsoft.com/office/drawing/2014/main" xmlns="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9" name="Text Box 8">
          <a:extLst>
            <a:ext uri="{FF2B5EF4-FFF2-40B4-BE49-F238E27FC236}">
              <a16:creationId xmlns:a16="http://schemas.microsoft.com/office/drawing/2014/main" xmlns="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123825</xdr:rowOff>
    </xdr:to>
    <xdr:sp macro="" textlink="">
      <xdr:nvSpPr>
        <xdr:cNvPr id="1890" name="Text Box 9">
          <a:extLst>
            <a:ext uri="{FF2B5EF4-FFF2-40B4-BE49-F238E27FC236}">
              <a16:creationId xmlns:a16="http://schemas.microsoft.com/office/drawing/2014/main" xmlns="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1" name="Text Box 10">
          <a:extLst>
            <a:ext uri="{FF2B5EF4-FFF2-40B4-BE49-F238E27FC236}">
              <a16:creationId xmlns:a16="http://schemas.microsoft.com/office/drawing/2014/main" xmlns="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123825</xdr:rowOff>
    </xdr:to>
    <xdr:sp macro="" textlink="">
      <xdr:nvSpPr>
        <xdr:cNvPr id="1892" name="Text Box 11">
          <a:extLst>
            <a:ext uri="{FF2B5EF4-FFF2-40B4-BE49-F238E27FC236}">
              <a16:creationId xmlns:a16="http://schemas.microsoft.com/office/drawing/2014/main" xmlns="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3" name="Text Box 12">
          <a:extLst>
            <a:ext uri="{FF2B5EF4-FFF2-40B4-BE49-F238E27FC236}">
              <a16:creationId xmlns:a16="http://schemas.microsoft.com/office/drawing/2014/main" xmlns="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894" name="Text Box 14">
          <a:extLst>
            <a:ext uri="{FF2B5EF4-FFF2-40B4-BE49-F238E27FC236}">
              <a16:creationId xmlns:a16="http://schemas.microsoft.com/office/drawing/2014/main" xmlns="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895" name="Text Box 15">
          <a:extLst>
            <a:ext uri="{FF2B5EF4-FFF2-40B4-BE49-F238E27FC236}">
              <a16:creationId xmlns:a16="http://schemas.microsoft.com/office/drawing/2014/main" xmlns="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485775</xdr:colOff>
      <xdr:row>92</xdr:row>
      <xdr:rowOff>0</xdr:rowOff>
    </xdr:to>
    <xdr:sp macro="" textlink="">
      <xdr:nvSpPr>
        <xdr:cNvPr id="1896" name="Text Box 16">
          <a:extLst>
            <a:ext uri="{FF2B5EF4-FFF2-40B4-BE49-F238E27FC236}">
              <a16:creationId xmlns:a16="http://schemas.microsoft.com/office/drawing/2014/main" xmlns="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7" name="Text Box 17">
          <a:extLst>
            <a:ext uri="{FF2B5EF4-FFF2-40B4-BE49-F238E27FC236}">
              <a16:creationId xmlns:a16="http://schemas.microsoft.com/office/drawing/2014/main" xmlns="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123825</xdr:rowOff>
    </xdr:to>
    <xdr:sp macro="" textlink="">
      <xdr:nvSpPr>
        <xdr:cNvPr id="1898" name="Text Box 18">
          <a:extLst>
            <a:ext uri="{FF2B5EF4-FFF2-40B4-BE49-F238E27FC236}">
              <a16:creationId xmlns:a16="http://schemas.microsoft.com/office/drawing/2014/main" xmlns="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9" name="Text Box 19">
          <a:extLst>
            <a:ext uri="{FF2B5EF4-FFF2-40B4-BE49-F238E27FC236}">
              <a16:creationId xmlns:a16="http://schemas.microsoft.com/office/drawing/2014/main" xmlns="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123825</xdr:rowOff>
    </xdr:to>
    <xdr:sp macro="" textlink="">
      <xdr:nvSpPr>
        <xdr:cNvPr id="1900" name="Text Box 20">
          <a:extLst>
            <a:ext uri="{FF2B5EF4-FFF2-40B4-BE49-F238E27FC236}">
              <a16:creationId xmlns:a16="http://schemas.microsoft.com/office/drawing/2014/main" xmlns="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1" name="Text Box 85">
          <a:extLst>
            <a:ext uri="{FF2B5EF4-FFF2-40B4-BE49-F238E27FC236}">
              <a16:creationId xmlns:a16="http://schemas.microsoft.com/office/drawing/2014/main" xmlns="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903" name="Text Box 88">
          <a:extLst>
            <a:ext uri="{FF2B5EF4-FFF2-40B4-BE49-F238E27FC236}">
              <a16:creationId xmlns:a16="http://schemas.microsoft.com/office/drawing/2014/main" xmlns="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904" name="Text Box 89">
          <a:extLst>
            <a:ext uri="{FF2B5EF4-FFF2-40B4-BE49-F238E27FC236}">
              <a16:creationId xmlns:a16="http://schemas.microsoft.com/office/drawing/2014/main" xmlns="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905" name="Text Box 90">
          <a:extLst>
            <a:ext uri="{FF2B5EF4-FFF2-40B4-BE49-F238E27FC236}">
              <a16:creationId xmlns:a16="http://schemas.microsoft.com/office/drawing/2014/main" xmlns="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485775</xdr:colOff>
      <xdr:row>92</xdr:row>
      <xdr:rowOff>0</xdr:rowOff>
    </xdr:to>
    <xdr:sp macro="" textlink="">
      <xdr:nvSpPr>
        <xdr:cNvPr id="1906" name="Text Box 91">
          <a:extLst>
            <a:ext uri="{FF2B5EF4-FFF2-40B4-BE49-F238E27FC236}">
              <a16:creationId xmlns:a16="http://schemas.microsoft.com/office/drawing/2014/main" xmlns="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7" name="Text Box 92">
          <a:extLst>
            <a:ext uri="{FF2B5EF4-FFF2-40B4-BE49-F238E27FC236}">
              <a16:creationId xmlns:a16="http://schemas.microsoft.com/office/drawing/2014/main" xmlns="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200025</xdr:colOff>
      <xdr:row>92</xdr:row>
      <xdr:rowOff>0</xdr:rowOff>
    </xdr:to>
    <xdr:sp macro="" textlink="">
      <xdr:nvSpPr>
        <xdr:cNvPr id="1908" name="Text Box 94">
          <a:extLst>
            <a:ext uri="{FF2B5EF4-FFF2-40B4-BE49-F238E27FC236}">
              <a16:creationId xmlns:a16="http://schemas.microsoft.com/office/drawing/2014/main" xmlns="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142875</xdr:rowOff>
    </xdr:from>
    <xdr:to>
      <xdr:col>5</xdr:col>
      <xdr:colOff>419100</xdr:colOff>
      <xdr:row>2</xdr:row>
      <xdr:rowOff>38100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xmlns="" id="{86DB4CAA-2BDB-4400-9A76-9A3503122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42875"/>
          <a:ext cx="20955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104775</xdr:rowOff>
    </xdr:from>
    <xdr:to>
      <xdr:col>5</xdr:col>
      <xdr:colOff>352425</xdr:colOff>
      <xdr:row>1</xdr:row>
      <xdr:rowOff>190500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xmlns="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2095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56"/>
  <sheetViews>
    <sheetView showGridLines="0" tabSelected="1" zoomScaleNormal="100" workbookViewId="0"/>
  </sheetViews>
  <sheetFormatPr baseColWidth="10" defaultColWidth="11.42578125" defaultRowHeight="15.95" customHeight="1" x14ac:dyDescent="0.2"/>
  <cols>
    <col min="1" max="1" width="16.85546875" style="19" customWidth="1"/>
    <col min="2" max="2" width="23.140625" style="2" customWidth="1"/>
    <col min="3" max="3" width="9.85546875" style="2" customWidth="1"/>
    <col min="4" max="4" width="9.42578125" style="2" customWidth="1"/>
    <col min="5" max="14" width="10.42578125" style="2" customWidth="1"/>
    <col min="15" max="16384" width="11.42578125" style="2"/>
  </cols>
  <sheetData>
    <row r="1" spans="1:14" ht="15.95" customHeight="1" x14ac:dyDescent="0.2">
      <c r="B1" s="5" t="s">
        <v>182</v>
      </c>
      <c r="C1" s="5"/>
      <c r="D1" s="5"/>
      <c r="E1" s="5"/>
      <c r="F1" s="5"/>
      <c r="G1" s="5"/>
      <c r="H1" s="5"/>
      <c r="I1" s="5"/>
      <c r="J1" s="5"/>
      <c r="K1" s="5"/>
      <c r="L1" s="6"/>
      <c r="M1" s="3"/>
      <c r="N1" s="1"/>
    </row>
    <row r="2" spans="1:14" ht="15.95" customHeight="1" x14ac:dyDescent="0.2">
      <c r="B2" s="498" t="s">
        <v>354</v>
      </c>
      <c r="C2" s="500"/>
      <c r="D2" s="500"/>
      <c r="E2" s="500"/>
      <c r="F2" s="5"/>
      <c r="G2" s="5"/>
      <c r="H2" s="5"/>
      <c r="I2" s="5"/>
      <c r="J2" s="5"/>
      <c r="K2" s="5"/>
      <c r="L2" s="6"/>
      <c r="M2" s="3"/>
      <c r="N2" s="1"/>
    </row>
    <row r="3" spans="1:14" ht="15.95" customHeight="1" x14ac:dyDescent="0.2">
      <c r="B3" s="5" t="s">
        <v>20</v>
      </c>
      <c r="C3" s="500"/>
      <c r="D3" s="500"/>
      <c r="E3" s="500"/>
      <c r="F3" s="5"/>
      <c r="G3" s="5"/>
      <c r="H3" s="5"/>
      <c r="I3" s="5"/>
      <c r="J3" s="5"/>
      <c r="K3" s="5"/>
      <c r="L3" s="5"/>
      <c r="M3" s="3"/>
      <c r="N3" s="1"/>
    </row>
    <row r="4" spans="1:14" ht="15.95" customHeight="1" x14ac:dyDescent="0.2">
      <c r="B4" s="5" t="s">
        <v>355</v>
      </c>
      <c r="C4" s="500"/>
      <c r="D4" s="500"/>
      <c r="E4" s="500"/>
      <c r="F4" s="5"/>
      <c r="G4" s="5"/>
      <c r="H4" s="5"/>
      <c r="I4" s="5"/>
      <c r="J4" s="5"/>
      <c r="K4" s="5"/>
      <c r="L4" s="5"/>
      <c r="M4" s="3"/>
      <c r="N4" s="1"/>
    </row>
    <row r="5" spans="1:14" ht="15.95" customHeight="1" x14ac:dyDescent="0.2">
      <c r="B5" s="515" t="s">
        <v>39</v>
      </c>
      <c r="C5" s="515"/>
      <c r="D5" s="515"/>
      <c r="E5" s="515"/>
      <c r="F5" s="515"/>
      <c r="G5" s="515"/>
      <c r="H5" s="515"/>
      <c r="I5" s="515"/>
      <c r="J5" s="515"/>
      <c r="K5" s="515"/>
      <c r="L5" s="12"/>
      <c r="M5" s="12"/>
    </row>
    <row r="6" spans="1:14" ht="15.95" customHeight="1" x14ac:dyDescent="0.2">
      <c r="B6" s="4" t="s">
        <v>100</v>
      </c>
      <c r="C6" s="3"/>
      <c r="D6" s="3"/>
      <c r="E6" s="5"/>
      <c r="F6" s="5"/>
      <c r="G6" s="5"/>
      <c r="H6" s="5"/>
      <c r="I6" s="9"/>
      <c r="J6" s="5"/>
      <c r="K6" s="5"/>
      <c r="L6" s="5"/>
      <c r="M6" s="5"/>
    </row>
    <row r="7" spans="1:14" ht="15.95" customHeight="1" x14ac:dyDescent="0.2">
      <c r="A7" s="514" t="s">
        <v>356</v>
      </c>
      <c r="B7" s="543" t="s">
        <v>38</v>
      </c>
      <c r="C7" s="544"/>
      <c r="D7" s="552"/>
      <c r="E7" s="519" t="s">
        <v>44</v>
      </c>
      <c r="F7" s="519"/>
      <c r="G7" s="519"/>
      <c r="H7" s="519"/>
      <c r="I7"/>
      <c r="J7" s="9"/>
    </row>
    <row r="8" spans="1:14" ht="15.95" customHeight="1" x14ac:dyDescent="0.2">
      <c r="A8" s="514"/>
      <c r="B8" s="545"/>
      <c r="C8" s="546"/>
      <c r="D8" s="553"/>
      <c r="E8" s="21" t="s">
        <v>0</v>
      </c>
      <c r="F8" s="22" t="s">
        <v>1</v>
      </c>
      <c r="G8" s="22" t="s">
        <v>2</v>
      </c>
      <c r="H8" s="23" t="s">
        <v>59</v>
      </c>
    </row>
    <row r="9" spans="1:14" ht="15.95" customHeight="1" x14ac:dyDescent="0.2">
      <c r="A9" s="19" t="s">
        <v>112</v>
      </c>
      <c r="B9" s="520" t="s">
        <v>6</v>
      </c>
      <c r="C9" s="535" t="s">
        <v>57</v>
      </c>
      <c r="D9" s="554"/>
      <c r="E9" s="33"/>
      <c r="F9" s="34"/>
      <c r="G9" s="34"/>
      <c r="H9" s="14"/>
    </row>
    <row r="10" spans="1:14" ht="15.95" customHeight="1" x14ac:dyDescent="0.2">
      <c r="A10" s="19" t="s">
        <v>113</v>
      </c>
      <c r="B10" s="518"/>
      <c r="C10" s="530" t="s">
        <v>58</v>
      </c>
      <c r="D10" s="531"/>
      <c r="E10" s="35"/>
      <c r="F10" s="36"/>
      <c r="G10" s="36"/>
      <c r="H10" s="15"/>
    </row>
    <row r="11" spans="1:14" ht="15.95" customHeight="1" x14ac:dyDescent="0.2">
      <c r="A11" s="19" t="s">
        <v>113</v>
      </c>
      <c r="B11" s="518"/>
      <c r="C11" s="530" t="s">
        <v>102</v>
      </c>
      <c r="D11" s="531"/>
      <c r="E11" s="35"/>
      <c r="F11" s="36"/>
      <c r="G11" s="36"/>
      <c r="H11" s="15"/>
    </row>
    <row r="12" spans="1:14" ht="15.95" customHeight="1" x14ac:dyDescent="0.2">
      <c r="A12" s="19" t="s">
        <v>110</v>
      </c>
      <c r="B12" s="518" t="s">
        <v>51</v>
      </c>
      <c r="C12" s="530" t="s">
        <v>103</v>
      </c>
      <c r="D12" s="531"/>
      <c r="E12" s="35"/>
      <c r="F12" s="37"/>
      <c r="G12" s="37"/>
      <c r="H12" s="16"/>
    </row>
    <row r="13" spans="1:14" ht="15.95" customHeight="1" x14ac:dyDescent="0.2">
      <c r="A13" s="19" t="s">
        <v>111</v>
      </c>
      <c r="B13" s="518"/>
      <c r="C13" s="530" t="s">
        <v>57</v>
      </c>
      <c r="D13" s="531"/>
      <c r="E13" s="35"/>
      <c r="F13" s="37"/>
      <c r="G13" s="37"/>
      <c r="H13" s="13"/>
    </row>
    <row r="14" spans="1:14" ht="15.95" customHeight="1" x14ac:dyDescent="0.2">
      <c r="A14" s="19">
        <v>90713</v>
      </c>
      <c r="B14" s="521" t="s">
        <v>7</v>
      </c>
      <c r="C14" s="44" t="s">
        <v>104</v>
      </c>
      <c r="D14" s="53" t="s">
        <v>106</v>
      </c>
      <c r="E14" s="35"/>
      <c r="F14" s="35"/>
      <c r="G14" s="38"/>
      <c r="H14" s="14"/>
    </row>
    <row r="15" spans="1:14" ht="15.95" customHeight="1" x14ac:dyDescent="0.2">
      <c r="A15" s="19" t="s">
        <v>109</v>
      </c>
      <c r="B15" s="521"/>
      <c r="C15" s="44" t="s">
        <v>105</v>
      </c>
      <c r="D15" s="53" t="s">
        <v>181</v>
      </c>
      <c r="E15" s="37"/>
      <c r="F15" s="37"/>
      <c r="G15" s="35"/>
      <c r="H15" s="15"/>
    </row>
    <row r="16" spans="1:14" ht="15.95" customHeight="1" x14ac:dyDescent="0.2">
      <c r="A16" s="19">
        <v>90723</v>
      </c>
      <c r="B16" s="40" t="s">
        <v>40</v>
      </c>
      <c r="C16" s="530" t="s">
        <v>107</v>
      </c>
      <c r="D16" s="531"/>
      <c r="E16" s="35"/>
      <c r="F16" s="35"/>
      <c r="G16" s="35"/>
      <c r="H16" s="10"/>
    </row>
    <row r="17" spans="1:14" ht="15.95" customHeight="1" x14ac:dyDescent="0.2">
      <c r="A17" s="19" t="s">
        <v>336</v>
      </c>
      <c r="B17" s="41" t="s">
        <v>17</v>
      </c>
      <c r="C17" s="538" t="s">
        <v>121</v>
      </c>
      <c r="D17" s="42" t="s">
        <v>116</v>
      </c>
      <c r="E17" s="38"/>
      <c r="F17" s="35"/>
      <c r="G17" s="35"/>
      <c r="H17" s="10"/>
    </row>
    <row r="18" spans="1:14" ht="15.95" customHeight="1" x14ac:dyDescent="0.2">
      <c r="A18" s="19">
        <v>90744</v>
      </c>
      <c r="B18" s="41" t="s">
        <v>51</v>
      </c>
      <c r="C18" s="538"/>
      <c r="D18" s="42" t="s">
        <v>84</v>
      </c>
      <c r="E18" s="38"/>
      <c r="F18" s="35"/>
      <c r="G18" s="35"/>
      <c r="H18" s="10"/>
    </row>
    <row r="19" spans="1:14" ht="15.95" customHeight="1" x14ac:dyDescent="0.2">
      <c r="A19" s="19" t="s">
        <v>337</v>
      </c>
      <c r="B19" s="41" t="s">
        <v>49</v>
      </c>
      <c r="C19" s="538"/>
      <c r="D19" s="42" t="s">
        <v>117</v>
      </c>
      <c r="E19" s="38"/>
      <c r="F19" s="35"/>
      <c r="G19" s="35"/>
      <c r="H19" s="10"/>
    </row>
    <row r="20" spans="1:14" ht="15.95" customHeight="1" x14ac:dyDescent="0.2">
      <c r="A20" s="19">
        <v>90681</v>
      </c>
      <c r="B20" s="40" t="s">
        <v>41</v>
      </c>
      <c r="C20" s="530" t="s">
        <v>106</v>
      </c>
      <c r="D20" s="531"/>
      <c r="E20" s="35"/>
      <c r="F20" s="35"/>
      <c r="G20" s="38"/>
      <c r="H20" s="10"/>
    </row>
    <row r="21" spans="1:14" ht="15.95" customHeight="1" x14ac:dyDescent="0.2">
      <c r="A21" s="19" t="s">
        <v>338</v>
      </c>
      <c r="B21" s="40" t="s">
        <v>42</v>
      </c>
      <c r="C21" s="530" t="s">
        <v>106</v>
      </c>
      <c r="D21" s="531"/>
      <c r="E21" s="35"/>
      <c r="F21" s="35"/>
      <c r="G21" s="38"/>
      <c r="H21" s="10"/>
    </row>
    <row r="22" spans="1:14" ht="15.95" customHeight="1" x14ac:dyDescent="0.2">
      <c r="A22" s="19">
        <v>90657</v>
      </c>
      <c r="B22" s="40" t="s">
        <v>43</v>
      </c>
      <c r="C22" s="530"/>
      <c r="D22" s="531"/>
      <c r="E22" s="35"/>
      <c r="F22" s="35"/>
      <c r="G22" s="38"/>
      <c r="H22" s="10"/>
    </row>
    <row r="23" spans="1:14" ht="15.95" customHeight="1" x14ac:dyDescent="0.2">
      <c r="A23" s="19">
        <v>90713</v>
      </c>
      <c r="B23" s="46" t="s">
        <v>108</v>
      </c>
      <c r="C23" s="55" t="s">
        <v>104</v>
      </c>
      <c r="D23" s="56" t="s">
        <v>120</v>
      </c>
      <c r="E23" s="39"/>
      <c r="F23" s="39"/>
      <c r="G23" s="39"/>
      <c r="H23" s="11"/>
    </row>
    <row r="24" spans="1:14" ht="15.95" customHeight="1" x14ac:dyDescent="0.2">
      <c r="M24" s="1"/>
    </row>
    <row r="25" spans="1:14" ht="15.95" customHeight="1" x14ac:dyDescent="0.2">
      <c r="B25" s="4" t="s">
        <v>60</v>
      </c>
      <c r="C25" s="1"/>
      <c r="D25" s="1"/>
      <c r="E25" s="1"/>
      <c r="F25" s="1"/>
      <c r="G25" s="1"/>
      <c r="H25" s="1"/>
      <c r="I25" s="1"/>
      <c r="J25" s="1"/>
      <c r="K25" s="1"/>
    </row>
    <row r="26" spans="1:14" ht="15.95" customHeight="1" x14ac:dyDescent="0.2">
      <c r="B26" s="543" t="s">
        <v>38</v>
      </c>
      <c r="C26" s="544"/>
      <c r="D26" s="552"/>
      <c r="E26" s="519" t="s">
        <v>44</v>
      </c>
      <c r="F26" s="519"/>
      <c r="G26" s="519"/>
      <c r="H26"/>
    </row>
    <row r="27" spans="1:14" ht="15.95" customHeight="1" x14ac:dyDescent="0.2">
      <c r="B27" s="545"/>
      <c r="C27" s="546"/>
      <c r="D27" s="553"/>
      <c r="E27" s="21" t="s">
        <v>0</v>
      </c>
      <c r="F27" s="22" t="s">
        <v>1</v>
      </c>
      <c r="G27" s="22" t="s">
        <v>2</v>
      </c>
    </row>
    <row r="28" spans="1:14" s="1" customFormat="1" ht="15.95" customHeight="1" x14ac:dyDescent="0.2">
      <c r="A28" s="19" t="s">
        <v>338</v>
      </c>
      <c r="B28" s="57" t="s">
        <v>42</v>
      </c>
      <c r="C28" s="535" t="s">
        <v>114</v>
      </c>
      <c r="D28" s="536"/>
      <c r="E28" s="48"/>
      <c r="F28" s="48"/>
      <c r="G28" s="33"/>
    </row>
    <row r="29" spans="1:14" s="1" customFormat="1" ht="15.95" customHeight="1" x14ac:dyDescent="0.2">
      <c r="A29" s="19">
        <v>90707</v>
      </c>
      <c r="B29" s="40" t="s">
        <v>66</v>
      </c>
      <c r="C29" s="530"/>
      <c r="D29" s="537"/>
      <c r="E29" s="35"/>
      <c r="F29" s="35"/>
      <c r="G29" s="38"/>
      <c r="I29" s="4" t="s">
        <v>216</v>
      </c>
      <c r="J29" s="3"/>
      <c r="K29" s="2"/>
      <c r="L29" s="2"/>
      <c r="M29" s="2"/>
    </row>
    <row r="30" spans="1:14" s="1" customFormat="1" ht="15.95" customHeight="1" x14ac:dyDescent="0.2">
      <c r="A30" s="19">
        <v>90657</v>
      </c>
      <c r="B30" s="518" t="s">
        <v>43</v>
      </c>
      <c r="C30" s="530" t="s">
        <v>328</v>
      </c>
      <c r="D30" s="537"/>
      <c r="E30" s="35"/>
      <c r="F30" s="35"/>
      <c r="G30" s="38"/>
      <c r="I30" s="511" t="s">
        <v>269</v>
      </c>
      <c r="J30" s="512"/>
      <c r="K30" s="512"/>
      <c r="L30" s="513"/>
      <c r="M30" s="475" t="s">
        <v>218</v>
      </c>
    </row>
    <row r="31" spans="1:14" s="1" customFormat="1" ht="15.95" customHeight="1" x14ac:dyDescent="0.2">
      <c r="A31" s="19"/>
      <c r="B31" s="518"/>
      <c r="C31" s="530" t="s">
        <v>218</v>
      </c>
      <c r="D31" s="537"/>
      <c r="E31" s="35"/>
      <c r="F31" s="38"/>
      <c r="G31" s="38"/>
      <c r="I31" s="476" t="s">
        <v>124</v>
      </c>
      <c r="J31" s="558" t="s">
        <v>223</v>
      </c>
      <c r="K31" s="559"/>
      <c r="L31" s="560"/>
      <c r="M31" s="33"/>
    </row>
    <row r="32" spans="1:14" s="1" customFormat="1" ht="15.95" customHeight="1" x14ac:dyDescent="0.2">
      <c r="A32" s="19" t="s">
        <v>338</v>
      </c>
      <c r="B32" s="40" t="s">
        <v>217</v>
      </c>
      <c r="C32" s="530" t="s">
        <v>62</v>
      </c>
      <c r="D32" s="537"/>
      <c r="E32" s="35"/>
      <c r="F32" s="35"/>
      <c r="G32" s="38"/>
      <c r="I32" s="476" t="s">
        <v>69</v>
      </c>
      <c r="J32" s="561"/>
      <c r="K32" s="562"/>
      <c r="L32" s="563"/>
      <c r="M32" s="33"/>
      <c r="N32" s="2"/>
    </row>
    <row r="33" spans="1:16" s="1" customFormat="1" ht="15.95" customHeight="1" x14ac:dyDescent="0.2">
      <c r="A33" s="19">
        <v>90717</v>
      </c>
      <c r="B33" s="40" t="s">
        <v>12</v>
      </c>
      <c r="C33" s="530" t="s">
        <v>63</v>
      </c>
      <c r="D33" s="537"/>
      <c r="E33" s="35"/>
      <c r="F33" s="38"/>
      <c r="G33" s="38"/>
      <c r="I33" s="476" t="s">
        <v>70</v>
      </c>
      <c r="J33" s="561"/>
      <c r="K33" s="562"/>
      <c r="L33" s="563"/>
      <c r="M33" s="33"/>
      <c r="N33" s="2"/>
    </row>
    <row r="34" spans="1:16" s="1" customFormat="1" ht="15.95" customHeight="1" x14ac:dyDescent="0.2">
      <c r="A34" s="19">
        <v>90701</v>
      </c>
      <c r="B34" s="40" t="s">
        <v>90</v>
      </c>
      <c r="C34" s="530" t="s">
        <v>64</v>
      </c>
      <c r="D34" s="537"/>
      <c r="E34" s="35"/>
      <c r="F34" s="38"/>
      <c r="G34" s="38"/>
      <c r="I34" s="476" t="s">
        <v>71</v>
      </c>
      <c r="J34" s="561"/>
      <c r="K34" s="562"/>
      <c r="L34" s="563"/>
      <c r="M34" s="33"/>
    </row>
    <row r="35" spans="1:16" s="1" customFormat="1" ht="15.95" customHeight="1" x14ac:dyDescent="0.2">
      <c r="A35" s="19" t="s">
        <v>109</v>
      </c>
      <c r="B35" s="40" t="s">
        <v>115</v>
      </c>
      <c r="C35" s="530"/>
      <c r="D35" s="537"/>
      <c r="E35" s="35"/>
      <c r="F35" s="38"/>
      <c r="G35" s="38"/>
      <c r="I35" s="476" t="s">
        <v>214</v>
      </c>
      <c r="J35" s="564"/>
      <c r="K35" s="565"/>
      <c r="L35" s="566"/>
      <c r="M35" s="33"/>
    </row>
    <row r="36" spans="1:16" ht="15.95" customHeight="1" x14ac:dyDescent="0.2">
      <c r="A36" s="19">
        <v>90713</v>
      </c>
      <c r="B36" s="521" t="s">
        <v>7</v>
      </c>
      <c r="C36" s="538" t="s">
        <v>65</v>
      </c>
      <c r="D36" s="53" t="s">
        <v>104</v>
      </c>
      <c r="E36" s="35"/>
      <c r="F36" s="35"/>
      <c r="G36" s="38"/>
      <c r="H36"/>
      <c r="I36" s="476" t="s">
        <v>124</v>
      </c>
      <c r="J36" s="558" t="s">
        <v>224</v>
      </c>
      <c r="K36" s="559"/>
      <c r="L36" s="560"/>
      <c r="M36" s="33"/>
      <c r="N36" s="1"/>
    </row>
    <row r="37" spans="1:16" ht="15.95" customHeight="1" x14ac:dyDescent="0.2">
      <c r="A37" s="19" t="s">
        <v>109</v>
      </c>
      <c r="B37" s="521"/>
      <c r="C37" s="538"/>
      <c r="D37" s="53" t="s">
        <v>105</v>
      </c>
      <c r="E37" s="38"/>
      <c r="F37" s="38"/>
      <c r="G37" s="35"/>
      <c r="H37"/>
      <c r="I37" s="476" t="s">
        <v>69</v>
      </c>
      <c r="J37" s="561"/>
      <c r="K37" s="562"/>
      <c r="L37" s="563"/>
      <c r="M37" s="33"/>
      <c r="N37" s="1"/>
    </row>
    <row r="38" spans="1:16" ht="15.95" customHeight="1" x14ac:dyDescent="0.2">
      <c r="A38" s="19">
        <v>90723</v>
      </c>
      <c r="B38" s="40" t="s">
        <v>21</v>
      </c>
      <c r="C38" s="538"/>
      <c r="D38" s="58"/>
      <c r="E38" s="35"/>
      <c r="F38" s="35"/>
      <c r="G38" s="35"/>
      <c r="H38"/>
      <c r="I38" s="476" t="s">
        <v>70</v>
      </c>
      <c r="J38" s="561"/>
      <c r="K38" s="562"/>
      <c r="L38" s="563"/>
      <c r="M38" s="33"/>
      <c r="N38" s="1"/>
    </row>
    <row r="39" spans="1:16" ht="15.95" customHeight="1" x14ac:dyDescent="0.2">
      <c r="A39" s="19" t="s">
        <v>336</v>
      </c>
      <c r="B39" s="41" t="s">
        <v>17</v>
      </c>
      <c r="C39" s="538"/>
      <c r="D39" s="42" t="s">
        <v>116</v>
      </c>
      <c r="E39" s="38"/>
      <c r="F39" s="35"/>
      <c r="G39" s="35"/>
      <c r="H39"/>
      <c r="I39" s="476" t="s">
        <v>71</v>
      </c>
      <c r="J39" s="561"/>
      <c r="K39" s="562"/>
      <c r="L39" s="563"/>
      <c r="M39" s="33"/>
      <c r="N39" s="1"/>
    </row>
    <row r="40" spans="1:16" ht="15.95" customHeight="1" x14ac:dyDescent="0.2">
      <c r="A40" s="19">
        <v>90744</v>
      </c>
      <c r="B40" s="41" t="s">
        <v>51</v>
      </c>
      <c r="C40" s="538"/>
      <c r="D40" s="42" t="s">
        <v>84</v>
      </c>
      <c r="E40" s="38"/>
      <c r="F40" s="35"/>
      <c r="G40" s="35"/>
      <c r="H40"/>
      <c r="I40" s="476" t="s">
        <v>214</v>
      </c>
      <c r="J40" s="564"/>
      <c r="K40" s="565"/>
      <c r="L40" s="566"/>
      <c r="M40" s="33"/>
      <c r="N40" s="1"/>
    </row>
    <row r="41" spans="1:16" ht="15.95" customHeight="1" x14ac:dyDescent="0.2">
      <c r="A41" s="19" t="s">
        <v>337</v>
      </c>
      <c r="B41" s="41" t="s">
        <v>49</v>
      </c>
      <c r="C41" s="538"/>
      <c r="D41" s="42" t="s">
        <v>117</v>
      </c>
      <c r="E41" s="38"/>
      <c r="F41" s="35"/>
      <c r="G41" s="35"/>
      <c r="H41"/>
      <c r="I41" s="495" t="s">
        <v>271</v>
      </c>
      <c r="J41" s="496"/>
      <c r="K41" s="496"/>
      <c r="L41" s="497"/>
      <c r="M41" s="80"/>
      <c r="N41" s="1"/>
    </row>
    <row r="42" spans="1:16" ht="15.95" customHeight="1" x14ac:dyDescent="0.2">
      <c r="A42" s="19" t="s">
        <v>119</v>
      </c>
      <c r="B42" s="46" t="s">
        <v>118</v>
      </c>
      <c r="C42" s="542"/>
      <c r="D42" s="59"/>
      <c r="E42" s="39"/>
      <c r="F42" s="49"/>
      <c r="G42" s="49"/>
      <c r="H42"/>
      <c r="I42" s="495" t="s">
        <v>326</v>
      </c>
      <c r="J42" s="496"/>
      <c r="K42" s="496"/>
      <c r="L42" s="497"/>
      <c r="M42" s="471"/>
    </row>
    <row r="43" spans="1:16" ht="15.95" customHeight="1" x14ac:dyDescent="0.2">
      <c r="A43" s="19" t="s">
        <v>329</v>
      </c>
      <c r="B43" s="574" t="s">
        <v>295</v>
      </c>
      <c r="C43" s="574"/>
      <c r="D43" s="421" t="s">
        <v>294</v>
      </c>
      <c r="E43" s="80"/>
      <c r="F43" s="422"/>
      <c r="G43" s="422"/>
      <c r="H43" s="1"/>
      <c r="I43" s="495" t="s">
        <v>327</v>
      </c>
      <c r="J43" s="496"/>
      <c r="K43" s="496"/>
      <c r="L43" s="497"/>
      <c r="M43" s="494"/>
    </row>
    <row r="44" spans="1:16" ht="15.95" customHeight="1" thickBot="1" x14ac:dyDescent="0.25">
      <c r="B44" s="4" t="s">
        <v>61</v>
      </c>
      <c r="C44" s="3"/>
      <c r="D44" s="3"/>
      <c r="E44" s="5"/>
      <c r="F44" s="5"/>
      <c r="G44" s="5"/>
      <c r="H44" s="5"/>
      <c r="I44" s="567" t="s">
        <v>45</v>
      </c>
      <c r="J44" s="568"/>
      <c r="K44" s="568"/>
      <c r="L44" s="569"/>
      <c r="M44" s="494"/>
    </row>
    <row r="45" spans="1:16" ht="15.95" customHeight="1" x14ac:dyDescent="0.2">
      <c r="B45" s="543" t="s">
        <v>38</v>
      </c>
      <c r="C45" s="544"/>
      <c r="D45" s="544"/>
      <c r="E45" s="525" t="s">
        <v>54</v>
      </c>
      <c r="F45" s="526"/>
      <c r="G45" s="527"/>
      <c r="H45" s="525" t="s">
        <v>55</v>
      </c>
      <c r="I45" s="523"/>
      <c r="J45" s="524"/>
      <c r="K45" s="522" t="s">
        <v>56</v>
      </c>
      <c r="L45" s="523"/>
      <c r="M45" s="524"/>
      <c r="N45"/>
      <c r="O45"/>
      <c r="P45"/>
    </row>
    <row r="46" spans="1:16" ht="15.95" customHeight="1" x14ac:dyDescent="0.2">
      <c r="B46" s="545"/>
      <c r="C46" s="546"/>
      <c r="D46" s="546"/>
      <c r="E46" s="428" t="s">
        <v>0</v>
      </c>
      <c r="F46" s="22" t="s">
        <v>1</v>
      </c>
      <c r="G46" s="429" t="s">
        <v>2</v>
      </c>
      <c r="H46" s="428" t="s">
        <v>0</v>
      </c>
      <c r="I46" s="22" t="s">
        <v>1</v>
      </c>
      <c r="J46" s="429" t="s">
        <v>2</v>
      </c>
      <c r="K46" s="428" t="s">
        <v>0</v>
      </c>
      <c r="L46" s="22" t="s">
        <v>1</v>
      </c>
      <c r="M46" s="429" t="s">
        <v>2</v>
      </c>
      <c r="N46"/>
      <c r="O46"/>
      <c r="P46"/>
    </row>
    <row r="47" spans="1:16" s="1" customFormat="1" ht="15.95" customHeight="1" x14ac:dyDescent="0.2">
      <c r="A47" s="19" t="s">
        <v>339</v>
      </c>
      <c r="B47" s="520" t="s">
        <v>43</v>
      </c>
      <c r="C47" s="540" t="s">
        <v>219</v>
      </c>
      <c r="D47" s="541"/>
      <c r="E47" s="430"/>
      <c r="F47" s="48"/>
      <c r="G47" s="431"/>
      <c r="H47" s="430"/>
      <c r="I47" s="48"/>
      <c r="J47" s="431"/>
      <c r="K47" s="430"/>
      <c r="L47" s="48"/>
      <c r="M47" s="431"/>
      <c r="N47"/>
      <c r="O47"/>
      <c r="P47"/>
    </row>
    <row r="48" spans="1:16" s="1" customFormat="1" ht="15.95" customHeight="1" x14ac:dyDescent="0.2">
      <c r="A48" s="19"/>
      <c r="B48" s="518"/>
      <c r="C48" s="570" t="s">
        <v>220</v>
      </c>
      <c r="D48" s="571"/>
      <c r="E48" s="432"/>
      <c r="F48" s="38"/>
      <c r="G48" s="433"/>
      <c r="H48" s="432"/>
      <c r="I48" s="38"/>
      <c r="J48" s="433"/>
      <c r="K48" s="432"/>
      <c r="L48" s="38"/>
      <c r="M48" s="433"/>
      <c r="N48"/>
      <c r="O48"/>
      <c r="P48"/>
    </row>
    <row r="49" spans="1:22" s="1" customFormat="1" ht="15.95" customHeight="1" x14ac:dyDescent="0.2">
      <c r="A49" s="19" t="s">
        <v>338</v>
      </c>
      <c r="B49" s="40" t="s">
        <v>42</v>
      </c>
      <c r="C49" s="570" t="s">
        <v>67</v>
      </c>
      <c r="D49" s="571"/>
      <c r="E49" s="432"/>
      <c r="F49" s="38"/>
      <c r="G49" s="433"/>
      <c r="H49" s="432"/>
      <c r="I49" s="38"/>
      <c r="J49" s="433"/>
      <c r="K49" s="432"/>
      <c r="L49" s="38"/>
      <c r="M49" s="433"/>
      <c r="N49"/>
      <c r="O49"/>
      <c r="P49"/>
    </row>
    <row r="50" spans="1:22" s="1" customFormat="1" ht="15.95" customHeight="1" x14ac:dyDescent="0.2">
      <c r="A50" s="19">
        <v>90717</v>
      </c>
      <c r="B50" s="40" t="s">
        <v>12</v>
      </c>
      <c r="C50" s="530"/>
      <c r="D50" s="537"/>
      <c r="E50" s="432"/>
      <c r="F50" s="38"/>
      <c r="G50" s="433"/>
      <c r="H50" s="432"/>
      <c r="I50" s="38"/>
      <c r="J50" s="433"/>
      <c r="K50" s="432"/>
      <c r="L50" s="38"/>
      <c r="M50" s="433"/>
      <c r="N50"/>
      <c r="O50"/>
      <c r="P50"/>
    </row>
    <row r="51" spans="1:22" ht="15.95" customHeight="1" x14ac:dyDescent="0.2">
      <c r="A51" s="19">
        <v>90713</v>
      </c>
      <c r="B51" s="521" t="s">
        <v>7</v>
      </c>
      <c r="C51" s="538" t="s">
        <v>65</v>
      </c>
      <c r="D51" s="440" t="s">
        <v>104</v>
      </c>
      <c r="E51" s="432"/>
      <c r="F51" s="35"/>
      <c r="G51" s="434"/>
      <c r="H51" s="432"/>
      <c r="I51" s="35"/>
      <c r="J51" s="434"/>
      <c r="K51" s="432"/>
      <c r="L51" s="35"/>
      <c r="M51" s="434"/>
      <c r="N51"/>
      <c r="O51"/>
      <c r="P51"/>
    </row>
    <row r="52" spans="1:22" ht="15.95" customHeight="1" x14ac:dyDescent="0.2">
      <c r="A52" s="19" t="s">
        <v>109</v>
      </c>
      <c r="B52" s="521"/>
      <c r="C52" s="538"/>
      <c r="D52" s="440" t="s">
        <v>105</v>
      </c>
      <c r="E52" s="435"/>
      <c r="F52" s="38"/>
      <c r="G52" s="434"/>
      <c r="H52" s="435"/>
      <c r="I52" s="38"/>
      <c r="J52" s="434"/>
      <c r="K52" s="435"/>
      <c r="L52" s="38"/>
      <c r="M52" s="434"/>
      <c r="N52"/>
      <c r="O52"/>
      <c r="P52"/>
    </row>
    <row r="53" spans="1:22" ht="15.95" customHeight="1" x14ac:dyDescent="0.2">
      <c r="A53" s="19">
        <v>90723</v>
      </c>
      <c r="B53" s="40" t="s">
        <v>21</v>
      </c>
      <c r="C53" s="538"/>
      <c r="D53" s="58"/>
      <c r="E53" s="432"/>
      <c r="F53" s="35"/>
      <c r="G53" s="434"/>
      <c r="H53" s="432"/>
      <c r="I53" s="35"/>
      <c r="J53" s="434"/>
      <c r="K53" s="432"/>
      <c r="L53" s="35"/>
      <c r="M53" s="434"/>
      <c r="N53"/>
      <c r="O53"/>
      <c r="P53"/>
    </row>
    <row r="54" spans="1:22" ht="15.95" customHeight="1" x14ac:dyDescent="0.2">
      <c r="A54" s="19" t="s">
        <v>336</v>
      </c>
      <c r="B54" s="41" t="s">
        <v>17</v>
      </c>
      <c r="C54" s="538"/>
      <c r="D54" s="441" t="s">
        <v>116</v>
      </c>
      <c r="E54" s="435"/>
      <c r="F54" s="35"/>
      <c r="G54" s="434"/>
      <c r="H54" s="435"/>
      <c r="I54" s="35"/>
      <c r="J54" s="434"/>
      <c r="K54" s="435"/>
      <c r="L54" s="35"/>
      <c r="M54" s="434"/>
      <c r="N54"/>
      <c r="O54"/>
      <c r="P54"/>
    </row>
    <row r="55" spans="1:22" ht="15.95" customHeight="1" x14ac:dyDescent="0.2">
      <c r="A55" s="19">
        <v>90744</v>
      </c>
      <c r="B55" s="41" t="s">
        <v>51</v>
      </c>
      <c r="C55" s="538"/>
      <c r="D55" s="441" t="s">
        <v>84</v>
      </c>
      <c r="E55" s="435"/>
      <c r="F55" s="35"/>
      <c r="G55" s="434"/>
      <c r="H55" s="435"/>
      <c r="I55" s="35"/>
      <c r="J55" s="434"/>
      <c r="K55" s="435"/>
      <c r="L55" s="35"/>
      <c r="M55" s="434"/>
      <c r="N55"/>
      <c r="O55"/>
      <c r="P55"/>
    </row>
    <row r="56" spans="1:22" ht="15.95" customHeight="1" x14ac:dyDescent="0.2">
      <c r="A56" s="19" t="s">
        <v>337</v>
      </c>
      <c r="B56" s="41" t="s">
        <v>49</v>
      </c>
      <c r="C56" s="538"/>
      <c r="D56" s="441" t="s">
        <v>117</v>
      </c>
      <c r="E56" s="435"/>
      <c r="F56" s="35"/>
      <c r="G56" s="434"/>
      <c r="H56" s="435"/>
      <c r="I56" s="35"/>
      <c r="J56" s="434"/>
      <c r="K56" s="435"/>
      <c r="L56" s="35"/>
      <c r="M56" s="434"/>
      <c r="N56"/>
      <c r="O56"/>
      <c r="P56"/>
    </row>
    <row r="57" spans="1:22" s="1" customFormat="1" ht="15.95" customHeight="1" x14ac:dyDescent="0.2">
      <c r="A57" s="19" t="s">
        <v>172</v>
      </c>
      <c r="B57" s="45" t="s">
        <v>66</v>
      </c>
      <c r="C57" s="538"/>
      <c r="D57" s="442"/>
      <c r="E57" s="432"/>
      <c r="F57" s="35"/>
      <c r="G57" s="433"/>
      <c r="H57" s="432"/>
      <c r="I57" s="35"/>
      <c r="J57" s="433"/>
      <c r="K57" s="432"/>
      <c r="L57" s="35"/>
      <c r="M57" s="433"/>
      <c r="N57"/>
      <c r="O57"/>
      <c r="P57"/>
    </row>
    <row r="58" spans="1:22" s="1" customFormat="1" ht="15.95" customHeight="1" x14ac:dyDescent="0.2">
      <c r="A58" s="19" t="s">
        <v>119</v>
      </c>
      <c r="B58" s="54" t="s">
        <v>122</v>
      </c>
      <c r="C58" s="538"/>
      <c r="D58" s="440"/>
      <c r="E58" s="432"/>
      <c r="F58" s="38"/>
      <c r="G58" s="433"/>
      <c r="H58" s="432"/>
      <c r="I58" s="38"/>
      <c r="J58" s="433"/>
      <c r="K58" s="432"/>
      <c r="L58" s="38"/>
      <c r="M58" s="433"/>
      <c r="N58"/>
      <c r="O58"/>
      <c r="P58"/>
    </row>
    <row r="59" spans="1:22" s="1" customFormat="1" ht="15.95" customHeight="1" x14ac:dyDescent="0.2">
      <c r="A59" s="19">
        <v>90701</v>
      </c>
      <c r="B59" s="40" t="s">
        <v>47</v>
      </c>
      <c r="C59" s="43"/>
      <c r="D59" s="58"/>
      <c r="E59" s="435"/>
      <c r="F59" s="35"/>
      <c r="G59" s="433"/>
      <c r="H59" s="435"/>
      <c r="I59" s="35"/>
      <c r="J59" s="433"/>
      <c r="K59" s="435"/>
      <c r="L59" s="35"/>
      <c r="M59" s="433"/>
      <c r="N59"/>
      <c r="O59"/>
      <c r="P59"/>
    </row>
    <row r="60" spans="1:22" s="1" customFormat="1" ht="15.95" customHeight="1" x14ac:dyDescent="0.2">
      <c r="A60" s="19" t="s">
        <v>109</v>
      </c>
      <c r="B60" s="46" t="s">
        <v>123</v>
      </c>
      <c r="C60" s="47"/>
      <c r="D60" s="59"/>
      <c r="E60" s="436"/>
      <c r="F60" s="39"/>
      <c r="G60" s="437"/>
      <c r="H60" s="436"/>
      <c r="I60" s="39"/>
      <c r="J60" s="437"/>
      <c r="K60" s="436"/>
      <c r="L60" s="39"/>
      <c r="M60" s="437"/>
      <c r="N60"/>
      <c r="O60"/>
      <c r="P60"/>
    </row>
    <row r="61" spans="1:22" ht="15.95" customHeight="1" x14ac:dyDescent="0.2">
      <c r="A61" s="19" t="s">
        <v>329</v>
      </c>
      <c r="B61" s="550" t="s">
        <v>295</v>
      </c>
      <c r="C61" s="551"/>
      <c r="D61" s="446" t="s">
        <v>294</v>
      </c>
      <c r="E61" s="450"/>
      <c r="F61" s="447"/>
      <c r="G61" s="448"/>
      <c r="H61" s="449"/>
      <c r="I61" s="447"/>
      <c r="J61" s="448"/>
      <c r="K61" s="449"/>
      <c r="L61" s="447"/>
      <c r="M61" s="448"/>
      <c r="N61"/>
      <c r="O61"/>
      <c r="P61"/>
      <c r="Q61"/>
      <c r="R61"/>
      <c r="S61"/>
      <c r="T61"/>
      <c r="U61"/>
      <c r="V61"/>
    </row>
    <row r="62" spans="1:22" ht="15.95" customHeight="1" thickBot="1" x14ac:dyDescent="0.25">
      <c r="B62" s="532" t="s">
        <v>330</v>
      </c>
      <c r="C62" s="533"/>
      <c r="D62" s="443" t="s">
        <v>294</v>
      </c>
      <c r="E62" s="451"/>
      <c r="F62" s="438"/>
      <c r="G62" s="439"/>
      <c r="H62" s="451"/>
      <c r="I62" s="438"/>
      <c r="J62" s="439"/>
      <c r="K62" s="451"/>
      <c r="L62" s="438"/>
      <c r="M62" s="439"/>
      <c r="N62"/>
      <c r="O62"/>
      <c r="P62"/>
      <c r="Q62"/>
      <c r="R62"/>
      <c r="S62"/>
      <c r="T62"/>
      <c r="U62"/>
      <c r="V62"/>
    </row>
    <row r="63" spans="1:22" ht="15.95" customHeight="1" x14ac:dyDescent="0.2">
      <c r="B63" s="4" t="s">
        <v>34</v>
      </c>
      <c r="C63" s="3"/>
      <c r="D63" s="3"/>
      <c r="E63" s="3"/>
      <c r="F63" s="3"/>
      <c r="G63" s="3"/>
      <c r="H63" s="3"/>
      <c r="I63" s="3"/>
      <c r="J63" s="5"/>
      <c r="K63" s="3"/>
      <c r="L63" s="3"/>
      <c r="M63" s="3"/>
    </row>
    <row r="64" spans="1:22" ht="15.95" customHeight="1" x14ac:dyDescent="0.2">
      <c r="B64" s="516" t="s">
        <v>5</v>
      </c>
      <c r="C64" s="547" t="s">
        <v>18</v>
      </c>
      <c r="D64" s="548"/>
      <c r="E64" s="548"/>
      <c r="F64" s="548"/>
      <c r="G64" s="549"/>
      <c r="H64" s="6"/>
      <c r="I64" s="6"/>
    </row>
    <row r="65" spans="1:13" ht="15.95" customHeight="1" x14ac:dyDescent="0.2">
      <c r="B65" s="517"/>
      <c r="C65" s="22" t="s">
        <v>0</v>
      </c>
      <c r="D65" s="22" t="s">
        <v>1</v>
      </c>
      <c r="E65" s="22" t="s">
        <v>2</v>
      </c>
      <c r="F65" s="22" t="s">
        <v>3</v>
      </c>
      <c r="G65" s="22" t="s">
        <v>4</v>
      </c>
    </row>
    <row r="66" spans="1:13" ht="15.95" customHeight="1" x14ac:dyDescent="0.2">
      <c r="A66" s="19" t="s">
        <v>340</v>
      </c>
      <c r="B66" s="50" t="s">
        <v>68</v>
      </c>
      <c r="C66" s="33"/>
      <c r="D66" s="33"/>
      <c r="E66" s="33"/>
      <c r="F66" s="33"/>
      <c r="G66" s="33"/>
    </row>
    <row r="67" spans="1:13" ht="15.95" customHeight="1" x14ac:dyDescent="0.2">
      <c r="B67" s="51" t="s">
        <v>69</v>
      </c>
      <c r="C67" s="35"/>
      <c r="D67" s="35"/>
      <c r="E67" s="35"/>
      <c r="F67" s="35"/>
      <c r="G67" s="35"/>
    </row>
    <row r="68" spans="1:13" ht="15.95" customHeight="1" x14ac:dyDescent="0.2">
      <c r="B68" s="51" t="s">
        <v>70</v>
      </c>
      <c r="C68" s="35"/>
      <c r="D68" s="35"/>
      <c r="E68" s="35"/>
      <c r="F68" s="35"/>
      <c r="G68" s="35"/>
    </row>
    <row r="69" spans="1:13" ht="15.95" customHeight="1" x14ac:dyDescent="0.2">
      <c r="B69" s="51" t="s">
        <v>71</v>
      </c>
      <c r="C69" s="35"/>
      <c r="D69" s="35"/>
      <c r="E69" s="35"/>
      <c r="F69" s="35"/>
      <c r="G69" s="35"/>
    </row>
    <row r="70" spans="1:13" ht="15.95" customHeight="1" x14ac:dyDescent="0.2">
      <c r="B70" s="51" t="s">
        <v>214</v>
      </c>
      <c r="C70" s="35"/>
      <c r="D70" s="35"/>
      <c r="E70" s="35"/>
      <c r="F70" s="35"/>
      <c r="G70" s="35"/>
    </row>
    <row r="71" spans="1:13" ht="15.95" customHeight="1" x14ac:dyDescent="0.2">
      <c r="B71" s="52" t="s">
        <v>221</v>
      </c>
      <c r="C71" s="39"/>
      <c r="D71" s="39"/>
      <c r="E71" s="39"/>
      <c r="F71" s="39"/>
      <c r="G71" s="39"/>
    </row>
    <row r="72" spans="1:13" ht="15.95" customHeight="1" x14ac:dyDescent="0.2">
      <c r="B72" s="4" t="s">
        <v>35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ht="15.95" customHeight="1" x14ac:dyDescent="0.2">
      <c r="B73" s="516" t="s">
        <v>5</v>
      </c>
      <c r="C73" s="547" t="s">
        <v>18</v>
      </c>
      <c r="D73" s="548"/>
      <c r="E73" s="548"/>
      <c r="F73" s="548"/>
      <c r="G73" s="549"/>
      <c r="H73" s="452" t="s">
        <v>353</v>
      </c>
      <c r="I73" s="6"/>
    </row>
    <row r="74" spans="1:13" ht="15.95" customHeight="1" x14ac:dyDescent="0.2">
      <c r="B74" s="517"/>
      <c r="C74" s="22" t="s">
        <v>0</v>
      </c>
      <c r="D74" s="22" t="s">
        <v>1</v>
      </c>
      <c r="E74" s="22" t="s">
        <v>2</v>
      </c>
      <c r="F74" s="22" t="s">
        <v>3</v>
      </c>
      <c r="G74" s="22" t="s">
        <v>4</v>
      </c>
      <c r="H74" s="421" t="s">
        <v>305</v>
      </c>
    </row>
    <row r="75" spans="1:13" ht="15.95" customHeight="1" x14ac:dyDescent="0.2">
      <c r="A75" s="78" t="s">
        <v>347</v>
      </c>
      <c r="B75" s="50" t="s">
        <v>68</v>
      </c>
      <c r="C75" s="33"/>
      <c r="D75" s="33"/>
      <c r="E75" s="33"/>
      <c r="F75" s="33"/>
      <c r="G75" s="33"/>
      <c r="H75" s="425"/>
    </row>
    <row r="76" spans="1:13" ht="15.95" customHeight="1" x14ac:dyDescent="0.2">
      <c r="A76" s="478" t="s">
        <v>346</v>
      </c>
      <c r="B76" s="51" t="s">
        <v>69</v>
      </c>
      <c r="C76" s="35"/>
      <c r="D76" s="35"/>
      <c r="E76" s="35"/>
      <c r="F76" s="35"/>
      <c r="G76" s="35"/>
      <c r="H76" s="427"/>
    </row>
    <row r="77" spans="1:13" ht="15.95" customHeight="1" x14ac:dyDescent="0.2">
      <c r="A77" s="478" t="s">
        <v>346</v>
      </c>
      <c r="B77" s="51" t="s">
        <v>70</v>
      </c>
      <c r="C77" s="35"/>
      <c r="D77" s="35"/>
      <c r="E77" s="35"/>
      <c r="F77" s="35"/>
      <c r="G77" s="35"/>
      <c r="H77" s="427"/>
    </row>
    <row r="78" spans="1:13" ht="15.95" customHeight="1" x14ac:dyDescent="0.2">
      <c r="A78" s="478" t="s">
        <v>346</v>
      </c>
      <c r="B78" s="52" t="s">
        <v>71</v>
      </c>
      <c r="C78" s="39"/>
      <c r="D78" s="39"/>
      <c r="E78" s="39"/>
      <c r="F78" s="39"/>
      <c r="G78" s="39"/>
      <c r="H78" s="426"/>
    </row>
    <row r="79" spans="1:13" ht="15.95" customHeight="1" x14ac:dyDescent="0.2">
      <c r="B79" s="4" t="s">
        <v>36</v>
      </c>
      <c r="C79" s="3"/>
      <c r="D79" s="3"/>
      <c r="E79" s="3"/>
      <c r="F79" s="3"/>
      <c r="G79" s="3"/>
      <c r="H79" s="3"/>
      <c r="I79" s="3"/>
      <c r="J79" s="9"/>
      <c r="K79" s="3"/>
      <c r="L79" s="3"/>
      <c r="M79" s="3"/>
    </row>
    <row r="80" spans="1:13" ht="15.95" customHeight="1" x14ac:dyDescent="0.2">
      <c r="B80" s="528" t="s">
        <v>30</v>
      </c>
      <c r="C80" s="539" t="s">
        <v>13</v>
      </c>
      <c r="D80" s="539"/>
      <c r="E80" s="539"/>
      <c r="F80" s="539"/>
      <c r="G80" s="528" t="s">
        <v>30</v>
      </c>
      <c r="H80" s="539" t="s">
        <v>13</v>
      </c>
      <c r="I80" s="539"/>
      <c r="J80" s="539"/>
      <c r="K80" s="539"/>
    </row>
    <row r="81" spans="1:13" ht="15.95" customHeight="1" x14ac:dyDescent="0.2">
      <c r="B81" s="529"/>
      <c r="C81" s="24" t="s">
        <v>32</v>
      </c>
      <c r="D81" s="24" t="s">
        <v>26</v>
      </c>
      <c r="E81" s="24" t="s">
        <v>33</v>
      </c>
      <c r="F81" s="24" t="s">
        <v>173</v>
      </c>
      <c r="G81" s="529"/>
      <c r="H81" s="24" t="s">
        <v>32</v>
      </c>
      <c r="I81" s="24" t="s">
        <v>26</v>
      </c>
      <c r="J81" s="24" t="s">
        <v>33</v>
      </c>
      <c r="K81" s="24" t="s">
        <v>173</v>
      </c>
    </row>
    <row r="82" spans="1:13" ht="15.95" customHeight="1" x14ac:dyDescent="0.2">
      <c r="A82" s="19" t="s">
        <v>341</v>
      </c>
      <c r="B82" s="30" t="s">
        <v>127</v>
      </c>
      <c r="C82" s="31"/>
      <c r="D82" s="31"/>
      <c r="E82" s="31"/>
      <c r="F82" s="31"/>
      <c r="G82" s="485" t="s">
        <v>352</v>
      </c>
      <c r="H82" s="486"/>
      <c r="I82" s="485"/>
      <c r="J82" s="485"/>
      <c r="K82" s="487"/>
    </row>
    <row r="83" spans="1:13" ht="15.95" customHeight="1" x14ac:dyDescent="0.2">
      <c r="A83" s="19" t="s">
        <v>341</v>
      </c>
      <c r="B83" s="60" t="s">
        <v>77</v>
      </c>
      <c r="C83" s="61"/>
      <c r="D83" s="61"/>
      <c r="E83" s="61"/>
      <c r="F83" s="61"/>
      <c r="G83" s="3"/>
      <c r="H83" s="9"/>
      <c r="I83" s="3"/>
      <c r="J83" s="3"/>
      <c r="K83" s="3"/>
    </row>
    <row r="84" spans="1:13" ht="15.95" customHeight="1" x14ac:dyDescent="0.2">
      <c r="A84" s="19" t="s">
        <v>341</v>
      </c>
      <c r="B84" s="60" t="s">
        <v>78</v>
      </c>
      <c r="C84" s="61"/>
      <c r="D84" s="61"/>
      <c r="E84" s="61"/>
      <c r="F84" s="61"/>
      <c r="G84" s="3"/>
      <c r="H84" s="9"/>
      <c r="I84" s="3"/>
      <c r="J84" s="3"/>
      <c r="K84" s="3"/>
    </row>
    <row r="85" spans="1:13" ht="15.95" customHeight="1" x14ac:dyDescent="0.2">
      <c r="A85" s="19" t="s">
        <v>341</v>
      </c>
      <c r="B85" s="60" t="s">
        <v>79</v>
      </c>
      <c r="C85" s="61"/>
      <c r="D85" s="61"/>
      <c r="E85" s="61"/>
      <c r="F85" s="61"/>
      <c r="G85" s="3"/>
      <c r="H85" s="9"/>
      <c r="I85" s="3"/>
      <c r="J85" s="3"/>
      <c r="K85" s="3"/>
    </row>
    <row r="86" spans="1:13" ht="15.95" customHeight="1" thickBot="1" x14ac:dyDescent="0.25">
      <c r="A86" s="19" t="s">
        <v>341</v>
      </c>
      <c r="B86" s="62" t="s">
        <v>222</v>
      </c>
      <c r="C86" s="63"/>
      <c r="D86" s="63"/>
      <c r="E86" s="63"/>
      <c r="F86" s="63"/>
      <c r="G86" s="3"/>
      <c r="H86" s="9"/>
      <c r="I86" s="3"/>
      <c r="J86" s="3"/>
      <c r="K86" s="3"/>
    </row>
    <row r="87" spans="1:13" ht="15.95" customHeight="1" thickTop="1" x14ac:dyDescent="0.2">
      <c r="A87" s="19" t="s">
        <v>341</v>
      </c>
      <c r="B87" s="64" t="s">
        <v>48</v>
      </c>
      <c r="C87" s="65"/>
      <c r="D87" s="65"/>
      <c r="E87" s="65"/>
      <c r="F87" s="65"/>
      <c r="G87" s="32" t="s">
        <v>176</v>
      </c>
      <c r="H87" s="9"/>
      <c r="I87" s="3"/>
      <c r="J87" s="3"/>
      <c r="K87" s="3"/>
    </row>
    <row r="88" spans="1:13" ht="15.95" customHeight="1" x14ac:dyDescent="0.2">
      <c r="A88" s="19" t="s">
        <v>341</v>
      </c>
      <c r="B88" s="66" t="s">
        <v>80</v>
      </c>
      <c r="C88" s="67"/>
      <c r="D88" s="67"/>
      <c r="E88" s="67"/>
      <c r="F88" s="67"/>
      <c r="G88" s="32" t="s">
        <v>176</v>
      </c>
      <c r="H88" s="9"/>
      <c r="I88" s="3"/>
      <c r="J88" s="3"/>
      <c r="K88" s="3"/>
    </row>
    <row r="89" spans="1:13" ht="15.95" customHeight="1" x14ac:dyDescent="0.2">
      <c r="A89" s="19" t="s">
        <v>341</v>
      </c>
      <c r="B89" s="461" t="s">
        <v>325</v>
      </c>
      <c r="C89" s="474"/>
      <c r="D89" s="474"/>
      <c r="E89" s="474"/>
      <c r="F89" s="474"/>
      <c r="G89" s="32" t="s">
        <v>175</v>
      </c>
      <c r="H89" s="3"/>
      <c r="I89" s="3"/>
      <c r="J89" s="9"/>
      <c r="K89" s="3"/>
      <c r="L89" s="3"/>
      <c r="M89" s="3"/>
    </row>
    <row r="90" spans="1:13" ht="15.95" customHeight="1" x14ac:dyDescent="0.2">
      <c r="A90" s="19" t="s">
        <v>341</v>
      </c>
      <c r="B90" s="461" t="s">
        <v>321</v>
      </c>
      <c r="C90" s="474"/>
      <c r="D90" s="474"/>
      <c r="E90" s="474"/>
      <c r="F90" s="422"/>
      <c r="G90" s="3"/>
      <c r="H90" s="3"/>
      <c r="I90" s="3"/>
      <c r="J90" s="9"/>
      <c r="K90" s="3"/>
      <c r="L90" s="3"/>
      <c r="M90" s="3"/>
    </row>
    <row r="91" spans="1:13" ht="15.95" customHeight="1" x14ac:dyDescent="0.2">
      <c r="A91" s="19" t="s">
        <v>341</v>
      </c>
      <c r="B91" s="461" t="s">
        <v>323</v>
      </c>
      <c r="C91" s="474"/>
      <c r="D91" s="474"/>
      <c r="E91" s="474"/>
      <c r="F91" s="422"/>
      <c r="G91" s="3"/>
      <c r="H91" s="3"/>
      <c r="I91" s="3"/>
      <c r="J91" s="9"/>
      <c r="K91" s="3"/>
      <c r="L91" s="3"/>
      <c r="M91" s="3"/>
    </row>
    <row r="92" spans="1:13" ht="15.95" customHeight="1" x14ac:dyDescent="0.2">
      <c r="B92" s="4" t="s">
        <v>74</v>
      </c>
      <c r="C92" s="3"/>
      <c r="D92" s="3"/>
      <c r="E92" s="3"/>
      <c r="F92" s="1"/>
      <c r="G92" s="9"/>
      <c r="H92" s="9"/>
      <c r="I92" s="9"/>
      <c r="J92" s="9"/>
      <c r="K92" s="9"/>
      <c r="L92" s="9"/>
      <c r="M92" s="1"/>
    </row>
    <row r="93" spans="1:13" ht="15.95" customHeight="1" x14ac:dyDescent="0.2">
      <c r="B93" s="516" t="s">
        <v>5</v>
      </c>
      <c r="C93" s="516" t="s">
        <v>18</v>
      </c>
      <c r="D93" s="17"/>
      <c r="E93" s="6"/>
      <c r="F93" s="9"/>
      <c r="G93" s="9"/>
      <c r="H93" s="9"/>
      <c r="I93" s="9"/>
      <c r="J93" s="9"/>
      <c r="K93" s="9"/>
      <c r="L93" s="6"/>
    </row>
    <row r="94" spans="1:13" ht="15.95" customHeight="1" x14ac:dyDescent="0.2">
      <c r="B94" s="517"/>
      <c r="C94" s="517"/>
      <c r="D94" s="17"/>
      <c r="E94" s="7"/>
      <c r="F94" s="9"/>
      <c r="G94" s="9"/>
      <c r="H94" s="9"/>
      <c r="I94" s="9"/>
      <c r="J94" s="9"/>
      <c r="K94" s="9"/>
      <c r="L94" s="1"/>
    </row>
    <row r="95" spans="1:13" ht="15.95" customHeight="1" x14ac:dyDescent="0.2">
      <c r="B95" s="30" t="s">
        <v>128</v>
      </c>
      <c r="C95" s="31"/>
      <c r="D95" s="17"/>
      <c r="E95" s="7"/>
      <c r="F95" s="9"/>
      <c r="G95" s="9"/>
      <c r="H95" s="9"/>
      <c r="I95" s="9"/>
      <c r="J95" s="9"/>
      <c r="K95" s="9"/>
      <c r="L95" s="1"/>
    </row>
    <row r="96" spans="1:13" ht="15.95" customHeight="1" x14ac:dyDescent="0.2">
      <c r="A96" s="19">
        <v>90717</v>
      </c>
      <c r="B96" s="51" t="s">
        <v>69</v>
      </c>
      <c r="C96" s="35"/>
      <c r="D96" s="7"/>
      <c r="E96" s="1"/>
      <c r="F96" s="9"/>
      <c r="G96" s="9"/>
      <c r="H96" s="9"/>
      <c r="I96" s="9"/>
      <c r="J96" s="9"/>
      <c r="K96" s="9"/>
      <c r="L96" s="1"/>
    </row>
    <row r="97" spans="1:13" ht="15.95" customHeight="1" x14ac:dyDescent="0.2">
      <c r="B97" s="51" t="s">
        <v>70</v>
      </c>
      <c r="C97" s="35"/>
      <c r="D97" s="7"/>
      <c r="E97" s="1"/>
      <c r="F97" s="9"/>
      <c r="G97" s="9"/>
      <c r="H97" s="9"/>
      <c r="I97" s="9"/>
      <c r="J97" s="9"/>
      <c r="K97" s="9"/>
      <c r="L97" s="1"/>
    </row>
    <row r="98" spans="1:13" ht="15.95" customHeight="1" x14ac:dyDescent="0.2">
      <c r="B98" s="52" t="s">
        <v>75</v>
      </c>
      <c r="C98" s="39"/>
      <c r="D98" s="7"/>
      <c r="E98" s="1"/>
      <c r="F98" s="9"/>
      <c r="G98" s="9"/>
      <c r="H98" s="9"/>
      <c r="I98" s="9"/>
      <c r="J98" s="9"/>
      <c r="K98" s="9"/>
      <c r="L98" s="1"/>
    </row>
    <row r="99" spans="1:13" ht="15.95" customHeight="1" x14ac:dyDescent="0.2">
      <c r="B99" s="461" t="s">
        <v>331</v>
      </c>
      <c r="C99" s="80"/>
      <c r="D99" s="7"/>
      <c r="E99" s="7"/>
      <c r="F99" s="1"/>
      <c r="G99" s="9"/>
      <c r="H99" s="9"/>
      <c r="I99" s="9"/>
      <c r="J99" s="9"/>
      <c r="K99" s="9"/>
      <c r="L99" s="9"/>
      <c r="M99" s="1"/>
    </row>
    <row r="100" spans="1:13" ht="15.95" customHeight="1" x14ac:dyDescent="0.2">
      <c r="B100" s="4" t="s">
        <v>213</v>
      </c>
      <c r="C100" s="3"/>
      <c r="D100" s="3"/>
      <c r="E100" s="3"/>
      <c r="F100"/>
      <c r="G100"/>
      <c r="H100"/>
      <c r="I100"/>
      <c r="J100"/>
      <c r="K100" s="9"/>
      <c r="L100" s="9"/>
      <c r="M100" s="1"/>
    </row>
    <row r="101" spans="1:13" ht="15.95" customHeight="1" x14ac:dyDescent="0.2">
      <c r="B101" s="534" t="s">
        <v>5</v>
      </c>
      <c r="C101" s="534"/>
      <c r="D101" s="25" t="s">
        <v>76</v>
      </c>
      <c r="E101" s="9"/>
      <c r="F101"/>
      <c r="G101"/>
      <c r="H101"/>
      <c r="I101"/>
      <c r="J101"/>
      <c r="K101" s="6"/>
    </row>
    <row r="102" spans="1:13" ht="15.95" customHeight="1" x14ac:dyDescent="0.2">
      <c r="A102" s="19" t="s">
        <v>345</v>
      </c>
      <c r="B102" s="57" t="s">
        <v>124</v>
      </c>
      <c r="C102" s="572" t="s">
        <v>223</v>
      </c>
      <c r="D102" s="33"/>
      <c r="E102" s="9"/>
      <c r="F102"/>
      <c r="G102"/>
      <c r="H102"/>
      <c r="I102"/>
      <c r="J102"/>
      <c r="K102" s="1"/>
    </row>
    <row r="103" spans="1:13" ht="15.95" customHeight="1" x14ac:dyDescent="0.2">
      <c r="B103" s="40" t="s">
        <v>69</v>
      </c>
      <c r="C103" s="573"/>
      <c r="D103" s="35"/>
      <c r="E103" s="9"/>
      <c r="F103"/>
      <c r="G103"/>
      <c r="H103"/>
      <c r="I103"/>
      <c r="J103"/>
      <c r="K103" s="1"/>
    </row>
    <row r="104" spans="1:13" ht="15.95" customHeight="1" x14ac:dyDescent="0.2">
      <c r="B104" s="40" t="s">
        <v>70</v>
      </c>
      <c r="C104" s="573"/>
      <c r="D104" s="35"/>
      <c r="E104" s="9"/>
      <c r="F104"/>
      <c r="G104"/>
      <c r="H104"/>
      <c r="I104"/>
      <c r="J104"/>
      <c r="K104" s="1"/>
    </row>
    <row r="105" spans="1:13" ht="15.95" customHeight="1" x14ac:dyDescent="0.2">
      <c r="B105" s="40" t="s">
        <v>71</v>
      </c>
      <c r="C105" s="573"/>
      <c r="D105" s="35"/>
      <c r="E105" s="9"/>
      <c r="F105"/>
      <c r="G105"/>
      <c r="H105"/>
      <c r="I105"/>
      <c r="J105"/>
      <c r="K105" s="1"/>
    </row>
    <row r="106" spans="1:13" ht="15.95" customHeight="1" x14ac:dyDescent="0.2">
      <c r="B106" s="40" t="s">
        <v>214</v>
      </c>
      <c r="C106" s="573"/>
      <c r="D106" s="35"/>
      <c r="E106" s="9"/>
      <c r="F106"/>
      <c r="G106"/>
      <c r="H106"/>
      <c r="I106"/>
      <c r="J106"/>
      <c r="K106" s="1"/>
    </row>
    <row r="107" spans="1:13" ht="15.95" customHeight="1" x14ac:dyDescent="0.2">
      <c r="B107" s="40" t="s">
        <v>124</v>
      </c>
      <c r="C107" s="573" t="s">
        <v>224</v>
      </c>
      <c r="D107" s="35"/>
      <c r="E107" s="9"/>
      <c r="F107"/>
      <c r="G107"/>
      <c r="H107"/>
      <c r="I107"/>
      <c r="J107"/>
      <c r="K107" s="1"/>
    </row>
    <row r="108" spans="1:13" ht="15.95" customHeight="1" x14ac:dyDescent="0.2">
      <c r="B108" s="40" t="s">
        <v>69</v>
      </c>
      <c r="C108" s="573"/>
      <c r="D108" s="35"/>
      <c r="E108" s="9"/>
      <c r="F108"/>
      <c r="G108"/>
      <c r="H108"/>
      <c r="I108"/>
      <c r="J108"/>
      <c r="K108" s="1"/>
    </row>
    <row r="109" spans="1:13" ht="15.95" customHeight="1" x14ac:dyDescent="0.2">
      <c r="B109" s="40" t="s">
        <v>70</v>
      </c>
      <c r="C109" s="573"/>
      <c r="D109" s="35"/>
      <c r="E109" s="9"/>
      <c r="F109"/>
      <c r="G109"/>
      <c r="H109"/>
      <c r="I109"/>
      <c r="J109"/>
      <c r="K109" s="1"/>
    </row>
    <row r="110" spans="1:13" ht="15.95" customHeight="1" x14ac:dyDescent="0.2">
      <c r="B110" s="40" t="s">
        <v>71</v>
      </c>
      <c r="C110" s="573"/>
      <c r="D110" s="35"/>
      <c r="E110" s="9"/>
      <c r="F110"/>
      <c r="G110"/>
      <c r="H110"/>
      <c r="I110"/>
      <c r="J110"/>
      <c r="K110" s="1"/>
    </row>
    <row r="111" spans="1:13" ht="15.95" customHeight="1" x14ac:dyDescent="0.2">
      <c r="B111" s="40" t="s">
        <v>214</v>
      </c>
      <c r="C111" s="573"/>
      <c r="D111" s="35"/>
      <c r="E111" s="9"/>
      <c r="F111"/>
      <c r="G111"/>
      <c r="H111"/>
      <c r="I111"/>
      <c r="J111"/>
      <c r="K111" s="1"/>
    </row>
    <row r="112" spans="1:13" ht="15.95" customHeight="1" thickBot="1" x14ac:dyDescent="0.25">
      <c r="B112" s="68" t="s">
        <v>215</v>
      </c>
      <c r="C112" s="76"/>
      <c r="D112" s="77"/>
      <c r="E112" s="9"/>
      <c r="F112"/>
      <c r="G112"/>
      <c r="H112"/>
      <c r="I112"/>
      <c r="J112"/>
      <c r="K112" s="1"/>
    </row>
    <row r="113" spans="1:11" ht="15.95" customHeight="1" thickTop="1" x14ac:dyDescent="0.2">
      <c r="A113" s="78" t="s">
        <v>238</v>
      </c>
      <c r="B113" s="69" t="s">
        <v>125</v>
      </c>
      <c r="C113" s="70"/>
      <c r="D113" s="71"/>
      <c r="E113" s="32" t="s">
        <v>176</v>
      </c>
      <c r="G113"/>
      <c r="H113"/>
      <c r="I113"/>
      <c r="J113"/>
      <c r="K113" s="1"/>
    </row>
    <row r="114" spans="1:11" ht="15.95" customHeight="1" x14ac:dyDescent="0.2">
      <c r="A114" s="78" t="s">
        <v>239</v>
      </c>
      <c r="B114" s="72" t="s">
        <v>126</v>
      </c>
      <c r="C114" s="73"/>
      <c r="D114" s="35"/>
      <c r="E114" s="32" t="s">
        <v>176</v>
      </c>
      <c r="F114"/>
      <c r="G114"/>
      <c r="H114"/>
      <c r="I114"/>
      <c r="J114"/>
      <c r="K114" s="1"/>
    </row>
    <row r="115" spans="1:11" ht="15.95" customHeight="1" x14ac:dyDescent="0.2">
      <c r="A115" s="78" t="s">
        <v>240</v>
      </c>
      <c r="B115" s="72" t="s">
        <v>45</v>
      </c>
      <c r="C115" s="73"/>
      <c r="D115" s="35"/>
      <c r="E115" s="32" t="s">
        <v>176</v>
      </c>
      <c r="F115"/>
      <c r="G115"/>
      <c r="H115"/>
      <c r="I115"/>
      <c r="J115"/>
      <c r="K115" s="1"/>
    </row>
    <row r="116" spans="1:11" ht="15.95" customHeight="1" x14ac:dyDescent="0.2">
      <c r="A116" s="78" t="s">
        <v>241</v>
      </c>
      <c r="B116" s="72" t="s">
        <v>225</v>
      </c>
      <c r="C116" s="73"/>
      <c r="D116" s="35"/>
      <c r="E116" s="32" t="s">
        <v>176</v>
      </c>
      <c r="F116"/>
      <c r="G116"/>
      <c r="H116"/>
      <c r="I116"/>
      <c r="J116"/>
      <c r="K116" s="1"/>
    </row>
    <row r="117" spans="1:11" ht="15.95" customHeight="1" x14ac:dyDescent="0.2">
      <c r="A117" s="78" t="s">
        <v>242</v>
      </c>
      <c r="B117" s="72" t="s">
        <v>226</v>
      </c>
      <c r="C117" s="73"/>
      <c r="D117" s="35"/>
      <c r="E117" s="32" t="s">
        <v>176</v>
      </c>
      <c r="F117"/>
      <c r="G117"/>
      <c r="H117"/>
      <c r="I117"/>
      <c r="J117"/>
      <c r="K117" s="1"/>
    </row>
    <row r="118" spans="1:11" ht="15.95" customHeight="1" x14ac:dyDescent="0.2">
      <c r="A118" s="78" t="s">
        <v>243</v>
      </c>
      <c r="B118" s="72" t="s">
        <v>227</v>
      </c>
      <c r="C118" s="73"/>
      <c r="D118" s="35"/>
      <c r="E118" s="32" t="s">
        <v>176</v>
      </c>
      <c r="F118"/>
      <c r="G118"/>
      <c r="H118"/>
      <c r="I118"/>
      <c r="J118"/>
      <c r="K118" s="1"/>
    </row>
    <row r="119" spans="1:11" ht="15.95" customHeight="1" x14ac:dyDescent="0.2">
      <c r="A119" s="78" t="s">
        <v>244</v>
      </c>
      <c r="B119" s="72" t="s">
        <v>228</v>
      </c>
      <c r="C119" s="73"/>
      <c r="D119" s="35"/>
      <c r="E119" s="32" t="s">
        <v>176</v>
      </c>
      <c r="F119"/>
      <c r="G119"/>
      <c r="H119"/>
      <c r="I119"/>
      <c r="J119"/>
      <c r="K119" s="1"/>
    </row>
    <row r="120" spans="1:11" ht="15.95" customHeight="1" x14ac:dyDescent="0.2">
      <c r="A120" s="78" t="s">
        <v>245</v>
      </c>
      <c r="B120" s="72" t="s">
        <v>229</v>
      </c>
      <c r="C120" s="73"/>
      <c r="D120" s="35"/>
      <c r="E120" s="32" t="s">
        <v>176</v>
      </c>
      <c r="F120"/>
      <c r="G120"/>
      <c r="H120"/>
      <c r="I120"/>
      <c r="J120"/>
      <c r="K120" s="1"/>
    </row>
    <row r="121" spans="1:11" ht="15.95" customHeight="1" x14ac:dyDescent="0.2">
      <c r="A121" s="78" t="s">
        <v>246</v>
      </c>
      <c r="B121" s="72" t="s">
        <v>230</v>
      </c>
      <c r="C121" s="73"/>
      <c r="D121" s="35"/>
      <c r="E121" s="32" t="s">
        <v>176</v>
      </c>
      <c r="F121"/>
      <c r="G121"/>
      <c r="H121"/>
      <c r="I121"/>
      <c r="J121"/>
      <c r="K121" s="1"/>
    </row>
    <row r="122" spans="1:11" ht="15.95" customHeight="1" x14ac:dyDescent="0.2">
      <c r="A122" s="78" t="s">
        <v>247</v>
      </c>
      <c r="B122" s="72" t="s">
        <v>231</v>
      </c>
      <c r="C122" s="73"/>
      <c r="D122" s="35"/>
      <c r="E122" s="32" t="s">
        <v>176</v>
      </c>
      <c r="F122"/>
      <c r="G122"/>
      <c r="H122"/>
      <c r="I122"/>
      <c r="J122"/>
      <c r="K122" s="1"/>
    </row>
    <row r="123" spans="1:11" ht="15.95" customHeight="1" x14ac:dyDescent="0.2">
      <c r="A123" s="78" t="s">
        <v>248</v>
      </c>
      <c r="B123" s="72" t="s">
        <v>232</v>
      </c>
      <c r="C123" s="73"/>
      <c r="D123" s="35"/>
      <c r="E123" s="32" t="s">
        <v>176</v>
      </c>
      <c r="F123"/>
      <c r="G123"/>
      <c r="H123"/>
      <c r="I123"/>
      <c r="J123"/>
      <c r="K123" s="1"/>
    </row>
    <row r="124" spans="1:11" ht="15.95" customHeight="1" x14ac:dyDescent="0.2">
      <c r="A124" s="78" t="s">
        <v>249</v>
      </c>
      <c r="B124" s="72" t="s">
        <v>233</v>
      </c>
      <c r="C124" s="73"/>
      <c r="D124" s="35"/>
      <c r="E124" s="32" t="s">
        <v>176</v>
      </c>
      <c r="F124"/>
      <c r="G124"/>
      <c r="H124"/>
      <c r="I124"/>
      <c r="J124"/>
      <c r="K124" s="1"/>
    </row>
    <row r="125" spans="1:11" ht="15.95" customHeight="1" x14ac:dyDescent="0.2">
      <c r="A125" s="78" t="s">
        <v>250</v>
      </c>
      <c r="B125" s="72" t="s">
        <v>234</v>
      </c>
      <c r="C125" s="73"/>
      <c r="D125" s="35"/>
      <c r="E125" s="32" t="s">
        <v>176</v>
      </c>
      <c r="F125"/>
      <c r="G125"/>
      <c r="H125"/>
      <c r="I125"/>
      <c r="J125"/>
      <c r="K125" s="1"/>
    </row>
    <row r="126" spans="1:11" ht="15.95" customHeight="1" x14ac:dyDescent="0.2">
      <c r="A126" s="78" t="s">
        <v>251</v>
      </c>
      <c r="B126" s="72" t="s">
        <v>235</v>
      </c>
      <c r="C126" s="73"/>
      <c r="D126" s="35"/>
      <c r="E126" s="32" t="s">
        <v>176</v>
      </c>
      <c r="F126"/>
      <c r="G126"/>
      <c r="H126"/>
      <c r="I126"/>
      <c r="J126"/>
      <c r="K126" s="1"/>
    </row>
    <row r="127" spans="1:11" ht="15.95" customHeight="1" x14ac:dyDescent="0.2">
      <c r="A127" s="78" t="s">
        <v>252</v>
      </c>
      <c r="B127" s="72" t="s">
        <v>236</v>
      </c>
      <c r="C127" s="73"/>
      <c r="D127" s="35"/>
      <c r="E127" s="32" t="s">
        <v>176</v>
      </c>
      <c r="F127"/>
      <c r="G127"/>
      <c r="H127"/>
      <c r="I127"/>
      <c r="J127"/>
      <c r="K127" s="1"/>
    </row>
    <row r="128" spans="1:11" ht="15.95" customHeight="1" x14ac:dyDescent="0.2">
      <c r="A128" s="78" t="s">
        <v>253</v>
      </c>
      <c r="B128" s="72" t="s">
        <v>237</v>
      </c>
      <c r="C128" s="73"/>
      <c r="D128" s="35"/>
      <c r="E128" s="32" t="s">
        <v>176</v>
      </c>
      <c r="F128"/>
      <c r="G128"/>
      <c r="H128"/>
      <c r="I128"/>
      <c r="J128"/>
      <c r="K128" s="1"/>
    </row>
    <row r="129" spans="1:13" ht="15.95" customHeight="1" x14ac:dyDescent="0.2">
      <c r="A129" s="78" t="s">
        <v>254</v>
      </c>
      <c r="B129" s="74" t="s">
        <v>46</v>
      </c>
      <c r="C129" s="75"/>
      <c r="D129" s="39"/>
      <c r="E129" s="32" t="s">
        <v>176</v>
      </c>
      <c r="H129" s="9"/>
      <c r="I129" s="9"/>
      <c r="J129" s="9"/>
      <c r="K129" s="1"/>
    </row>
    <row r="130" spans="1:13" ht="15.95" customHeight="1" x14ac:dyDescent="0.2">
      <c r="A130" s="78" t="s">
        <v>332</v>
      </c>
      <c r="B130" s="456" t="s">
        <v>321</v>
      </c>
      <c r="C130" s="457"/>
      <c r="D130" s="471"/>
      <c r="E130" s="460" t="s">
        <v>175</v>
      </c>
      <c r="F130" s="1"/>
      <c r="G130" s="1"/>
      <c r="H130" s="1"/>
    </row>
    <row r="131" spans="1:13" ht="15.95" customHeight="1" x14ac:dyDescent="0.2">
      <c r="A131" s="78" t="s">
        <v>342</v>
      </c>
      <c r="B131" s="458" t="s">
        <v>323</v>
      </c>
      <c r="C131" s="459"/>
      <c r="D131" s="473"/>
      <c r="F131" s="1"/>
      <c r="G131" s="1"/>
      <c r="H131" s="1"/>
    </row>
    <row r="132" spans="1:13" ht="15.95" customHeight="1" x14ac:dyDescent="0.2">
      <c r="B132" s="4" t="s">
        <v>50</v>
      </c>
      <c r="C132" s="3"/>
      <c r="D132" s="3"/>
      <c r="E132" s="3"/>
      <c r="F132" s="1"/>
      <c r="G132" s="1"/>
      <c r="H132" s="1"/>
      <c r="I132" s="1"/>
      <c r="J132" s="1"/>
      <c r="K132" s="1"/>
      <c r="L132" s="1"/>
      <c r="M132" s="1"/>
    </row>
    <row r="133" spans="1:13" ht="15.95" customHeight="1" x14ac:dyDescent="0.2">
      <c r="B133" s="516" t="s">
        <v>5</v>
      </c>
      <c r="C133" s="547" t="s">
        <v>13</v>
      </c>
      <c r="D133" s="548"/>
      <c r="E133" s="549"/>
      <c r="F133" s="6"/>
    </row>
    <row r="134" spans="1:13" ht="15.95" customHeight="1" x14ac:dyDescent="0.2">
      <c r="B134" s="517"/>
      <c r="C134" s="22" t="s">
        <v>9</v>
      </c>
      <c r="D134" s="22" t="s">
        <v>8</v>
      </c>
      <c r="E134" s="22" t="s">
        <v>2</v>
      </c>
      <c r="F134" s="7"/>
    </row>
    <row r="135" spans="1:13" ht="15.95" customHeight="1" x14ac:dyDescent="0.2">
      <c r="A135" s="19" t="s">
        <v>340</v>
      </c>
      <c r="B135" s="50" t="s">
        <v>68</v>
      </c>
      <c r="C135" s="33"/>
      <c r="D135" s="33"/>
      <c r="E135" s="33"/>
      <c r="F135" s="1"/>
    </row>
    <row r="136" spans="1:13" ht="15.95" customHeight="1" x14ac:dyDescent="0.2">
      <c r="B136" s="51" t="s">
        <v>69</v>
      </c>
      <c r="C136" s="35"/>
      <c r="D136" s="35"/>
      <c r="E136" s="35"/>
      <c r="F136" s="1"/>
    </row>
    <row r="137" spans="1:13" ht="15.95" customHeight="1" x14ac:dyDescent="0.2">
      <c r="B137" s="51" t="s">
        <v>70</v>
      </c>
      <c r="C137" s="35"/>
      <c r="D137" s="35"/>
      <c r="E137" s="35"/>
      <c r="F137" s="1"/>
    </row>
    <row r="138" spans="1:13" ht="15.95" customHeight="1" x14ac:dyDescent="0.2">
      <c r="B138" s="51" t="s">
        <v>72</v>
      </c>
      <c r="C138" s="35"/>
      <c r="D138" s="35"/>
      <c r="E138" s="35"/>
      <c r="F138" s="1"/>
    </row>
    <row r="139" spans="1:13" ht="15.95" customHeight="1" x14ac:dyDescent="0.2">
      <c r="B139" s="52" t="s">
        <v>73</v>
      </c>
      <c r="C139" s="39"/>
      <c r="D139" s="39"/>
      <c r="E139" s="39"/>
      <c r="F139" s="1"/>
    </row>
    <row r="140" spans="1:13" ht="15.95" customHeight="1" x14ac:dyDescent="0.2">
      <c r="B140" s="79" t="s">
        <v>255</v>
      </c>
      <c r="C140" s="80"/>
      <c r="D140" s="279"/>
      <c r="E140" s="279"/>
      <c r="F140" s="1"/>
      <c r="K140" s="1"/>
    </row>
    <row r="141" spans="1:13" ht="15.95" customHeight="1" x14ac:dyDescent="0.2">
      <c r="B141" s="1"/>
      <c r="F141" s="1"/>
      <c r="G141" s="1"/>
      <c r="M141" s="1"/>
    </row>
    <row r="142" spans="1:13" ht="15.95" customHeight="1" x14ac:dyDescent="0.2">
      <c r="B142" s="8" t="s">
        <v>37</v>
      </c>
      <c r="E142" s="1"/>
      <c r="F142" s="1"/>
      <c r="G142" s="1"/>
    </row>
    <row r="143" spans="1:13" ht="15.95" customHeight="1" x14ac:dyDescent="0.2">
      <c r="B143" s="26" t="s">
        <v>14</v>
      </c>
      <c r="C143" s="27" t="s">
        <v>11</v>
      </c>
      <c r="D143" s="18"/>
      <c r="E143" s="1"/>
      <c r="F143" s="1"/>
      <c r="G143" s="1"/>
    </row>
    <row r="144" spans="1:13" ht="15.95" customHeight="1" x14ac:dyDescent="0.2">
      <c r="A144" s="19" t="s">
        <v>52</v>
      </c>
      <c r="B144" s="50" t="s">
        <v>15</v>
      </c>
      <c r="C144" s="33"/>
      <c r="D144" s="7"/>
      <c r="E144" s="1"/>
      <c r="F144" s="1"/>
      <c r="G144" s="1"/>
    </row>
    <row r="145" spans="1:9" ht="15.95" customHeight="1" x14ac:dyDescent="0.2">
      <c r="A145" s="19" t="s">
        <v>53</v>
      </c>
      <c r="B145" s="52" t="s">
        <v>16</v>
      </c>
      <c r="C145" s="39"/>
      <c r="D145" s="7"/>
      <c r="E145" s="1"/>
      <c r="F145" s="1"/>
      <c r="G145" s="1"/>
    </row>
    <row r="146" spans="1:9" ht="15.95" customHeight="1" x14ac:dyDescent="0.2">
      <c r="B146" s="1"/>
      <c r="C146" s="1"/>
      <c r="D146" s="1"/>
      <c r="E146" s="1"/>
      <c r="F146" s="1"/>
      <c r="G146" s="1"/>
      <c r="H146" s="1"/>
      <c r="I146" s="1"/>
    </row>
    <row r="147" spans="1:9" ht="15.95" customHeight="1" x14ac:dyDescent="0.2">
      <c r="B147" s="8" t="s">
        <v>129</v>
      </c>
    </row>
    <row r="148" spans="1:9" ht="15.95" customHeight="1" x14ac:dyDescent="0.2">
      <c r="A148" s="19" t="s">
        <v>174</v>
      </c>
      <c r="B148" s="26" t="s">
        <v>130</v>
      </c>
      <c r="C148" s="27" t="s">
        <v>10</v>
      </c>
    </row>
    <row r="149" spans="1:9" ht="15.95" customHeight="1" x14ac:dyDescent="0.2">
      <c r="B149" s="50" t="s">
        <v>124</v>
      </c>
      <c r="C149" s="33"/>
    </row>
    <row r="150" spans="1:9" ht="15.95" customHeight="1" x14ac:dyDescent="0.2">
      <c r="B150" s="51" t="s">
        <v>69</v>
      </c>
      <c r="C150" s="35"/>
    </row>
    <row r="151" spans="1:9" ht="15.95" customHeight="1" x14ac:dyDescent="0.2">
      <c r="B151" s="51" t="s">
        <v>70</v>
      </c>
      <c r="C151" s="35"/>
    </row>
    <row r="152" spans="1:9" ht="15.95" customHeight="1" thickBot="1" x14ac:dyDescent="0.25">
      <c r="A152" s="20"/>
      <c r="B152" s="81" t="s">
        <v>71</v>
      </c>
      <c r="C152" s="77"/>
    </row>
    <row r="153" spans="1:9" ht="15.95" customHeight="1" thickTop="1" x14ac:dyDescent="0.2">
      <c r="B153" s="82" t="s">
        <v>45</v>
      </c>
      <c r="C153" s="71"/>
      <c r="D153" s="28" t="s">
        <v>176</v>
      </c>
    </row>
    <row r="154" spans="1:9" ht="15.95" customHeight="1" x14ac:dyDescent="0.2">
      <c r="B154" s="83" t="s">
        <v>177</v>
      </c>
      <c r="C154" s="35"/>
      <c r="D154" s="28" t="s">
        <v>176</v>
      </c>
    </row>
    <row r="155" spans="1:9" ht="15.95" customHeight="1" x14ac:dyDescent="0.2">
      <c r="B155" s="83" t="s">
        <v>178</v>
      </c>
      <c r="C155" s="35"/>
      <c r="D155" s="28" t="s">
        <v>176</v>
      </c>
    </row>
    <row r="156" spans="1:9" ht="15.95" customHeight="1" x14ac:dyDescent="0.2">
      <c r="B156" s="83" t="s">
        <v>179</v>
      </c>
      <c r="C156" s="35"/>
      <c r="D156" s="28" t="s">
        <v>176</v>
      </c>
    </row>
    <row r="157" spans="1:9" ht="15.95" customHeight="1" x14ac:dyDescent="0.2">
      <c r="B157" s="83" t="s">
        <v>180</v>
      </c>
      <c r="C157" s="35"/>
      <c r="D157" s="28" t="s">
        <v>176</v>
      </c>
    </row>
    <row r="158" spans="1:9" ht="15.95" customHeight="1" x14ac:dyDescent="0.2">
      <c r="B158" s="83" t="s">
        <v>256</v>
      </c>
      <c r="C158" s="35"/>
      <c r="D158" s="28" t="s">
        <v>176</v>
      </c>
    </row>
    <row r="159" spans="1:9" ht="15.95" customHeight="1" x14ac:dyDescent="0.2">
      <c r="B159" s="83" t="s">
        <v>257</v>
      </c>
      <c r="C159" s="35"/>
      <c r="D159" s="28" t="s">
        <v>176</v>
      </c>
    </row>
    <row r="160" spans="1:9" ht="15.95" customHeight="1" x14ac:dyDescent="0.2">
      <c r="B160" s="84" t="s">
        <v>80</v>
      </c>
      <c r="C160" s="39"/>
      <c r="D160" s="28" t="s">
        <v>176</v>
      </c>
    </row>
    <row r="161" spans="1:4" ht="15.95" customHeight="1" thickBot="1" x14ac:dyDescent="0.25">
      <c r="B161" s="463" t="s">
        <v>333</v>
      </c>
      <c r="C161" s="39"/>
    </row>
    <row r="162" spans="1:4" ht="15.95" customHeight="1" thickTop="1" x14ac:dyDescent="0.2">
      <c r="B162" s="29" t="s">
        <v>175</v>
      </c>
    </row>
    <row r="163" spans="1:4" ht="15.95" customHeight="1" x14ac:dyDescent="0.2">
      <c r="B163" s="8" t="s">
        <v>211</v>
      </c>
    </row>
    <row r="164" spans="1:4" ht="15.95" customHeight="1" x14ac:dyDescent="0.2">
      <c r="B164" s="26" t="s">
        <v>184</v>
      </c>
      <c r="C164" s="27" t="s">
        <v>14</v>
      </c>
      <c r="D164" s="27" t="s">
        <v>183</v>
      </c>
    </row>
    <row r="165" spans="1:4" ht="15.95" customHeight="1" x14ac:dyDescent="0.2">
      <c r="A165" s="19" t="s">
        <v>190</v>
      </c>
      <c r="B165" s="50" t="s">
        <v>188</v>
      </c>
      <c r="C165" s="555" t="s">
        <v>185</v>
      </c>
      <c r="D165" s="33"/>
    </row>
    <row r="166" spans="1:4" ht="15.95" customHeight="1" x14ac:dyDescent="0.2">
      <c r="A166" s="19" t="s">
        <v>191</v>
      </c>
      <c r="B166" s="51" t="s">
        <v>189</v>
      </c>
      <c r="C166" s="556"/>
      <c r="D166" s="35"/>
    </row>
    <row r="167" spans="1:4" ht="15.95" customHeight="1" x14ac:dyDescent="0.2">
      <c r="A167" s="19" t="s">
        <v>192</v>
      </c>
      <c r="B167" s="51" t="s">
        <v>193</v>
      </c>
      <c r="C167" s="556"/>
      <c r="D167" s="35"/>
    </row>
    <row r="168" spans="1:4" ht="15.95" customHeight="1" x14ac:dyDescent="0.2">
      <c r="A168" s="19" t="s">
        <v>200</v>
      </c>
      <c r="B168" s="51" t="s">
        <v>194</v>
      </c>
      <c r="C168" s="556"/>
      <c r="D168" s="35"/>
    </row>
    <row r="169" spans="1:4" ht="15.95" customHeight="1" x14ac:dyDescent="0.2">
      <c r="A169" s="19" t="s">
        <v>201</v>
      </c>
      <c r="B169" s="51" t="s">
        <v>195</v>
      </c>
      <c r="C169" s="556"/>
      <c r="D169" s="35"/>
    </row>
    <row r="170" spans="1:4" ht="15.95" customHeight="1" x14ac:dyDescent="0.2">
      <c r="A170" s="19" t="s">
        <v>202</v>
      </c>
      <c r="B170" s="51" t="s">
        <v>196</v>
      </c>
      <c r="C170" s="556"/>
      <c r="D170" s="35"/>
    </row>
    <row r="171" spans="1:4" ht="15.95" customHeight="1" x14ac:dyDescent="0.2">
      <c r="A171" s="19" t="s">
        <v>203</v>
      </c>
      <c r="B171" s="51" t="s">
        <v>197</v>
      </c>
      <c r="C171" s="556"/>
      <c r="D171" s="35"/>
    </row>
    <row r="172" spans="1:4" ht="15.95" customHeight="1" x14ac:dyDescent="0.2">
      <c r="A172" s="19" t="s">
        <v>204</v>
      </c>
      <c r="B172" s="51" t="s">
        <v>198</v>
      </c>
      <c r="C172" s="556"/>
      <c r="D172" s="35"/>
    </row>
    <row r="173" spans="1:4" ht="15.95" customHeight="1" x14ac:dyDescent="0.2">
      <c r="A173" s="19" t="s">
        <v>205</v>
      </c>
      <c r="B173" s="51" t="s">
        <v>199</v>
      </c>
      <c r="C173" s="556"/>
      <c r="D173" s="35"/>
    </row>
    <row r="174" spans="1:4" ht="15.95" customHeight="1" x14ac:dyDescent="0.2">
      <c r="B174" s="51" t="s">
        <v>188</v>
      </c>
      <c r="C174" s="556" t="s">
        <v>186</v>
      </c>
      <c r="D174" s="35"/>
    </row>
    <row r="175" spans="1:4" ht="15.95" customHeight="1" x14ac:dyDescent="0.2">
      <c r="B175" s="51" t="s">
        <v>189</v>
      </c>
      <c r="C175" s="556"/>
      <c r="D175" s="35"/>
    </row>
    <row r="176" spans="1:4" ht="15.95" customHeight="1" x14ac:dyDescent="0.2">
      <c r="B176" s="51" t="s">
        <v>193</v>
      </c>
      <c r="C176" s="556"/>
      <c r="D176" s="35"/>
    </row>
    <row r="177" spans="2:5" ht="15.95" customHeight="1" x14ac:dyDescent="0.2">
      <c r="B177" s="51" t="s">
        <v>194</v>
      </c>
      <c r="C177" s="556"/>
      <c r="D177" s="35"/>
    </row>
    <row r="178" spans="2:5" ht="15.95" customHeight="1" x14ac:dyDescent="0.2">
      <c r="B178" s="51" t="s">
        <v>195</v>
      </c>
      <c r="C178" s="556"/>
      <c r="D178" s="35"/>
    </row>
    <row r="179" spans="2:5" ht="15.95" customHeight="1" x14ac:dyDescent="0.2">
      <c r="B179" s="51" t="s">
        <v>196</v>
      </c>
      <c r="C179" s="556"/>
      <c r="D179" s="35"/>
    </row>
    <row r="180" spans="2:5" ht="15.95" customHeight="1" x14ac:dyDescent="0.2">
      <c r="B180" s="51" t="s">
        <v>197</v>
      </c>
      <c r="C180" s="556"/>
      <c r="D180" s="35"/>
    </row>
    <row r="181" spans="2:5" ht="15.95" customHeight="1" x14ac:dyDescent="0.2">
      <c r="B181" s="51" t="s">
        <v>198</v>
      </c>
      <c r="C181" s="556"/>
      <c r="D181" s="35"/>
    </row>
    <row r="182" spans="2:5" ht="15.95" customHeight="1" x14ac:dyDescent="0.2">
      <c r="B182" s="51" t="s">
        <v>199</v>
      </c>
      <c r="C182" s="556"/>
      <c r="D182" s="35"/>
    </row>
    <row r="183" spans="2:5" ht="15.95" customHeight="1" x14ac:dyDescent="0.2">
      <c r="B183" s="51" t="s">
        <v>206</v>
      </c>
      <c r="C183" s="556" t="s">
        <v>187</v>
      </c>
      <c r="D183" s="35"/>
    </row>
    <row r="184" spans="2:5" ht="15.95" customHeight="1" x14ac:dyDescent="0.2">
      <c r="B184" s="51" t="s">
        <v>207</v>
      </c>
      <c r="C184" s="556"/>
      <c r="D184" s="35"/>
    </row>
    <row r="185" spans="2:5" ht="15.95" customHeight="1" x14ac:dyDescent="0.2">
      <c r="B185" s="51" t="s">
        <v>208</v>
      </c>
      <c r="C185" s="556"/>
      <c r="D185" s="35"/>
    </row>
    <row r="186" spans="2:5" ht="15.95" customHeight="1" x14ac:dyDescent="0.2">
      <c r="B186" s="51" t="s">
        <v>209</v>
      </c>
      <c r="C186" s="556"/>
      <c r="D186" s="35"/>
    </row>
    <row r="187" spans="2:5" ht="15.95" customHeight="1" x14ac:dyDescent="0.2">
      <c r="B187" s="51" t="s">
        <v>196</v>
      </c>
      <c r="C187" s="556"/>
      <c r="D187" s="35"/>
    </row>
    <row r="188" spans="2:5" ht="15.95" customHeight="1" x14ac:dyDescent="0.2">
      <c r="B188" s="52" t="s">
        <v>210</v>
      </c>
      <c r="C188" s="557"/>
      <c r="D188" s="39"/>
    </row>
    <row r="190" spans="2:5" ht="15.95" customHeight="1" x14ac:dyDescent="0.2">
      <c r="B190" s="4" t="s">
        <v>212</v>
      </c>
      <c r="C190" s="3"/>
      <c r="D190" s="3"/>
      <c r="E190" s="3"/>
    </row>
    <row r="191" spans="2:5" ht="15.95" customHeight="1" x14ac:dyDescent="0.2">
      <c r="B191" s="528" t="s">
        <v>30</v>
      </c>
      <c r="C191" s="528" t="s">
        <v>294</v>
      </c>
      <c r="D191" s="528" t="s">
        <v>258</v>
      </c>
      <c r="E191" s="528" t="s">
        <v>259</v>
      </c>
    </row>
    <row r="192" spans="2:5" ht="15.95" customHeight="1" x14ac:dyDescent="0.2">
      <c r="B192" s="529"/>
      <c r="C192" s="529"/>
      <c r="D192" s="529"/>
      <c r="E192" s="529"/>
    </row>
    <row r="193" spans="2:5" ht="15.95" customHeight="1" x14ac:dyDescent="0.2">
      <c r="B193" s="467" t="s">
        <v>315</v>
      </c>
      <c r="C193" s="108"/>
      <c r="D193" s="108"/>
      <c r="E193" s="383"/>
    </row>
    <row r="194" spans="2:5" ht="15.95" customHeight="1" x14ac:dyDescent="0.2">
      <c r="B194" s="468" t="s">
        <v>316</v>
      </c>
      <c r="C194" s="110"/>
      <c r="D194" s="110"/>
      <c r="E194" s="472"/>
    </row>
    <row r="195" spans="2:5" ht="15.95" customHeight="1" x14ac:dyDescent="0.2">
      <c r="B195" s="386" t="s">
        <v>317</v>
      </c>
      <c r="C195" s="387" t="s">
        <v>318</v>
      </c>
      <c r="D195" s="387" t="s">
        <v>319</v>
      </c>
      <c r="E195" s="388" t="s">
        <v>320</v>
      </c>
    </row>
    <row r="196" spans="2:5" ht="15.95" customHeight="1" thickBot="1" x14ac:dyDescent="0.25">
      <c r="B196" s="469" t="s">
        <v>322</v>
      </c>
      <c r="C196" s="280"/>
      <c r="D196" s="280"/>
      <c r="E196" s="282"/>
    </row>
    <row r="197" spans="2:5" ht="15.95" customHeight="1" x14ac:dyDescent="0.2">
      <c r="B197" s="466"/>
      <c r="C197" s="86"/>
      <c r="D197" s="86"/>
      <c r="E197" s="86"/>
    </row>
    <row r="198" spans="2:5" ht="15.95" customHeight="1" x14ac:dyDescent="0.2">
      <c r="B198" s="4" t="s">
        <v>334</v>
      </c>
    </row>
    <row r="199" spans="2:5" ht="15.95" customHeight="1" x14ac:dyDescent="0.2">
      <c r="B199" s="26" t="s">
        <v>335</v>
      </c>
      <c r="C199" s="26" t="s">
        <v>76</v>
      </c>
    </row>
    <row r="200" spans="2:5" ht="15.95" customHeight="1" x14ac:dyDescent="0.2">
      <c r="B200" s="464" t="s">
        <v>162</v>
      </c>
      <c r="C200" s="80"/>
    </row>
    <row r="201" spans="2:5" ht="15.95" customHeight="1" x14ac:dyDescent="0.2">
      <c r="B201" s="464" t="s">
        <v>95</v>
      </c>
      <c r="C201" s="80"/>
    </row>
    <row r="202" spans="2:5" ht="15.95" customHeight="1" x14ac:dyDescent="0.2">
      <c r="B202" s="464" t="s">
        <v>96</v>
      </c>
      <c r="C202" s="80"/>
    </row>
    <row r="203" spans="2:5" ht="15.95" customHeight="1" x14ac:dyDescent="0.2">
      <c r="B203" s="464" t="s">
        <v>98</v>
      </c>
      <c r="C203" s="80"/>
    </row>
    <row r="204" spans="2:5" ht="15.95" customHeight="1" x14ac:dyDescent="0.2">
      <c r="B204" s="465" t="s">
        <v>45</v>
      </c>
      <c r="C204" s="80"/>
    </row>
    <row r="207" spans="2:5" ht="15.95" customHeight="1" x14ac:dyDescent="0.2">
      <c r="B207" s="4" t="s">
        <v>343</v>
      </c>
    </row>
    <row r="208" spans="2:5" ht="15.95" customHeight="1" x14ac:dyDescent="0.2">
      <c r="B208" s="26" t="s">
        <v>344</v>
      </c>
      <c r="C208" s="21" t="s">
        <v>0</v>
      </c>
      <c r="D208" s="22" t="s">
        <v>1</v>
      </c>
      <c r="E208" s="22" t="s">
        <v>2</v>
      </c>
    </row>
    <row r="209" spans="1:5" ht="15.95" customHeight="1" x14ac:dyDescent="0.2">
      <c r="A209" s="19" t="s">
        <v>341</v>
      </c>
      <c r="B209" s="477" t="s">
        <v>51</v>
      </c>
      <c r="C209" s="80"/>
      <c r="D209" s="80"/>
      <c r="E209" s="80"/>
    </row>
    <row r="212" spans="1:5" ht="15.95" customHeight="1" x14ac:dyDescent="0.2">
      <c r="B212" s="483" t="s">
        <v>351</v>
      </c>
    </row>
    <row r="213" spans="1:5" ht="15.95" customHeight="1" x14ac:dyDescent="0.2">
      <c r="B213" s="479" t="s">
        <v>348</v>
      </c>
    </row>
    <row r="214" spans="1:5" ht="15.95" customHeight="1" x14ac:dyDescent="0.2">
      <c r="B214" s="480" t="s">
        <v>344</v>
      </c>
      <c r="C214" s="481" t="s">
        <v>349</v>
      </c>
    </row>
    <row r="215" spans="1:5" ht="15.95" customHeight="1" x14ac:dyDescent="0.2">
      <c r="A215" s="19" t="s">
        <v>172</v>
      </c>
      <c r="B215" s="482" t="s">
        <v>350</v>
      </c>
      <c r="C215" s="13"/>
    </row>
    <row r="217" spans="1:5" ht="15.95" customHeight="1" x14ac:dyDescent="0.2">
      <c r="B217" s="479" t="s">
        <v>358</v>
      </c>
    </row>
    <row r="218" spans="1:5" ht="15.95" customHeight="1" x14ac:dyDescent="0.2">
      <c r="B218" s="480" t="s">
        <v>150</v>
      </c>
      <c r="C218" s="502" t="s">
        <v>25</v>
      </c>
      <c r="D218" s="502" t="s">
        <v>26</v>
      </c>
      <c r="E218" s="502" t="s">
        <v>27</v>
      </c>
    </row>
    <row r="219" spans="1:5" ht="15.95" customHeight="1" x14ac:dyDescent="0.2">
      <c r="A219" s="19" t="s">
        <v>357</v>
      </c>
      <c r="B219" s="503" t="s">
        <v>297</v>
      </c>
      <c r="C219" s="80"/>
      <c r="D219" s="80"/>
      <c r="E219" s="80"/>
    </row>
    <row r="220" spans="1:5" ht="15.95" customHeight="1" x14ac:dyDescent="0.2">
      <c r="B220" s="503" t="s">
        <v>298</v>
      </c>
      <c r="C220" s="80"/>
      <c r="D220" s="80"/>
      <c r="E220" s="80"/>
    </row>
    <row r="221" spans="1:5" ht="15.95" customHeight="1" x14ac:dyDescent="0.2">
      <c r="B221" s="503" t="s">
        <v>299</v>
      </c>
      <c r="C221" s="80"/>
      <c r="D221" s="80"/>
      <c r="E221" s="80"/>
    </row>
    <row r="223" spans="1:5" ht="15.95" customHeight="1" x14ac:dyDescent="0.2">
      <c r="A223" s="19" t="s">
        <v>360</v>
      </c>
      <c r="B223" s="479" t="s">
        <v>359</v>
      </c>
    </row>
    <row r="224" spans="1:5" ht="15.95" customHeight="1" thickBot="1" x14ac:dyDescent="0.25">
      <c r="B224" s="480" t="s">
        <v>150</v>
      </c>
      <c r="C224" s="502" t="s">
        <v>25</v>
      </c>
      <c r="D224" s="502" t="s">
        <v>26</v>
      </c>
      <c r="E224" s="502" t="s">
        <v>27</v>
      </c>
    </row>
    <row r="225" spans="1:6" ht="15.95" customHeight="1" thickTop="1" x14ac:dyDescent="0.2">
      <c r="A225" s="78" t="s">
        <v>244</v>
      </c>
      <c r="B225" s="69" t="s">
        <v>369</v>
      </c>
      <c r="C225" s="71"/>
      <c r="D225" s="71"/>
      <c r="E225" s="71"/>
    </row>
    <row r="226" spans="1:6" ht="15.95" customHeight="1" x14ac:dyDescent="0.2">
      <c r="A226" s="78" t="s">
        <v>246</v>
      </c>
      <c r="B226" s="72" t="s">
        <v>370</v>
      </c>
      <c r="C226" s="35"/>
      <c r="D226" s="35"/>
      <c r="E226" s="35"/>
    </row>
    <row r="227" spans="1:6" ht="15.95" customHeight="1" x14ac:dyDescent="0.2">
      <c r="A227" s="78" t="s">
        <v>238</v>
      </c>
      <c r="B227" s="72" t="s">
        <v>395</v>
      </c>
      <c r="C227" s="35"/>
      <c r="D227" s="35"/>
      <c r="E227" s="35"/>
      <c r="F227" s="510"/>
    </row>
    <row r="228" spans="1:6" ht="15.95" customHeight="1" x14ac:dyDescent="0.2">
      <c r="A228" s="78" t="s">
        <v>243</v>
      </c>
      <c r="B228" s="72" t="s">
        <v>380</v>
      </c>
      <c r="C228" s="35"/>
      <c r="D228" s="35"/>
      <c r="E228" s="35"/>
    </row>
    <row r="229" spans="1:6" ht="15.95" customHeight="1" x14ac:dyDescent="0.2">
      <c r="A229" s="78" t="s">
        <v>242</v>
      </c>
      <c r="B229" s="72" t="s">
        <v>371</v>
      </c>
      <c r="C229" s="35"/>
      <c r="D229" s="35"/>
      <c r="E229" s="35"/>
    </row>
    <row r="230" spans="1:6" ht="15.95" customHeight="1" x14ac:dyDescent="0.2">
      <c r="A230" s="78" t="s">
        <v>240</v>
      </c>
      <c r="B230" s="72" t="s">
        <v>372</v>
      </c>
      <c r="C230" s="35"/>
      <c r="D230" s="35"/>
      <c r="E230" s="35"/>
    </row>
    <row r="231" spans="1:6" ht="15.95" customHeight="1" x14ac:dyDescent="0.2">
      <c r="A231" s="78" t="s">
        <v>361</v>
      </c>
      <c r="B231" s="72" t="s">
        <v>373</v>
      </c>
      <c r="C231" s="35"/>
      <c r="D231" s="35"/>
      <c r="E231" s="35"/>
    </row>
    <row r="232" spans="1:6" ht="15.95" customHeight="1" x14ac:dyDescent="0.2">
      <c r="A232" s="78" t="s">
        <v>251</v>
      </c>
      <c r="B232" s="508" t="s">
        <v>235</v>
      </c>
      <c r="C232" s="427"/>
      <c r="D232" s="427"/>
      <c r="E232" s="427"/>
      <c r="F232" s="509" t="s">
        <v>176</v>
      </c>
    </row>
    <row r="233" spans="1:6" ht="15.95" customHeight="1" x14ac:dyDescent="0.2">
      <c r="A233" s="78" t="s">
        <v>247</v>
      </c>
      <c r="B233" s="72" t="s">
        <v>231</v>
      </c>
      <c r="C233" s="35"/>
      <c r="D233" s="35"/>
      <c r="E233" s="35"/>
    </row>
    <row r="234" spans="1:6" ht="15.95" customHeight="1" x14ac:dyDescent="0.2">
      <c r="A234" s="78" t="s">
        <v>249</v>
      </c>
      <c r="B234" s="72" t="s">
        <v>379</v>
      </c>
      <c r="C234" s="35"/>
      <c r="D234" s="35"/>
      <c r="E234" s="35"/>
    </row>
    <row r="235" spans="1:6" ht="15.95" customHeight="1" x14ac:dyDescent="0.2">
      <c r="A235" s="78" t="s">
        <v>363</v>
      </c>
      <c r="B235" s="72" t="s">
        <v>375</v>
      </c>
      <c r="C235" s="35"/>
      <c r="D235" s="35"/>
      <c r="E235" s="35"/>
    </row>
    <row r="236" spans="1:6" ht="15.95" customHeight="1" x14ac:dyDescent="0.2">
      <c r="A236" s="78" t="s">
        <v>362</v>
      </c>
      <c r="B236" s="72" t="s">
        <v>374</v>
      </c>
      <c r="C236" s="35"/>
      <c r="D236" s="35"/>
      <c r="E236" s="35"/>
    </row>
    <row r="237" spans="1:6" ht="15.95" customHeight="1" x14ac:dyDescent="0.2">
      <c r="A237" s="78" t="s">
        <v>364</v>
      </c>
      <c r="B237" s="72" t="s">
        <v>381</v>
      </c>
      <c r="C237" s="35"/>
      <c r="D237" s="35"/>
      <c r="E237" s="35"/>
    </row>
    <row r="238" spans="1:6" ht="15.95" customHeight="1" x14ac:dyDescent="0.2">
      <c r="A238" s="78" t="s">
        <v>391</v>
      </c>
      <c r="B238" s="72" t="s">
        <v>387</v>
      </c>
      <c r="C238" s="35"/>
      <c r="D238" s="35"/>
      <c r="E238" s="35"/>
    </row>
    <row r="239" spans="1:6" ht="15.95" customHeight="1" x14ac:dyDescent="0.2">
      <c r="A239" s="78" t="s">
        <v>252</v>
      </c>
      <c r="B239" s="72" t="s">
        <v>236</v>
      </c>
      <c r="C239" s="35"/>
      <c r="D239" s="35"/>
      <c r="E239" s="35"/>
    </row>
    <row r="240" spans="1:6" ht="15.95" customHeight="1" x14ac:dyDescent="0.2">
      <c r="A240" s="78" t="s">
        <v>365</v>
      </c>
      <c r="B240" s="72" t="s">
        <v>376</v>
      </c>
      <c r="C240" s="35"/>
      <c r="D240" s="35"/>
      <c r="E240" s="35"/>
    </row>
    <row r="241" spans="1:5" ht="15.95" customHeight="1" x14ac:dyDescent="0.2">
      <c r="A241" s="78" t="s">
        <v>366</v>
      </c>
      <c r="B241" s="72" t="s">
        <v>382</v>
      </c>
      <c r="C241" s="35"/>
      <c r="D241" s="35"/>
      <c r="E241" s="35"/>
    </row>
    <row r="242" spans="1:5" ht="15.95" customHeight="1" x14ac:dyDescent="0.2">
      <c r="A242" s="78" t="s">
        <v>367</v>
      </c>
      <c r="B242" s="72" t="s">
        <v>377</v>
      </c>
      <c r="C242" s="35"/>
      <c r="D242" s="35"/>
      <c r="E242" s="35"/>
    </row>
    <row r="243" spans="1:5" ht="15.95" customHeight="1" x14ac:dyDescent="0.2">
      <c r="A243" s="78" t="s">
        <v>368</v>
      </c>
      <c r="B243" s="72" t="s">
        <v>378</v>
      </c>
      <c r="C243" s="35"/>
      <c r="D243" s="35"/>
      <c r="E243" s="35"/>
    </row>
    <row r="244" spans="1:5" ht="15.95" customHeight="1" x14ac:dyDescent="0.2">
      <c r="A244" s="78" t="s">
        <v>385</v>
      </c>
      <c r="B244" s="72" t="s">
        <v>386</v>
      </c>
      <c r="C244" s="35"/>
      <c r="D244" s="35"/>
      <c r="E244" s="35"/>
    </row>
    <row r="245" spans="1:5" ht="15.95" customHeight="1" x14ac:dyDescent="0.2">
      <c r="A245" s="78" t="s">
        <v>392</v>
      </c>
      <c r="B245" s="72" t="s">
        <v>388</v>
      </c>
      <c r="C245" s="35"/>
      <c r="D245" s="35"/>
      <c r="E245" s="35"/>
    </row>
    <row r="246" spans="1:5" ht="15.95" customHeight="1" x14ac:dyDescent="0.2">
      <c r="A246" s="78" t="s">
        <v>393</v>
      </c>
      <c r="B246" s="72" t="s">
        <v>389</v>
      </c>
      <c r="C246" s="35"/>
      <c r="D246" s="35"/>
      <c r="E246" s="35"/>
    </row>
    <row r="247" spans="1:5" ht="15.95" customHeight="1" x14ac:dyDescent="0.2">
      <c r="A247" s="78" t="s">
        <v>394</v>
      </c>
      <c r="B247" s="72" t="s">
        <v>390</v>
      </c>
      <c r="C247" s="35"/>
      <c r="D247" s="35"/>
      <c r="E247" s="35"/>
    </row>
    <row r="248" spans="1:5" ht="15.95" customHeight="1" x14ac:dyDescent="0.2">
      <c r="A248" s="78" t="s">
        <v>401</v>
      </c>
      <c r="B248" s="72" t="s">
        <v>396</v>
      </c>
      <c r="C248" s="35"/>
      <c r="D248" s="35"/>
      <c r="E248" s="35"/>
    </row>
    <row r="249" spans="1:5" ht="15.95" customHeight="1" x14ac:dyDescent="0.2">
      <c r="A249" s="78" t="s">
        <v>402</v>
      </c>
      <c r="B249" s="72" t="s">
        <v>397</v>
      </c>
      <c r="C249" s="35"/>
      <c r="D249" s="35"/>
      <c r="E249" s="35"/>
    </row>
    <row r="250" spans="1:5" ht="15.95" customHeight="1" x14ac:dyDescent="0.2">
      <c r="A250" s="78" t="s">
        <v>403</v>
      </c>
      <c r="B250" s="72" t="s">
        <v>398</v>
      </c>
      <c r="C250" s="35"/>
      <c r="D250" s="35"/>
      <c r="E250" s="35"/>
    </row>
    <row r="251" spans="1:5" ht="15.95" customHeight="1" x14ac:dyDescent="0.2">
      <c r="A251" s="78" t="s">
        <v>404</v>
      </c>
      <c r="B251" s="72" t="s">
        <v>399</v>
      </c>
      <c r="C251" s="35"/>
      <c r="D251" s="35"/>
      <c r="E251" s="35"/>
    </row>
    <row r="252" spans="1:5" ht="15.95" customHeight="1" x14ac:dyDescent="0.2">
      <c r="A252" s="78" t="s">
        <v>405</v>
      </c>
      <c r="B252" s="72" t="s">
        <v>321</v>
      </c>
      <c r="C252" s="35"/>
      <c r="D252" s="35"/>
      <c r="E252" s="35"/>
    </row>
    <row r="253" spans="1:5" ht="15.95" customHeight="1" x14ac:dyDescent="0.2">
      <c r="A253" s="78" t="s">
        <v>406</v>
      </c>
      <c r="B253" s="72" t="s">
        <v>400</v>
      </c>
      <c r="C253" s="35"/>
      <c r="D253" s="35"/>
      <c r="E253" s="35"/>
    </row>
    <row r="254" spans="1:5" ht="15.95" customHeight="1" x14ac:dyDescent="0.2">
      <c r="B254" s="504" t="s">
        <v>383</v>
      </c>
      <c r="C254" s="505"/>
      <c r="D254" s="505"/>
      <c r="E254" s="505"/>
    </row>
    <row r="255" spans="1:5" ht="15.95" customHeight="1" x14ac:dyDescent="0.2">
      <c r="B255" s="506" t="s">
        <v>384</v>
      </c>
      <c r="C255" s="507"/>
      <c r="D255" s="507"/>
      <c r="E255" s="507"/>
    </row>
    <row r="256" spans="1:5" ht="15.95" customHeight="1" x14ac:dyDescent="0.2">
      <c r="B256" s="29" t="s">
        <v>175</v>
      </c>
    </row>
  </sheetData>
  <mergeCells count="68">
    <mergeCell ref="H80:K80"/>
    <mergeCell ref="J31:L35"/>
    <mergeCell ref="J36:L40"/>
    <mergeCell ref="I44:L44"/>
    <mergeCell ref="D191:D192"/>
    <mergeCell ref="E191:E192"/>
    <mergeCell ref="C49:D49"/>
    <mergeCell ref="C32:D32"/>
    <mergeCell ref="C73:G73"/>
    <mergeCell ref="C102:C106"/>
    <mergeCell ref="C133:E133"/>
    <mergeCell ref="B43:C43"/>
    <mergeCell ref="B133:B134"/>
    <mergeCell ref="C107:C111"/>
    <mergeCell ref="C48:D48"/>
    <mergeCell ref="B47:B48"/>
    <mergeCell ref="B191:B192"/>
    <mergeCell ref="C191:C192"/>
    <mergeCell ref="C165:C173"/>
    <mergeCell ref="C174:C182"/>
    <mergeCell ref="C183:C188"/>
    <mergeCell ref="B61:C61"/>
    <mergeCell ref="G80:G81"/>
    <mergeCell ref="B7:D8"/>
    <mergeCell ref="C9:D9"/>
    <mergeCell ref="C16:D16"/>
    <mergeCell ref="C20:D20"/>
    <mergeCell ref="C21:D21"/>
    <mergeCell ref="B14:B15"/>
    <mergeCell ref="B26:D27"/>
    <mergeCell ref="C10:D10"/>
    <mergeCell ref="C11:D11"/>
    <mergeCell ref="C12:D12"/>
    <mergeCell ref="C13:D13"/>
    <mergeCell ref="C17:C19"/>
    <mergeCell ref="B30:B31"/>
    <mergeCell ref="B62:C62"/>
    <mergeCell ref="B101:C101"/>
    <mergeCell ref="C28:D29"/>
    <mergeCell ref="C51:C58"/>
    <mergeCell ref="C93:C94"/>
    <mergeCell ref="C80:F80"/>
    <mergeCell ref="C47:D47"/>
    <mergeCell ref="C33:D33"/>
    <mergeCell ref="C34:D35"/>
    <mergeCell ref="C36:C42"/>
    <mergeCell ref="B45:D46"/>
    <mergeCell ref="C50:D50"/>
    <mergeCell ref="B51:B52"/>
    <mergeCell ref="C30:D30"/>
    <mergeCell ref="C64:G64"/>
    <mergeCell ref="C31:D31"/>
    <mergeCell ref="I30:L30"/>
    <mergeCell ref="A7:A8"/>
    <mergeCell ref="B5:K5"/>
    <mergeCell ref="B64:B65"/>
    <mergeCell ref="B93:B94"/>
    <mergeCell ref="B12:B13"/>
    <mergeCell ref="E7:H7"/>
    <mergeCell ref="E26:G26"/>
    <mergeCell ref="B9:B11"/>
    <mergeCell ref="B36:B37"/>
    <mergeCell ref="K45:M45"/>
    <mergeCell ref="E45:G45"/>
    <mergeCell ref="B73:B74"/>
    <mergeCell ref="B80:B81"/>
    <mergeCell ref="H45:J45"/>
    <mergeCell ref="C22:D22"/>
  </mergeCells>
  <phoneticPr fontId="6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9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D175"/>
  <sheetViews>
    <sheetView showGridLines="0" topLeftCell="A112" zoomScaleNormal="100" workbookViewId="0">
      <selection activeCell="N51" sqref="N51"/>
    </sheetView>
  </sheetViews>
  <sheetFormatPr baseColWidth="10" defaultColWidth="0" defaultRowHeight="0" customHeight="1" zeroHeight="1" x14ac:dyDescent="0.2"/>
  <cols>
    <col min="1" max="1" width="2.7109375" style="86" customWidth="1"/>
    <col min="2" max="2" width="4.7109375" style="86" customWidth="1"/>
    <col min="3" max="3" width="4" style="86" customWidth="1"/>
    <col min="4" max="4" width="12.28515625" style="86" customWidth="1"/>
    <col min="5" max="5" width="4.7109375" style="86" customWidth="1"/>
    <col min="6" max="6" width="7.140625" style="86" customWidth="1"/>
    <col min="7" max="7" width="7.42578125" style="86" customWidth="1"/>
    <col min="8" max="10" width="6.7109375" style="86" customWidth="1"/>
    <col min="11" max="11" width="7.5703125" style="86" customWidth="1"/>
    <col min="12" max="13" width="6.7109375" style="86" customWidth="1"/>
    <col min="14" max="14" width="15.140625" style="86" customWidth="1"/>
    <col min="15" max="19" width="6.7109375" style="86" customWidth="1"/>
    <col min="20" max="20" width="8.28515625" style="86" customWidth="1"/>
    <col min="21" max="21" width="1.7109375" style="86" customWidth="1"/>
    <col min="22" max="27" width="6.7109375" style="86" hidden="1" customWidth="1"/>
    <col min="28" max="16384" width="11.42578125" style="86" hidden="1"/>
  </cols>
  <sheetData>
    <row r="1" spans="1:20" ht="12.75" customHeight="1" x14ac:dyDescent="0.2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20" ht="18" x14ac:dyDescent="0.2">
      <c r="B2" s="592" t="s">
        <v>131</v>
      </c>
      <c r="C2" s="592"/>
      <c r="D2" s="592"/>
      <c r="E2" s="592"/>
      <c r="F2" s="592"/>
      <c r="G2" s="592"/>
      <c r="H2" s="592"/>
      <c r="I2" s="592"/>
      <c r="J2" s="592"/>
      <c r="K2" s="592"/>
      <c r="L2" s="592"/>
      <c r="M2" s="592"/>
      <c r="N2" s="592"/>
      <c r="O2" s="592"/>
      <c r="P2" s="592"/>
      <c r="Q2" s="592"/>
      <c r="R2" s="592"/>
      <c r="S2" s="592"/>
      <c r="T2" s="592"/>
    </row>
    <row r="3" spans="1:20" s="87" customFormat="1" ht="16.5" customHeight="1" x14ac:dyDescent="0.2">
      <c r="D3" s="88"/>
      <c r="M3" s="89"/>
    </row>
    <row r="4" spans="1:20" ht="16.5" customHeight="1" x14ac:dyDescent="0.2">
      <c r="B4" s="593" t="s">
        <v>260</v>
      </c>
      <c r="C4" s="593"/>
      <c r="D4" s="593"/>
      <c r="E4" s="593"/>
      <c r="F4" s="593"/>
      <c r="G4" s="594"/>
      <c r="H4" s="594"/>
      <c r="I4" s="594"/>
      <c r="J4" s="594"/>
      <c r="K4" s="594"/>
      <c r="L4" s="594"/>
      <c r="M4" s="594"/>
      <c r="N4" s="594"/>
      <c r="O4" s="594"/>
      <c r="P4" s="594"/>
      <c r="Q4" s="594"/>
      <c r="R4" s="594"/>
      <c r="S4" s="594"/>
    </row>
    <row r="5" spans="1:20" ht="16.5" customHeight="1" x14ac:dyDescent="0.2">
      <c r="B5" s="593" t="s">
        <v>261</v>
      </c>
      <c r="C5" s="593"/>
      <c r="D5" s="593"/>
      <c r="E5" s="593"/>
      <c r="F5" s="593"/>
      <c r="G5" s="594"/>
      <c r="H5" s="594"/>
      <c r="I5" s="594"/>
      <c r="J5" s="594"/>
      <c r="K5" s="594"/>
      <c r="L5" s="594"/>
      <c r="M5" s="594"/>
      <c r="N5" s="594"/>
      <c r="O5" s="594"/>
      <c r="P5" s="594"/>
      <c r="Q5" s="594"/>
      <c r="R5" s="594"/>
      <c r="S5" s="594"/>
    </row>
    <row r="6" spans="1:20" ht="11.25" x14ac:dyDescent="0.2">
      <c r="D6" s="90"/>
      <c r="G6" s="91"/>
    </row>
    <row r="7" spans="1:20" ht="12" thickBot="1" x14ac:dyDescent="0.25">
      <c r="B7" s="91" t="s">
        <v>81</v>
      </c>
      <c r="C7" s="91"/>
      <c r="E7" s="595"/>
      <c r="F7" s="595"/>
      <c r="G7" s="595"/>
      <c r="H7" s="92"/>
      <c r="I7" s="92"/>
      <c r="J7" s="92"/>
      <c r="K7" s="92"/>
      <c r="M7" s="93"/>
      <c r="N7" s="94" t="s">
        <v>23</v>
      </c>
      <c r="O7" s="95"/>
      <c r="P7" s="93"/>
      <c r="Q7" s="96"/>
    </row>
    <row r="8" spans="1:20" ht="12.75" customHeight="1" x14ac:dyDescent="0.2">
      <c r="B8" s="600" t="s">
        <v>38</v>
      </c>
      <c r="C8" s="601"/>
      <c r="D8" s="601"/>
      <c r="E8" s="601"/>
      <c r="F8" s="601"/>
      <c r="G8" s="602"/>
      <c r="H8" s="575" t="s">
        <v>82</v>
      </c>
      <c r="I8" s="576"/>
      <c r="J8" s="576"/>
      <c r="K8" s="576"/>
      <c r="L8" s="577"/>
      <c r="M8" s="575" t="s">
        <v>24</v>
      </c>
      <c r="N8" s="576"/>
      <c r="O8" s="577"/>
      <c r="P8" s="578" t="s">
        <v>132</v>
      </c>
      <c r="Q8" s="86" t="s">
        <v>22</v>
      </c>
    </row>
    <row r="9" spans="1:20" ht="11.25" x14ac:dyDescent="0.2">
      <c r="B9" s="603"/>
      <c r="C9" s="604"/>
      <c r="D9" s="604"/>
      <c r="E9" s="604"/>
      <c r="F9" s="604"/>
      <c r="G9" s="605"/>
      <c r="H9" s="97" t="s">
        <v>25</v>
      </c>
      <c r="I9" s="97" t="s">
        <v>26</v>
      </c>
      <c r="J9" s="97" t="s">
        <v>27</v>
      </c>
      <c r="K9" s="98" t="s">
        <v>10</v>
      </c>
      <c r="L9" s="99" t="s">
        <v>19</v>
      </c>
      <c r="M9" s="100" t="s">
        <v>10</v>
      </c>
      <c r="N9" s="97" t="s">
        <v>19</v>
      </c>
      <c r="O9" s="99" t="s">
        <v>28</v>
      </c>
      <c r="P9" s="579"/>
    </row>
    <row r="10" spans="1:20" ht="12.75" customHeight="1" x14ac:dyDescent="0.2">
      <c r="A10" s="101"/>
      <c r="B10" s="580" t="s">
        <v>29</v>
      </c>
      <c r="C10" s="581"/>
      <c r="D10" s="582"/>
      <c r="E10" s="589" t="s">
        <v>57</v>
      </c>
      <c r="F10" s="590"/>
      <c r="G10" s="591"/>
      <c r="H10" s="230">
        <f>Inmunizaciones!E9</f>
        <v>0</v>
      </c>
      <c r="I10" s="231"/>
      <c r="J10" s="232"/>
      <c r="K10" s="290">
        <f>H10</f>
        <v>0</v>
      </c>
      <c r="L10" s="102"/>
      <c r="M10" s="103"/>
      <c r="N10" s="102"/>
      <c r="O10" s="104"/>
      <c r="P10" s="105"/>
    </row>
    <row r="11" spans="1:20" ht="11.25" customHeight="1" x14ac:dyDescent="0.2">
      <c r="A11" s="101"/>
      <c r="B11" s="583"/>
      <c r="C11" s="584"/>
      <c r="D11" s="585"/>
      <c r="E11" s="589" t="s">
        <v>58</v>
      </c>
      <c r="F11" s="590"/>
      <c r="G11" s="591"/>
      <c r="H11" s="230">
        <f>Inmunizaciones!E10</f>
        <v>0</v>
      </c>
      <c r="I11" s="233"/>
      <c r="J11" s="234"/>
      <c r="K11" s="290">
        <f>H11</f>
        <v>0</v>
      </c>
      <c r="L11" s="102"/>
      <c r="M11" s="103"/>
      <c r="N11" s="102"/>
      <c r="O11" s="104"/>
      <c r="P11" s="105"/>
    </row>
    <row r="12" spans="1:20" ht="11.25" customHeight="1" x14ac:dyDescent="0.2">
      <c r="A12" s="101"/>
      <c r="B12" s="586"/>
      <c r="C12" s="587"/>
      <c r="D12" s="588"/>
      <c r="E12" s="589" t="s">
        <v>133</v>
      </c>
      <c r="F12" s="590"/>
      <c r="G12" s="591"/>
      <c r="H12" s="230">
        <f>Inmunizaciones!E11</f>
        <v>0</v>
      </c>
      <c r="I12" s="233"/>
      <c r="J12" s="234"/>
      <c r="K12" s="290">
        <f>H12</f>
        <v>0</v>
      </c>
      <c r="L12" s="102"/>
      <c r="M12" s="103"/>
      <c r="N12" s="102"/>
      <c r="O12" s="104"/>
      <c r="P12" s="105"/>
    </row>
    <row r="13" spans="1:20" ht="12.75" customHeight="1" x14ac:dyDescent="0.2">
      <c r="A13" s="101"/>
      <c r="B13" s="580" t="s">
        <v>83</v>
      </c>
      <c r="C13" s="581"/>
      <c r="D13" s="582"/>
      <c r="E13" s="589" t="s">
        <v>103</v>
      </c>
      <c r="F13" s="590"/>
      <c r="G13" s="591"/>
      <c r="H13" s="230">
        <f>Inmunizaciones!E12</f>
        <v>0</v>
      </c>
      <c r="I13" s="233"/>
      <c r="J13" s="234"/>
      <c r="K13" s="290">
        <f>H13</f>
        <v>0</v>
      </c>
      <c r="L13" s="102"/>
      <c r="M13" s="103"/>
      <c r="N13" s="102"/>
      <c r="O13" s="104"/>
      <c r="P13" s="105"/>
    </row>
    <row r="14" spans="1:20" ht="12.75" customHeight="1" x14ac:dyDescent="0.2">
      <c r="A14" s="101"/>
      <c r="B14" s="580" t="s">
        <v>83</v>
      </c>
      <c r="C14" s="581"/>
      <c r="D14" s="582"/>
      <c r="E14" s="589" t="s">
        <v>57</v>
      </c>
      <c r="F14" s="590"/>
      <c r="G14" s="591"/>
      <c r="H14" s="230">
        <f>Inmunizaciones!E13</f>
        <v>0</v>
      </c>
      <c r="I14" s="233"/>
      <c r="J14" s="234"/>
      <c r="K14" s="290">
        <f>H14</f>
        <v>0</v>
      </c>
      <c r="L14" s="102"/>
      <c r="M14" s="103"/>
      <c r="N14" s="102"/>
      <c r="O14" s="104"/>
      <c r="P14" s="105"/>
    </row>
    <row r="15" spans="1:20" ht="12.75" customHeight="1" x14ac:dyDescent="0.2">
      <c r="A15" s="101"/>
      <c r="B15" s="580" t="s">
        <v>7</v>
      </c>
      <c r="C15" s="581"/>
      <c r="D15" s="582"/>
      <c r="E15" s="106" t="s">
        <v>104</v>
      </c>
      <c r="F15" s="596" t="s">
        <v>134</v>
      </c>
      <c r="G15" s="597"/>
      <c r="H15" s="235">
        <f>Inmunizaciones!E14</f>
        <v>0</v>
      </c>
      <c r="I15" s="236">
        <f>Inmunizaciones!F14</f>
        <v>0</v>
      </c>
      <c r="J15" s="237"/>
      <c r="K15" s="290">
        <f>H15+I15</f>
        <v>0</v>
      </c>
      <c r="L15" s="102"/>
      <c r="M15" s="103"/>
      <c r="N15" s="102"/>
      <c r="O15" s="104"/>
      <c r="P15" s="107"/>
    </row>
    <row r="16" spans="1:20" ht="12.75" customHeight="1" x14ac:dyDescent="0.2">
      <c r="A16" s="101"/>
      <c r="B16" s="586"/>
      <c r="C16" s="587"/>
      <c r="D16" s="588"/>
      <c r="E16" s="108" t="s">
        <v>105</v>
      </c>
      <c r="F16" s="598" t="s">
        <v>135</v>
      </c>
      <c r="G16" s="599"/>
      <c r="H16" s="238"/>
      <c r="I16" s="239"/>
      <c r="J16" s="230">
        <f>Inmunizaciones!G15</f>
        <v>0</v>
      </c>
      <c r="K16" s="290">
        <f>J16</f>
        <v>0</v>
      </c>
      <c r="L16" s="102"/>
      <c r="M16" s="103"/>
      <c r="N16" s="102"/>
      <c r="O16" s="104"/>
      <c r="P16" s="107"/>
    </row>
    <row r="17" spans="1:19" ht="12.75" customHeight="1" x14ac:dyDescent="0.2">
      <c r="A17" s="101"/>
      <c r="B17" s="613" t="s">
        <v>40</v>
      </c>
      <c r="C17" s="614"/>
      <c r="D17" s="615"/>
      <c r="E17" s="596" t="s">
        <v>137</v>
      </c>
      <c r="F17" s="609"/>
      <c r="G17" s="597"/>
      <c r="H17" s="240">
        <f>Inmunizaciones!E16</f>
        <v>0</v>
      </c>
      <c r="I17" s="240">
        <f>Inmunizaciones!F16</f>
        <v>0</v>
      </c>
      <c r="J17" s="240">
        <f>Inmunizaciones!G16</f>
        <v>0</v>
      </c>
      <c r="K17" s="290">
        <f>H17+I17+J17</f>
        <v>0</v>
      </c>
      <c r="L17" s="102"/>
      <c r="M17" s="103"/>
      <c r="N17" s="102"/>
      <c r="O17" s="104"/>
      <c r="P17" s="109"/>
    </row>
    <row r="18" spans="1:19" ht="12" customHeight="1" x14ac:dyDescent="0.2">
      <c r="A18" s="101"/>
      <c r="B18" s="616" t="s">
        <v>138</v>
      </c>
      <c r="C18" s="617"/>
      <c r="D18" s="618"/>
      <c r="E18" s="110" t="s">
        <v>116</v>
      </c>
      <c r="F18" s="598" t="s">
        <v>136</v>
      </c>
      <c r="G18" s="599"/>
      <c r="H18" s="241"/>
      <c r="I18" s="242">
        <f>Inmunizaciones!F17</f>
        <v>0</v>
      </c>
      <c r="J18" s="242">
        <f>Inmunizaciones!G17</f>
        <v>0</v>
      </c>
      <c r="K18" s="291">
        <f>I18+J18</f>
        <v>0</v>
      </c>
      <c r="L18" s="111"/>
      <c r="M18" s="112"/>
      <c r="N18" s="111"/>
      <c r="O18" s="113"/>
      <c r="P18" s="107"/>
    </row>
    <row r="19" spans="1:19" ht="11.25" x14ac:dyDescent="0.2">
      <c r="A19" s="101"/>
      <c r="B19" s="619"/>
      <c r="C19" s="620"/>
      <c r="D19" s="621"/>
      <c r="E19" s="108" t="s">
        <v>84</v>
      </c>
      <c r="F19" s="596" t="s">
        <v>136</v>
      </c>
      <c r="G19" s="597"/>
      <c r="H19" s="243"/>
      <c r="I19" s="244">
        <f>Inmunizaciones!F18</f>
        <v>0</v>
      </c>
      <c r="J19" s="244">
        <f>Inmunizaciones!G18</f>
        <v>0</v>
      </c>
      <c r="K19" s="291">
        <f>I19+J19</f>
        <v>0</v>
      </c>
      <c r="L19" s="111"/>
      <c r="M19" s="112"/>
      <c r="N19" s="111"/>
      <c r="O19" s="113"/>
      <c r="P19" s="107"/>
    </row>
    <row r="20" spans="1:19" ht="11.25" x14ac:dyDescent="0.2">
      <c r="A20" s="101"/>
      <c r="B20" s="622"/>
      <c r="C20" s="623"/>
      <c r="D20" s="624"/>
      <c r="E20" s="114" t="s">
        <v>85</v>
      </c>
      <c r="F20" s="596" t="s">
        <v>136</v>
      </c>
      <c r="G20" s="597"/>
      <c r="H20" s="245"/>
      <c r="I20" s="244">
        <f>Inmunizaciones!F19</f>
        <v>0</v>
      </c>
      <c r="J20" s="244">
        <f>Inmunizaciones!G19</f>
        <v>0</v>
      </c>
      <c r="K20" s="291">
        <f>I20+J20</f>
        <v>0</v>
      </c>
      <c r="L20" s="111"/>
      <c r="M20" s="112"/>
      <c r="N20" s="111"/>
      <c r="O20" s="113"/>
      <c r="P20" s="107"/>
    </row>
    <row r="21" spans="1:19" ht="12.75" customHeight="1" x14ac:dyDescent="0.2">
      <c r="A21" s="101"/>
      <c r="B21" s="606" t="s">
        <v>41</v>
      </c>
      <c r="C21" s="607"/>
      <c r="D21" s="608"/>
      <c r="E21" s="596" t="s">
        <v>134</v>
      </c>
      <c r="F21" s="609"/>
      <c r="G21" s="597"/>
      <c r="H21" s="230">
        <f>Inmunizaciones!E20</f>
        <v>0</v>
      </c>
      <c r="I21" s="230">
        <f>Inmunizaciones!F20</f>
        <v>0</v>
      </c>
      <c r="J21" s="246"/>
      <c r="K21" s="291">
        <f>H21+I21</f>
        <v>0</v>
      </c>
      <c r="L21" s="111"/>
      <c r="M21" s="112"/>
      <c r="N21" s="111"/>
      <c r="O21" s="113"/>
      <c r="P21" s="107"/>
    </row>
    <row r="22" spans="1:19" ht="12.75" customHeight="1" x14ac:dyDescent="0.2">
      <c r="A22" s="101"/>
      <c r="B22" s="606" t="s">
        <v>42</v>
      </c>
      <c r="C22" s="607"/>
      <c r="D22" s="608"/>
      <c r="E22" s="596" t="s">
        <v>134</v>
      </c>
      <c r="F22" s="609"/>
      <c r="G22" s="597"/>
      <c r="H22" s="230">
        <f>Inmunizaciones!E21</f>
        <v>0</v>
      </c>
      <c r="I22" s="230">
        <f>Inmunizaciones!F21</f>
        <v>0</v>
      </c>
      <c r="J22" s="247"/>
      <c r="K22" s="291">
        <f>H22+I22</f>
        <v>0</v>
      </c>
      <c r="L22" s="111"/>
      <c r="M22" s="112"/>
      <c r="N22" s="111"/>
      <c r="O22" s="113"/>
      <c r="P22" s="107"/>
    </row>
    <row r="23" spans="1:19" ht="12.75" customHeight="1" x14ac:dyDescent="0.2">
      <c r="A23" s="101"/>
      <c r="B23" s="606" t="s">
        <v>43</v>
      </c>
      <c r="C23" s="607"/>
      <c r="D23" s="608"/>
      <c r="E23" s="610"/>
      <c r="F23" s="611"/>
      <c r="G23" s="612"/>
      <c r="H23" s="230">
        <f>Inmunizaciones!E22</f>
        <v>0</v>
      </c>
      <c r="I23" s="230">
        <f>Inmunizaciones!F22</f>
        <v>0</v>
      </c>
      <c r="J23" s="247"/>
      <c r="K23" s="291">
        <f>H23+I23</f>
        <v>0</v>
      </c>
      <c r="L23" s="111"/>
      <c r="M23" s="112"/>
      <c r="N23" s="111"/>
      <c r="O23" s="113"/>
      <c r="P23" s="107"/>
    </row>
    <row r="24" spans="1:19" ht="12" thickBot="1" x14ac:dyDescent="0.25">
      <c r="A24" s="101"/>
      <c r="B24" s="653" t="s">
        <v>86</v>
      </c>
      <c r="C24" s="654"/>
      <c r="D24" s="655"/>
      <c r="E24" s="115" t="s">
        <v>104</v>
      </c>
      <c r="F24" s="656" t="s">
        <v>137</v>
      </c>
      <c r="G24" s="657"/>
      <c r="H24" s="248">
        <f>Inmunizaciones!E23</f>
        <v>0</v>
      </c>
      <c r="I24" s="248">
        <f>Inmunizaciones!F23</f>
        <v>0</v>
      </c>
      <c r="J24" s="248">
        <f>Inmunizaciones!G23</f>
        <v>0</v>
      </c>
      <c r="K24" s="292">
        <f>H24+I24+J24</f>
        <v>0</v>
      </c>
      <c r="L24" s="116"/>
      <c r="M24" s="117"/>
      <c r="N24" s="116"/>
      <c r="O24" s="118"/>
      <c r="P24" s="119"/>
    </row>
    <row r="25" spans="1:19" ht="11.25" x14ac:dyDescent="0.2">
      <c r="E25" s="120"/>
      <c r="F25" s="120"/>
      <c r="G25" s="101"/>
      <c r="H25" s="101"/>
      <c r="I25" s="101"/>
      <c r="J25" s="101"/>
      <c r="K25" s="101"/>
      <c r="L25" s="101"/>
      <c r="M25" s="93"/>
      <c r="N25" s="91"/>
      <c r="O25" s="120"/>
      <c r="P25" s="91"/>
      <c r="Q25" s="121"/>
    </row>
    <row r="26" spans="1:19" ht="12" thickBot="1" x14ac:dyDescent="0.25">
      <c r="B26" s="91" t="s">
        <v>87</v>
      </c>
      <c r="C26" s="91"/>
      <c r="E26" s="595"/>
      <c r="F26" s="595"/>
      <c r="G26" s="595"/>
      <c r="H26" s="92"/>
      <c r="I26" s="92"/>
      <c r="J26" s="92"/>
      <c r="K26" s="92"/>
      <c r="L26" s="92"/>
      <c r="M26" s="94" t="s">
        <v>23</v>
      </c>
      <c r="N26" s="95"/>
    </row>
    <row r="27" spans="1:19" ht="11.25" x14ac:dyDescent="0.2">
      <c r="B27" s="600" t="s">
        <v>38</v>
      </c>
      <c r="C27" s="601"/>
      <c r="D27" s="601"/>
      <c r="E27" s="601"/>
      <c r="F27" s="601"/>
      <c r="G27" s="602"/>
      <c r="H27" s="658" t="s">
        <v>13</v>
      </c>
      <c r="I27" s="659"/>
      <c r="J27" s="659"/>
      <c r="K27" s="660"/>
      <c r="L27" s="575" t="s">
        <v>24</v>
      </c>
      <c r="M27" s="576"/>
      <c r="N27" s="661"/>
    </row>
    <row r="28" spans="1:19" ht="11.25" x14ac:dyDescent="0.2">
      <c r="B28" s="603"/>
      <c r="C28" s="604"/>
      <c r="D28" s="604"/>
      <c r="E28" s="604"/>
      <c r="F28" s="604"/>
      <c r="G28" s="605"/>
      <c r="H28" s="97" t="s">
        <v>25</v>
      </c>
      <c r="I28" s="97" t="s">
        <v>26</v>
      </c>
      <c r="J28" s="97" t="s">
        <v>27</v>
      </c>
      <c r="K28" s="99" t="s">
        <v>10</v>
      </c>
      <c r="L28" s="100" t="s">
        <v>10</v>
      </c>
      <c r="M28" s="97" t="s">
        <v>19</v>
      </c>
      <c r="N28" s="122" t="s">
        <v>28</v>
      </c>
    </row>
    <row r="29" spans="1:19" ht="12.75" customHeight="1" x14ac:dyDescent="0.2">
      <c r="A29" s="101"/>
      <c r="B29" s="625" t="s">
        <v>139</v>
      </c>
      <c r="C29" s="626"/>
      <c r="D29" s="123" t="s">
        <v>42</v>
      </c>
      <c r="E29" s="124"/>
      <c r="F29" s="124" t="s">
        <v>27</v>
      </c>
      <c r="G29" s="125" t="s">
        <v>262</v>
      </c>
      <c r="H29" s="249"/>
      <c r="I29" s="250"/>
      <c r="J29" s="219">
        <f>Inmunizaciones!G28</f>
        <v>0</v>
      </c>
      <c r="K29" s="286">
        <f>J29</f>
        <v>0</v>
      </c>
      <c r="L29" s="126"/>
      <c r="M29" s="126"/>
      <c r="N29" s="127"/>
      <c r="Q29" s="631" t="s">
        <v>99</v>
      </c>
      <c r="R29" s="632"/>
      <c r="S29" s="633"/>
    </row>
    <row r="30" spans="1:19" ht="12.75" customHeight="1" x14ac:dyDescent="0.2">
      <c r="A30" s="101"/>
      <c r="B30" s="627"/>
      <c r="C30" s="628"/>
      <c r="D30" s="123" t="s">
        <v>88</v>
      </c>
      <c r="E30" s="124"/>
      <c r="F30" s="124" t="s">
        <v>25</v>
      </c>
      <c r="G30" s="125" t="s">
        <v>262</v>
      </c>
      <c r="H30" s="219">
        <f>Inmunizaciones!E29</f>
        <v>0</v>
      </c>
      <c r="I30" s="251"/>
      <c r="J30" s="252"/>
      <c r="K30" s="286">
        <f>H30</f>
        <v>0</v>
      </c>
      <c r="L30" s="126"/>
      <c r="M30" s="126"/>
      <c r="N30" s="127"/>
      <c r="Q30" s="634"/>
      <c r="R30" s="635"/>
      <c r="S30" s="636"/>
    </row>
    <row r="31" spans="1:19" ht="22.5" customHeight="1" thickBot="1" x14ac:dyDescent="0.25">
      <c r="A31" s="101"/>
      <c r="B31" s="627"/>
      <c r="C31" s="628"/>
      <c r="D31" s="640" t="s">
        <v>140</v>
      </c>
      <c r="E31" s="641"/>
      <c r="F31" s="642"/>
      <c r="G31" s="643" t="s">
        <v>43</v>
      </c>
      <c r="H31" s="253">
        <f>Inmunizaciones!E30</f>
        <v>0</v>
      </c>
      <c r="I31" s="219">
        <f>Inmunizaciones!F30</f>
        <v>0</v>
      </c>
      <c r="J31" s="252"/>
      <c r="K31" s="286">
        <f>H31+I31</f>
        <v>0</v>
      </c>
      <c r="L31" s="126"/>
      <c r="M31" s="126"/>
      <c r="N31" s="127"/>
      <c r="Q31" s="637"/>
      <c r="R31" s="638"/>
      <c r="S31" s="639"/>
    </row>
    <row r="32" spans="1:19" ht="11.25" x14ac:dyDescent="0.2">
      <c r="A32" s="101"/>
      <c r="B32" s="629"/>
      <c r="C32" s="630"/>
      <c r="D32" s="645" t="s">
        <v>263</v>
      </c>
      <c r="E32" s="646"/>
      <c r="F32" s="647"/>
      <c r="G32" s="644"/>
      <c r="H32" s="253">
        <f>Inmunizaciones!E31</f>
        <v>0</v>
      </c>
      <c r="I32" s="251"/>
      <c r="J32" s="252"/>
      <c r="K32" s="288">
        <f>H32</f>
        <v>0</v>
      </c>
      <c r="L32" s="126"/>
      <c r="M32" s="126"/>
      <c r="N32" s="127"/>
      <c r="Q32" s="128"/>
      <c r="R32" s="128"/>
      <c r="S32" s="128"/>
    </row>
    <row r="33" spans="1:20" ht="12.75" customHeight="1" x14ac:dyDescent="0.2">
      <c r="A33" s="101"/>
      <c r="B33" s="648" t="s">
        <v>141</v>
      </c>
      <c r="C33" s="649"/>
      <c r="D33" s="650" t="s">
        <v>142</v>
      </c>
      <c r="E33" s="651"/>
      <c r="F33" s="651"/>
      <c r="G33" s="652"/>
      <c r="H33" s="253">
        <f>Inmunizaciones!E32</f>
        <v>0</v>
      </c>
      <c r="I33" s="219">
        <f>Inmunizaciones!F32</f>
        <v>0</v>
      </c>
      <c r="J33" s="252"/>
      <c r="K33" s="272">
        <f>H33+I33</f>
        <v>0</v>
      </c>
      <c r="L33" s="129"/>
      <c r="M33" s="129"/>
      <c r="N33" s="130"/>
    </row>
    <row r="34" spans="1:20" ht="23.25" customHeight="1" x14ac:dyDescent="0.2">
      <c r="A34" s="101"/>
      <c r="B34" s="664" t="s">
        <v>89</v>
      </c>
      <c r="C34" s="665"/>
      <c r="D34" s="131" t="s">
        <v>143</v>
      </c>
      <c r="E34" s="132"/>
      <c r="F34" s="133" t="s">
        <v>263</v>
      </c>
      <c r="G34" s="134" t="s">
        <v>89</v>
      </c>
      <c r="H34" s="253">
        <f>Inmunizaciones!E33</f>
        <v>0</v>
      </c>
      <c r="I34" s="251"/>
      <c r="J34" s="252"/>
      <c r="K34" s="272">
        <f>H34</f>
        <v>0</v>
      </c>
      <c r="L34" s="129"/>
      <c r="M34" s="129"/>
      <c r="N34" s="130"/>
    </row>
    <row r="35" spans="1:20" ht="12.75" customHeight="1" x14ac:dyDescent="0.2">
      <c r="A35" s="101"/>
      <c r="B35" s="666" t="s">
        <v>144</v>
      </c>
      <c r="C35" s="667"/>
      <c r="D35" s="135" t="s">
        <v>88</v>
      </c>
      <c r="E35" s="136"/>
      <c r="F35" s="136" t="s">
        <v>26</v>
      </c>
      <c r="G35" s="137" t="s">
        <v>144</v>
      </c>
      <c r="H35" s="254"/>
      <c r="I35" s="219">
        <f>Inmunizaciones!F29</f>
        <v>0</v>
      </c>
      <c r="J35" s="252"/>
      <c r="K35" s="286">
        <f>I35</f>
        <v>0</v>
      </c>
      <c r="L35" s="126"/>
      <c r="M35" s="126"/>
      <c r="N35" s="127"/>
    </row>
    <row r="36" spans="1:20" ht="12.75" customHeight="1" x14ac:dyDescent="0.2">
      <c r="A36" s="101"/>
      <c r="B36" s="666"/>
      <c r="C36" s="667"/>
      <c r="D36" s="131" t="s">
        <v>90</v>
      </c>
      <c r="E36" s="132"/>
      <c r="F36" s="132" t="s">
        <v>264</v>
      </c>
      <c r="G36" s="134" t="s">
        <v>144</v>
      </c>
      <c r="H36" s="253">
        <f>Inmunizaciones!E34</f>
        <v>0</v>
      </c>
      <c r="I36" s="251"/>
      <c r="J36" s="252"/>
      <c r="K36" s="272">
        <f>H36</f>
        <v>0</v>
      </c>
      <c r="L36" s="129"/>
      <c r="M36" s="129"/>
      <c r="N36" s="130"/>
    </row>
    <row r="37" spans="1:20" ht="12.75" customHeight="1" x14ac:dyDescent="0.2">
      <c r="A37" s="101"/>
      <c r="B37" s="668"/>
      <c r="C37" s="669"/>
      <c r="D37" s="138" t="s">
        <v>115</v>
      </c>
      <c r="E37" s="139"/>
      <c r="F37" s="139" t="s">
        <v>264</v>
      </c>
      <c r="G37" s="140" t="s">
        <v>144</v>
      </c>
      <c r="H37" s="253">
        <f>Inmunizaciones!E35</f>
        <v>0</v>
      </c>
      <c r="I37" s="251"/>
      <c r="J37" s="252"/>
      <c r="K37" s="272">
        <f>H37</f>
        <v>0</v>
      </c>
      <c r="L37" s="129"/>
      <c r="M37" s="129"/>
      <c r="N37" s="130"/>
      <c r="Q37" s="91"/>
      <c r="R37" s="91"/>
      <c r="S37" s="91"/>
    </row>
    <row r="38" spans="1:20" ht="12.75" customHeight="1" x14ac:dyDescent="0.2">
      <c r="A38" s="101"/>
      <c r="B38" s="670" t="s">
        <v>145</v>
      </c>
      <c r="C38" s="671"/>
      <c r="D38" s="598" t="s">
        <v>7</v>
      </c>
      <c r="E38" s="599"/>
      <c r="F38" s="110" t="s">
        <v>104</v>
      </c>
      <c r="G38" s="125" t="s">
        <v>262</v>
      </c>
      <c r="H38" s="219">
        <f>Inmunizaciones!E36</f>
        <v>0</v>
      </c>
      <c r="I38" s="219">
        <f>Inmunizaciones!F36</f>
        <v>0</v>
      </c>
      <c r="J38" s="255"/>
      <c r="K38" s="272">
        <f>H38+I38</f>
        <v>0</v>
      </c>
      <c r="L38" s="129"/>
      <c r="M38" s="129"/>
      <c r="N38" s="130"/>
      <c r="Q38" s="91"/>
      <c r="R38" s="91"/>
      <c r="S38" s="91"/>
    </row>
    <row r="39" spans="1:20" ht="12.75" customHeight="1" x14ac:dyDescent="0.2">
      <c r="A39" s="101"/>
      <c r="B39" s="666"/>
      <c r="C39" s="667"/>
      <c r="D39" s="674"/>
      <c r="E39" s="675"/>
      <c r="F39" s="108" t="s">
        <v>105</v>
      </c>
      <c r="G39" s="125" t="s">
        <v>262</v>
      </c>
      <c r="H39" s="256"/>
      <c r="I39" s="257"/>
      <c r="J39" s="253">
        <f>Inmunizaciones!G37</f>
        <v>0</v>
      </c>
      <c r="K39" s="272">
        <f>J39</f>
        <v>0</v>
      </c>
      <c r="L39" s="129"/>
      <c r="M39" s="129"/>
      <c r="N39" s="130"/>
      <c r="Q39" s="91"/>
      <c r="R39" s="91"/>
      <c r="S39" s="91"/>
    </row>
    <row r="40" spans="1:20" ht="12.75" customHeight="1" x14ac:dyDescent="0.2">
      <c r="A40" s="101"/>
      <c r="B40" s="666"/>
      <c r="C40" s="667"/>
      <c r="D40" s="676" t="s">
        <v>40</v>
      </c>
      <c r="E40" s="677"/>
      <c r="F40" s="677"/>
      <c r="G40" s="125" t="s">
        <v>262</v>
      </c>
      <c r="H40" s="258">
        <f>Inmunizaciones!E38</f>
        <v>0</v>
      </c>
      <c r="I40" s="253">
        <f>Inmunizaciones!F38</f>
        <v>0</v>
      </c>
      <c r="J40" s="253">
        <f>Inmunizaciones!G38</f>
        <v>0</v>
      </c>
      <c r="K40" s="272">
        <f>H40+I40+J40</f>
        <v>0</v>
      </c>
      <c r="L40" s="129"/>
      <c r="M40" s="129"/>
      <c r="N40" s="130"/>
      <c r="Q40" s="91"/>
      <c r="R40" s="91"/>
      <c r="S40" s="91"/>
    </row>
    <row r="41" spans="1:20" ht="12.75" customHeight="1" x14ac:dyDescent="0.2">
      <c r="A41" s="101"/>
      <c r="B41" s="666"/>
      <c r="C41" s="667"/>
      <c r="D41" s="678" t="s">
        <v>121</v>
      </c>
      <c r="E41" s="679"/>
      <c r="F41" s="110" t="s">
        <v>116</v>
      </c>
      <c r="G41" s="125" t="s">
        <v>262</v>
      </c>
      <c r="H41" s="259"/>
      <c r="I41" s="253">
        <f>Inmunizaciones!F39</f>
        <v>0</v>
      </c>
      <c r="J41" s="253">
        <f>Inmunizaciones!G39</f>
        <v>0</v>
      </c>
      <c r="K41" s="272">
        <f>I41+J41</f>
        <v>0</v>
      </c>
      <c r="L41" s="129"/>
      <c r="M41" s="129"/>
      <c r="N41" s="130"/>
      <c r="Q41" s="91"/>
      <c r="R41" s="91"/>
      <c r="S41" s="91"/>
    </row>
    <row r="42" spans="1:20" ht="12.75" customHeight="1" x14ac:dyDescent="0.2">
      <c r="A42" s="101"/>
      <c r="B42" s="666"/>
      <c r="C42" s="667"/>
      <c r="D42" s="680"/>
      <c r="E42" s="681"/>
      <c r="F42" s="108" t="s">
        <v>84</v>
      </c>
      <c r="G42" s="125" t="s">
        <v>262</v>
      </c>
      <c r="H42" s="260"/>
      <c r="I42" s="253">
        <f>Inmunizaciones!F40</f>
        <v>0</v>
      </c>
      <c r="J42" s="253">
        <f>Inmunizaciones!G40</f>
        <v>0</v>
      </c>
      <c r="K42" s="272">
        <f>I42+J42</f>
        <v>0</v>
      </c>
      <c r="L42" s="129"/>
      <c r="M42" s="129"/>
      <c r="N42" s="130"/>
      <c r="Q42" s="91"/>
      <c r="R42" s="91"/>
      <c r="S42" s="91"/>
    </row>
    <row r="43" spans="1:20" ht="12.75" customHeight="1" x14ac:dyDescent="0.2">
      <c r="A43" s="101"/>
      <c r="B43" s="666"/>
      <c r="C43" s="667"/>
      <c r="D43" s="682"/>
      <c r="E43" s="683"/>
      <c r="F43" s="141" t="s">
        <v>85</v>
      </c>
      <c r="G43" s="125" t="s">
        <v>262</v>
      </c>
      <c r="H43" s="260"/>
      <c r="I43" s="261">
        <f>Inmunizaciones!F41</f>
        <v>0</v>
      </c>
      <c r="J43" s="261">
        <f>Inmunizaciones!G41</f>
        <v>0</v>
      </c>
      <c r="K43" s="289">
        <f>I43+J43</f>
        <v>0</v>
      </c>
      <c r="L43" s="142"/>
      <c r="M43" s="142"/>
      <c r="N43" s="143"/>
      <c r="Q43" s="91"/>
      <c r="R43" s="91"/>
      <c r="S43" s="91"/>
    </row>
    <row r="44" spans="1:20" ht="12.75" customHeight="1" thickBot="1" x14ac:dyDescent="0.25">
      <c r="A44" s="101"/>
      <c r="B44" s="672"/>
      <c r="C44" s="673"/>
      <c r="D44" s="684" t="s">
        <v>122</v>
      </c>
      <c r="E44" s="685"/>
      <c r="F44" s="685"/>
      <c r="G44" s="144" t="s">
        <v>262</v>
      </c>
      <c r="H44" s="220">
        <f>Inmunizaciones!E42</f>
        <v>0</v>
      </c>
      <c r="I44" s="262"/>
      <c r="J44" s="263"/>
      <c r="K44" s="278">
        <f>H44</f>
        <v>0</v>
      </c>
      <c r="L44" s="145"/>
      <c r="M44" s="145"/>
      <c r="N44" s="146"/>
    </row>
    <row r="45" spans="1:20" ht="11.25" x14ac:dyDescent="0.2">
      <c r="B45" s="147"/>
      <c r="C45" s="147"/>
      <c r="D45" s="148"/>
      <c r="E45" s="148"/>
      <c r="F45" s="92"/>
      <c r="G45" s="92"/>
      <c r="H45" s="92"/>
      <c r="I45" s="92"/>
      <c r="J45" s="92"/>
      <c r="K45" s="92"/>
    </row>
    <row r="46" spans="1:20" ht="12" thickBot="1" x14ac:dyDescent="0.25">
      <c r="B46" s="91" t="s">
        <v>91</v>
      </c>
      <c r="C46" s="91"/>
      <c r="I46" s="149" t="s">
        <v>146</v>
      </c>
      <c r="J46" s="95"/>
      <c r="O46" s="91" t="s">
        <v>93</v>
      </c>
    </row>
    <row r="47" spans="1:20" ht="11.25" x14ac:dyDescent="0.2">
      <c r="B47" s="600" t="s">
        <v>38</v>
      </c>
      <c r="C47" s="601"/>
      <c r="D47" s="601"/>
      <c r="E47" s="601"/>
      <c r="F47" s="601"/>
      <c r="G47" s="658" t="s">
        <v>13</v>
      </c>
      <c r="H47" s="659"/>
      <c r="I47" s="659"/>
      <c r="J47" s="660"/>
      <c r="K47" s="575" t="s">
        <v>24</v>
      </c>
      <c r="L47" s="576"/>
      <c r="M47" s="661"/>
      <c r="N47" s="662" t="s">
        <v>13</v>
      </c>
      <c r="O47" s="659"/>
      <c r="P47" s="659"/>
      <c r="Q47" s="660"/>
      <c r="R47" s="575" t="s">
        <v>24</v>
      </c>
      <c r="S47" s="576"/>
      <c r="T47" s="661"/>
    </row>
    <row r="48" spans="1:20" ht="11.25" x14ac:dyDescent="0.2">
      <c r="B48" s="603"/>
      <c r="C48" s="604"/>
      <c r="D48" s="604"/>
      <c r="E48" s="604"/>
      <c r="F48" s="604"/>
      <c r="G48" s="97" t="s">
        <v>25</v>
      </c>
      <c r="H48" s="97" t="s">
        <v>26</v>
      </c>
      <c r="I48" s="97" t="s">
        <v>27</v>
      </c>
      <c r="J48" s="99" t="s">
        <v>10</v>
      </c>
      <c r="K48" s="100" t="s">
        <v>10</v>
      </c>
      <c r="L48" s="97" t="s">
        <v>19</v>
      </c>
      <c r="M48" s="122" t="s">
        <v>28</v>
      </c>
      <c r="N48" s="150" t="s">
        <v>25</v>
      </c>
      <c r="O48" s="97" t="s">
        <v>26</v>
      </c>
      <c r="P48" s="97" t="s">
        <v>27</v>
      </c>
      <c r="Q48" s="99" t="s">
        <v>10</v>
      </c>
      <c r="R48" s="100" t="s">
        <v>10</v>
      </c>
      <c r="S48" s="97" t="s">
        <v>19</v>
      </c>
      <c r="T48" s="122" t="s">
        <v>28</v>
      </c>
    </row>
    <row r="49" spans="1:20" ht="12.75" customHeight="1" x14ac:dyDescent="0.2">
      <c r="A49" s="101"/>
      <c r="B49" s="151" t="s">
        <v>147</v>
      </c>
      <c r="C49" s="124"/>
      <c r="D49" s="124"/>
      <c r="E49" s="124"/>
      <c r="F49" s="110" t="s">
        <v>25</v>
      </c>
      <c r="G49" s="219">
        <f>Inmunizaciones!E47</f>
        <v>0</v>
      </c>
      <c r="H49" s="251"/>
      <c r="I49" s="252"/>
      <c r="J49" s="286">
        <f>G49</f>
        <v>0</v>
      </c>
      <c r="K49" s="126"/>
      <c r="L49" s="126"/>
      <c r="M49" s="127"/>
      <c r="N49" s="219">
        <f>Inmunizaciones!H47</f>
        <v>0</v>
      </c>
      <c r="O49" s="251"/>
      <c r="P49" s="252"/>
      <c r="Q49" s="286">
        <f>N49</f>
        <v>0</v>
      </c>
      <c r="R49" s="126"/>
      <c r="S49" s="126"/>
      <c r="T49" s="127"/>
    </row>
    <row r="50" spans="1:20" ht="12.75" customHeight="1" x14ac:dyDescent="0.2">
      <c r="A50" s="101"/>
      <c r="B50" s="151" t="s">
        <v>265</v>
      </c>
      <c r="C50" s="152"/>
      <c r="D50" s="152"/>
      <c r="E50" s="152"/>
      <c r="F50" s="110" t="s">
        <v>25</v>
      </c>
      <c r="G50" s="219">
        <f>Inmunizaciones!E48</f>
        <v>0</v>
      </c>
      <c r="H50" s="251"/>
      <c r="I50" s="252"/>
      <c r="J50" s="286">
        <f>G50</f>
        <v>0</v>
      </c>
      <c r="K50" s="126"/>
      <c r="L50" s="126"/>
      <c r="M50" s="127"/>
      <c r="N50" s="219">
        <f>Inmunizaciones!H48</f>
        <v>0</v>
      </c>
      <c r="O50" s="251"/>
      <c r="P50" s="252"/>
      <c r="Q50" s="286">
        <f>N50</f>
        <v>0</v>
      </c>
      <c r="R50" s="126"/>
      <c r="S50" s="126"/>
      <c r="T50" s="127"/>
    </row>
    <row r="51" spans="1:20" ht="12.75" customHeight="1" x14ac:dyDescent="0.2">
      <c r="A51" s="101"/>
      <c r="B51" s="151" t="s">
        <v>148</v>
      </c>
      <c r="C51" s="124"/>
      <c r="D51" s="124"/>
      <c r="E51" s="124"/>
      <c r="F51" s="110" t="s">
        <v>25</v>
      </c>
      <c r="G51" s="219">
        <f>Inmunizaciones!E49</f>
        <v>0</v>
      </c>
      <c r="H51" s="251"/>
      <c r="I51" s="252"/>
      <c r="J51" s="286">
        <f>G51</f>
        <v>0</v>
      </c>
      <c r="K51" s="126"/>
      <c r="L51" s="126"/>
      <c r="M51" s="127"/>
      <c r="N51" s="219">
        <f>Inmunizaciones!H49</f>
        <v>0</v>
      </c>
      <c r="O51" s="251"/>
      <c r="P51" s="252"/>
      <c r="Q51" s="286">
        <f>N51</f>
        <v>0</v>
      </c>
      <c r="R51" s="126"/>
      <c r="S51" s="126"/>
      <c r="T51" s="127"/>
    </row>
    <row r="52" spans="1:20" ht="12.75" customHeight="1" x14ac:dyDescent="0.2">
      <c r="A52" s="101"/>
      <c r="B52" s="663" t="s">
        <v>143</v>
      </c>
      <c r="C52" s="651"/>
      <c r="D52" s="651"/>
      <c r="E52" s="651"/>
      <c r="F52" s="652"/>
      <c r="G52" s="253">
        <f>Inmunizaciones!E50</f>
        <v>0</v>
      </c>
      <c r="H52" s="251"/>
      <c r="I52" s="252"/>
      <c r="J52" s="272">
        <f>G52</f>
        <v>0</v>
      </c>
      <c r="K52" s="129"/>
      <c r="L52" s="129"/>
      <c r="M52" s="130"/>
      <c r="N52" s="253">
        <f>Inmunizaciones!H50</f>
        <v>0</v>
      </c>
      <c r="O52" s="251"/>
      <c r="P52" s="252"/>
      <c r="Q52" s="272">
        <f>N52</f>
        <v>0</v>
      </c>
      <c r="R52" s="129"/>
      <c r="S52" s="129"/>
      <c r="T52" s="130"/>
    </row>
    <row r="53" spans="1:20" ht="12.75" customHeight="1" x14ac:dyDescent="0.2">
      <c r="A53" s="101"/>
      <c r="B53" s="670" t="s">
        <v>145</v>
      </c>
      <c r="C53" s="688"/>
      <c r="D53" s="581" t="s">
        <v>7</v>
      </c>
      <c r="E53" s="582"/>
      <c r="F53" s="110" t="s">
        <v>104</v>
      </c>
      <c r="G53" s="219">
        <f>Inmunizaciones!E51</f>
        <v>0</v>
      </c>
      <c r="H53" s="219">
        <f>Inmunizaciones!F51</f>
        <v>0</v>
      </c>
      <c r="I53" s="255"/>
      <c r="J53" s="272">
        <f>G53+H53</f>
        <v>0</v>
      </c>
      <c r="K53" s="129"/>
      <c r="L53" s="129"/>
      <c r="M53" s="130"/>
      <c r="N53" s="219">
        <f>Inmunizaciones!H51</f>
        <v>0</v>
      </c>
      <c r="O53" s="219">
        <f>Inmunizaciones!I51</f>
        <v>0</v>
      </c>
      <c r="P53" s="255"/>
      <c r="Q53" s="272">
        <f>N53+O53</f>
        <v>0</v>
      </c>
      <c r="R53" s="129"/>
      <c r="S53" s="129"/>
      <c r="T53" s="130"/>
    </row>
    <row r="54" spans="1:20" ht="12.75" customHeight="1" x14ac:dyDescent="0.2">
      <c r="A54" s="101"/>
      <c r="B54" s="666"/>
      <c r="C54" s="689"/>
      <c r="D54" s="587"/>
      <c r="E54" s="588"/>
      <c r="F54" s="108" t="s">
        <v>105</v>
      </c>
      <c r="G54" s="256"/>
      <c r="H54" s="257"/>
      <c r="I54" s="253">
        <f>Inmunizaciones!G52</f>
        <v>0</v>
      </c>
      <c r="J54" s="272">
        <f>I54</f>
        <v>0</v>
      </c>
      <c r="K54" s="129"/>
      <c r="L54" s="129"/>
      <c r="M54" s="130"/>
      <c r="N54" s="256"/>
      <c r="O54" s="257"/>
      <c r="P54" s="253">
        <f>Inmunizaciones!J52</f>
        <v>0</v>
      </c>
      <c r="Q54" s="272">
        <f>P54</f>
        <v>0</v>
      </c>
      <c r="R54" s="129"/>
      <c r="S54" s="129"/>
      <c r="T54" s="130"/>
    </row>
    <row r="55" spans="1:20" ht="12.75" customHeight="1" x14ac:dyDescent="0.2">
      <c r="A55" s="101"/>
      <c r="B55" s="666"/>
      <c r="C55" s="689"/>
      <c r="D55" s="614" t="s">
        <v>40</v>
      </c>
      <c r="E55" s="614"/>
      <c r="F55" s="615"/>
      <c r="G55" s="264">
        <f>Inmunizaciones!E53</f>
        <v>0</v>
      </c>
      <c r="H55" s="253">
        <f>Inmunizaciones!F53</f>
        <v>0</v>
      </c>
      <c r="I55" s="253">
        <f>Inmunizaciones!G53</f>
        <v>0</v>
      </c>
      <c r="J55" s="272">
        <f>G55+H55+I55</f>
        <v>0</v>
      </c>
      <c r="K55" s="129"/>
      <c r="L55" s="129"/>
      <c r="M55" s="130"/>
      <c r="N55" s="264">
        <f>Inmunizaciones!H53</f>
        <v>0</v>
      </c>
      <c r="O55" s="253">
        <f>Inmunizaciones!I53</f>
        <v>0</v>
      </c>
      <c r="P55" s="253">
        <f>Inmunizaciones!J53</f>
        <v>0</v>
      </c>
      <c r="Q55" s="272">
        <f>N55+O55+P55</f>
        <v>0</v>
      </c>
      <c r="R55" s="129"/>
      <c r="S55" s="129"/>
      <c r="T55" s="130"/>
    </row>
    <row r="56" spans="1:20" ht="12.75" customHeight="1" x14ac:dyDescent="0.2">
      <c r="A56" s="101"/>
      <c r="B56" s="666"/>
      <c r="C56" s="689"/>
      <c r="D56" s="617" t="s">
        <v>121</v>
      </c>
      <c r="E56" s="618"/>
      <c r="F56" s="110" t="s">
        <v>116</v>
      </c>
      <c r="G56" s="259"/>
      <c r="H56" s="253">
        <f>Inmunizaciones!F54</f>
        <v>0</v>
      </c>
      <c r="I56" s="253">
        <f>Inmunizaciones!G54</f>
        <v>0</v>
      </c>
      <c r="J56" s="272">
        <f>H56+I56</f>
        <v>0</v>
      </c>
      <c r="K56" s="129"/>
      <c r="L56" s="129"/>
      <c r="M56" s="130"/>
      <c r="N56" s="259"/>
      <c r="O56" s="253">
        <f>Inmunizaciones!I54</f>
        <v>0</v>
      </c>
      <c r="P56" s="253">
        <f>Inmunizaciones!J54</f>
        <v>0</v>
      </c>
      <c r="Q56" s="272">
        <f>O56+P56</f>
        <v>0</v>
      </c>
      <c r="R56" s="129"/>
      <c r="S56" s="129"/>
      <c r="T56" s="130"/>
    </row>
    <row r="57" spans="1:20" ht="12.75" customHeight="1" x14ac:dyDescent="0.2">
      <c r="A57" s="101"/>
      <c r="B57" s="666"/>
      <c r="C57" s="689"/>
      <c r="D57" s="620"/>
      <c r="E57" s="621"/>
      <c r="F57" s="108" t="s">
        <v>84</v>
      </c>
      <c r="G57" s="260"/>
      <c r="H57" s="253">
        <f>Inmunizaciones!F55</f>
        <v>0</v>
      </c>
      <c r="I57" s="253">
        <f>Inmunizaciones!G55</f>
        <v>0</v>
      </c>
      <c r="J57" s="272">
        <f>H57+I57</f>
        <v>0</v>
      </c>
      <c r="K57" s="129"/>
      <c r="L57" s="129"/>
      <c r="M57" s="130"/>
      <c r="N57" s="260"/>
      <c r="O57" s="253">
        <f>Inmunizaciones!I55</f>
        <v>0</v>
      </c>
      <c r="P57" s="253">
        <f>Inmunizaciones!J55</f>
        <v>0</v>
      </c>
      <c r="Q57" s="272">
        <f>O57+P57</f>
        <v>0</v>
      </c>
      <c r="R57" s="129"/>
      <c r="S57" s="129"/>
      <c r="T57" s="130"/>
    </row>
    <row r="58" spans="1:20" ht="12.75" customHeight="1" x14ac:dyDescent="0.2">
      <c r="A58" s="101"/>
      <c r="B58" s="666"/>
      <c r="C58" s="689"/>
      <c r="D58" s="623"/>
      <c r="E58" s="624"/>
      <c r="F58" s="114" t="s">
        <v>85</v>
      </c>
      <c r="G58" s="260"/>
      <c r="H58" s="261">
        <f>Inmunizaciones!F56</f>
        <v>0</v>
      </c>
      <c r="I58" s="261">
        <f>Inmunizaciones!G56</f>
        <v>0</v>
      </c>
      <c r="J58" s="272">
        <f>H58+I58</f>
        <v>0</v>
      </c>
      <c r="K58" s="129"/>
      <c r="L58" s="129"/>
      <c r="M58" s="130"/>
      <c r="N58" s="260"/>
      <c r="O58" s="261">
        <f>Inmunizaciones!I56</f>
        <v>0</v>
      </c>
      <c r="P58" s="261">
        <f>Inmunizaciones!J56</f>
        <v>0</v>
      </c>
      <c r="Q58" s="272">
        <f>O58+P58</f>
        <v>0</v>
      </c>
      <c r="R58" s="129"/>
      <c r="S58" s="129"/>
      <c r="T58" s="130"/>
    </row>
    <row r="59" spans="1:20" ht="12.75" customHeight="1" x14ac:dyDescent="0.2">
      <c r="A59" s="101"/>
      <c r="B59" s="666"/>
      <c r="C59" s="689"/>
      <c r="D59" s="691" t="s">
        <v>88</v>
      </c>
      <c r="E59" s="692"/>
      <c r="F59" s="693"/>
      <c r="G59" s="219">
        <f>Inmunizaciones!E57</f>
        <v>0</v>
      </c>
      <c r="H59" s="219">
        <f>Inmunizaciones!F57</f>
        <v>0</v>
      </c>
      <c r="I59" s="265"/>
      <c r="J59" s="287">
        <f>G59+H59</f>
        <v>0</v>
      </c>
      <c r="K59" s="153"/>
      <c r="L59" s="153"/>
      <c r="M59" s="154"/>
      <c r="N59" s="219">
        <f>Inmunizaciones!H57</f>
        <v>0</v>
      </c>
      <c r="O59" s="219">
        <f>Inmunizaciones!I57</f>
        <v>0</v>
      </c>
      <c r="P59" s="265"/>
      <c r="Q59" s="287">
        <f>N59+O59</f>
        <v>0</v>
      </c>
      <c r="R59" s="155"/>
      <c r="S59" s="129"/>
      <c r="T59" s="130"/>
    </row>
    <row r="60" spans="1:20" ht="12.75" customHeight="1" thickBot="1" x14ac:dyDescent="0.25">
      <c r="A60" s="101"/>
      <c r="B60" s="672"/>
      <c r="C60" s="690"/>
      <c r="D60" s="694" t="s">
        <v>122</v>
      </c>
      <c r="E60" s="695"/>
      <c r="F60" s="696"/>
      <c r="G60" s="266">
        <f>Inmunizaciones!E58</f>
        <v>0</v>
      </c>
      <c r="H60" s="267"/>
      <c r="I60" s="268"/>
      <c r="J60" s="278">
        <f>G60</f>
        <v>0</v>
      </c>
      <c r="K60" s="156"/>
      <c r="L60" s="156"/>
      <c r="M60" s="157"/>
      <c r="N60" s="266">
        <f>Inmunizaciones!H58</f>
        <v>0</v>
      </c>
      <c r="O60" s="267"/>
      <c r="P60" s="268"/>
      <c r="Q60" s="278">
        <f>N60</f>
        <v>0</v>
      </c>
      <c r="R60" s="145"/>
      <c r="S60" s="156"/>
      <c r="T60" s="157"/>
    </row>
    <row r="61" spans="1:20" ht="11.25" x14ac:dyDescent="0.2">
      <c r="A61" s="101"/>
      <c r="B61" s="147"/>
      <c r="C61" s="147"/>
      <c r="D61" s="148"/>
      <c r="E61" s="148"/>
      <c r="F61" s="92"/>
      <c r="G61" s="92"/>
      <c r="H61" s="92"/>
      <c r="I61" s="92"/>
      <c r="J61" s="92"/>
      <c r="K61" s="92"/>
      <c r="N61" s="92"/>
      <c r="O61" s="92"/>
      <c r="P61" s="92"/>
      <c r="Q61" s="92"/>
      <c r="R61" s="92"/>
      <c r="S61" s="92"/>
    </row>
    <row r="62" spans="1:20" ht="12" thickBot="1" x14ac:dyDescent="0.25">
      <c r="B62" s="91" t="s">
        <v>94</v>
      </c>
      <c r="C62" s="91"/>
      <c r="H62" s="93"/>
      <c r="I62" s="94"/>
      <c r="J62" s="149" t="s">
        <v>92</v>
      </c>
      <c r="K62" s="95"/>
      <c r="N62" s="91" t="s">
        <v>149</v>
      </c>
    </row>
    <row r="63" spans="1:20" ht="12" thickBot="1" x14ac:dyDescent="0.25">
      <c r="B63" s="600" t="s">
        <v>38</v>
      </c>
      <c r="C63" s="601"/>
      <c r="D63" s="601"/>
      <c r="E63" s="601"/>
      <c r="F63" s="602"/>
      <c r="G63" s="658" t="s">
        <v>13</v>
      </c>
      <c r="H63" s="659"/>
      <c r="I63" s="659"/>
      <c r="J63" s="660"/>
      <c r="K63" s="575" t="s">
        <v>24</v>
      </c>
      <c r="L63" s="576"/>
      <c r="M63" s="661"/>
      <c r="N63" s="91" t="s">
        <v>292</v>
      </c>
      <c r="R63" s="149" t="s">
        <v>92</v>
      </c>
      <c r="S63" s="95"/>
    </row>
    <row r="64" spans="1:20" ht="11.25" x14ac:dyDescent="0.2">
      <c r="B64" s="603"/>
      <c r="C64" s="604"/>
      <c r="D64" s="604"/>
      <c r="E64" s="604"/>
      <c r="F64" s="605"/>
      <c r="G64" s="97" t="s">
        <v>25</v>
      </c>
      <c r="H64" s="97" t="s">
        <v>26</v>
      </c>
      <c r="I64" s="97" t="s">
        <v>27</v>
      </c>
      <c r="J64" s="99" t="s">
        <v>10</v>
      </c>
      <c r="K64" s="100" t="s">
        <v>10</v>
      </c>
      <c r="L64" s="97" t="s">
        <v>19</v>
      </c>
      <c r="M64" s="122" t="s">
        <v>28</v>
      </c>
      <c r="N64" s="686" t="s">
        <v>150</v>
      </c>
      <c r="O64" s="658" t="s">
        <v>13</v>
      </c>
      <c r="P64" s="659"/>
      <c r="Q64" s="659"/>
      <c r="R64" s="660"/>
      <c r="S64" s="575" t="s">
        <v>31</v>
      </c>
      <c r="T64" s="661"/>
    </row>
    <row r="65" spans="1:20" ht="13.5" customHeight="1" x14ac:dyDescent="0.2">
      <c r="A65" s="101"/>
      <c r="B65" s="151" t="s">
        <v>147</v>
      </c>
      <c r="C65" s="124"/>
      <c r="D65" s="124"/>
      <c r="E65" s="124"/>
      <c r="F65" s="110" t="s">
        <v>25</v>
      </c>
      <c r="G65" s="219">
        <f>Inmunizaciones!K47</f>
        <v>0</v>
      </c>
      <c r="H65" s="251"/>
      <c r="I65" s="252"/>
      <c r="J65" s="286">
        <f>G65</f>
        <v>0</v>
      </c>
      <c r="K65" s="126"/>
      <c r="L65" s="126"/>
      <c r="M65" s="158"/>
      <c r="N65" s="687"/>
      <c r="O65" s="100" t="s">
        <v>25</v>
      </c>
      <c r="P65" s="97" t="s">
        <v>26</v>
      </c>
      <c r="Q65" s="97" t="s">
        <v>27</v>
      </c>
      <c r="R65" s="99" t="s">
        <v>10</v>
      </c>
      <c r="S65" s="99" t="s">
        <v>19</v>
      </c>
      <c r="T65" s="122" t="s">
        <v>28</v>
      </c>
    </row>
    <row r="66" spans="1:20" ht="13.5" customHeight="1" x14ac:dyDescent="0.2">
      <c r="A66" s="101"/>
      <c r="B66" s="151" t="s">
        <v>265</v>
      </c>
      <c r="C66" s="124"/>
      <c r="D66" s="124"/>
      <c r="E66" s="124"/>
      <c r="F66" s="110" t="s">
        <v>25</v>
      </c>
      <c r="G66" s="219">
        <f>Inmunizaciones!K48</f>
        <v>0</v>
      </c>
      <c r="H66" s="251"/>
      <c r="I66" s="252"/>
      <c r="J66" s="286">
        <f>G66</f>
        <v>0</v>
      </c>
      <c r="K66" s="126"/>
      <c r="L66" s="126"/>
      <c r="M66" s="158"/>
      <c r="N66" s="159" t="s">
        <v>151</v>
      </c>
      <c r="O66" s="219">
        <f>Inmunizaciones!C75</f>
        <v>0</v>
      </c>
      <c r="P66" s="271">
        <f>Inmunizaciones!D75</f>
        <v>0</v>
      </c>
      <c r="Q66" s="271">
        <f>Inmunizaciones!E75</f>
        <v>0</v>
      </c>
      <c r="R66" s="272">
        <f>O66+P66+Q66</f>
        <v>0</v>
      </c>
      <c r="S66" s="126"/>
      <c r="T66" s="158"/>
    </row>
    <row r="67" spans="1:20" ht="13.5" customHeight="1" x14ac:dyDescent="0.2">
      <c r="A67" s="101"/>
      <c r="B67" s="151" t="s">
        <v>148</v>
      </c>
      <c r="C67" s="124"/>
      <c r="D67" s="124"/>
      <c r="E67" s="124"/>
      <c r="F67" s="110" t="s">
        <v>25</v>
      </c>
      <c r="G67" s="219">
        <f>Inmunizaciones!K49</f>
        <v>0</v>
      </c>
      <c r="H67" s="251"/>
      <c r="I67" s="252"/>
      <c r="J67" s="286">
        <f>G67</f>
        <v>0</v>
      </c>
      <c r="K67" s="126"/>
      <c r="L67" s="126"/>
      <c r="M67" s="158"/>
      <c r="N67" s="159" t="s">
        <v>152</v>
      </c>
      <c r="O67" s="253">
        <f>Inmunizaciones!C76</f>
        <v>0</v>
      </c>
      <c r="P67" s="271">
        <f>Inmunizaciones!D76</f>
        <v>0</v>
      </c>
      <c r="Q67" s="271">
        <f>Inmunizaciones!E76</f>
        <v>0</v>
      </c>
      <c r="R67" s="272">
        <f>O67+P67+Q67</f>
        <v>0</v>
      </c>
      <c r="S67" s="126"/>
      <c r="T67" s="158"/>
    </row>
    <row r="68" spans="1:20" ht="13.5" customHeight="1" x14ac:dyDescent="0.2">
      <c r="A68" s="101"/>
      <c r="B68" s="663" t="s">
        <v>143</v>
      </c>
      <c r="C68" s="651"/>
      <c r="D68" s="651"/>
      <c r="E68" s="651"/>
      <c r="F68" s="652"/>
      <c r="G68" s="253">
        <f>Inmunizaciones!K50</f>
        <v>0</v>
      </c>
      <c r="H68" s="251"/>
      <c r="I68" s="252"/>
      <c r="J68" s="272">
        <f>G68</f>
        <v>0</v>
      </c>
      <c r="K68" s="129"/>
      <c r="L68" s="129"/>
      <c r="M68" s="158"/>
      <c r="N68" s="159" t="s">
        <v>153</v>
      </c>
      <c r="O68" s="253">
        <f>Inmunizaciones!C77</f>
        <v>0</v>
      </c>
      <c r="P68" s="271">
        <f>Inmunizaciones!D77</f>
        <v>0</v>
      </c>
      <c r="Q68" s="271">
        <f>Inmunizaciones!E77</f>
        <v>0</v>
      </c>
      <c r="R68" s="272">
        <f>O68+P68+Q68</f>
        <v>0</v>
      </c>
      <c r="S68" s="129"/>
      <c r="T68" s="160"/>
    </row>
    <row r="69" spans="1:20" ht="13.5" customHeight="1" thickBot="1" x14ac:dyDescent="0.25">
      <c r="A69" s="101"/>
      <c r="B69" s="670" t="s">
        <v>145</v>
      </c>
      <c r="C69" s="671"/>
      <c r="D69" s="702" t="s">
        <v>7</v>
      </c>
      <c r="E69" s="582"/>
      <c r="F69" s="110" t="s">
        <v>104</v>
      </c>
      <c r="G69" s="219">
        <f>Inmunizaciones!K51</f>
        <v>0</v>
      </c>
      <c r="H69" s="219">
        <f>Inmunizaciones!L51</f>
        <v>0</v>
      </c>
      <c r="I69" s="255"/>
      <c r="J69" s="272">
        <f>G69+H69</f>
        <v>0</v>
      </c>
      <c r="K69" s="129"/>
      <c r="L69" s="129"/>
      <c r="M69" s="158"/>
      <c r="N69" s="161" t="s">
        <v>154</v>
      </c>
      <c r="O69" s="266">
        <f>Inmunizaciones!C78</f>
        <v>0</v>
      </c>
      <c r="P69" s="273">
        <f>Inmunizaciones!D78</f>
        <v>0</v>
      </c>
      <c r="Q69" s="273">
        <f>Inmunizaciones!E78</f>
        <v>0</v>
      </c>
      <c r="R69" s="274">
        <f>O69+P69+Q69</f>
        <v>0</v>
      </c>
      <c r="S69" s="156"/>
      <c r="T69" s="162"/>
    </row>
    <row r="70" spans="1:20" ht="13.5" customHeight="1" thickBot="1" x14ac:dyDescent="0.25">
      <c r="A70" s="101"/>
      <c r="B70" s="666"/>
      <c r="C70" s="667"/>
      <c r="D70" s="703"/>
      <c r="E70" s="588"/>
      <c r="F70" s="108" t="s">
        <v>105</v>
      </c>
      <c r="G70" s="256"/>
      <c r="H70" s="257"/>
      <c r="I70" s="253">
        <f>Inmunizaciones!M52</f>
        <v>0</v>
      </c>
      <c r="J70" s="272">
        <f>I70</f>
        <v>0</v>
      </c>
      <c r="K70" s="129"/>
      <c r="L70" s="129"/>
      <c r="M70" s="158"/>
      <c r="N70" s="91" t="s">
        <v>293</v>
      </c>
      <c r="R70" s="149" t="s">
        <v>92</v>
      </c>
      <c r="S70" s="95"/>
    </row>
    <row r="71" spans="1:20" ht="12.75" customHeight="1" x14ac:dyDescent="0.2">
      <c r="A71" s="101"/>
      <c r="B71" s="666"/>
      <c r="C71" s="667"/>
      <c r="D71" s="704" t="s">
        <v>40</v>
      </c>
      <c r="E71" s="614"/>
      <c r="F71" s="615"/>
      <c r="G71" s="264">
        <f>Inmunizaciones!K53</f>
        <v>0</v>
      </c>
      <c r="H71" s="253">
        <f>Inmunizaciones!L53</f>
        <v>0</v>
      </c>
      <c r="I71" s="253">
        <f>Inmunizaciones!M53</f>
        <v>0</v>
      </c>
      <c r="J71" s="272">
        <f>G71+H71+I71</f>
        <v>0</v>
      </c>
      <c r="K71" s="129"/>
      <c r="L71" s="129"/>
      <c r="M71" s="163"/>
      <c r="N71" s="705" t="s">
        <v>150</v>
      </c>
      <c r="O71" s="707" t="s">
        <v>13</v>
      </c>
      <c r="P71" s="707"/>
      <c r="Q71" s="707"/>
      <c r="R71" s="164"/>
      <c r="S71" s="165" t="s">
        <v>31</v>
      </c>
      <c r="T71" s="166"/>
    </row>
    <row r="72" spans="1:20" ht="12.75" customHeight="1" x14ac:dyDescent="0.2">
      <c r="A72" s="101"/>
      <c r="B72" s="666"/>
      <c r="C72" s="667"/>
      <c r="D72" s="708" t="s">
        <v>121</v>
      </c>
      <c r="E72" s="709"/>
      <c r="F72" s="110" t="s">
        <v>116</v>
      </c>
      <c r="G72" s="259"/>
      <c r="H72" s="253">
        <f>Inmunizaciones!L54</f>
        <v>0</v>
      </c>
      <c r="I72" s="253">
        <f>Inmunizaciones!M54</f>
        <v>0</v>
      </c>
      <c r="J72" s="272">
        <f>H72+I72</f>
        <v>0</v>
      </c>
      <c r="K72" s="129"/>
      <c r="L72" s="129"/>
      <c r="M72" s="163"/>
      <c r="N72" s="706"/>
      <c r="O72" s="99" t="s">
        <v>25</v>
      </c>
      <c r="P72" s="99" t="s">
        <v>26</v>
      </c>
      <c r="Q72" s="99" t="s">
        <v>27</v>
      </c>
      <c r="R72" s="99" t="s">
        <v>10</v>
      </c>
      <c r="S72" s="99" t="s">
        <v>19</v>
      </c>
      <c r="T72" s="122" t="s">
        <v>28</v>
      </c>
    </row>
    <row r="73" spans="1:20" ht="12.75" customHeight="1" x14ac:dyDescent="0.2">
      <c r="A73" s="101"/>
      <c r="B73" s="666"/>
      <c r="C73" s="667"/>
      <c r="D73" s="710"/>
      <c r="E73" s="711"/>
      <c r="F73" s="108" t="s">
        <v>84</v>
      </c>
      <c r="G73" s="260"/>
      <c r="H73" s="253">
        <f>Inmunizaciones!L55</f>
        <v>0</v>
      </c>
      <c r="I73" s="253">
        <f>Inmunizaciones!M55</f>
        <v>0</v>
      </c>
      <c r="J73" s="272">
        <f>H73+I73</f>
        <v>0</v>
      </c>
      <c r="K73" s="129"/>
      <c r="L73" s="129"/>
      <c r="M73" s="163"/>
      <c r="N73" s="167" t="s">
        <v>151</v>
      </c>
      <c r="O73" s="219">
        <f>Inmunizaciones!C66</f>
        <v>0</v>
      </c>
      <c r="P73" s="275">
        <f>Inmunizaciones!D66</f>
        <v>0</v>
      </c>
      <c r="Q73" s="275">
        <f>Inmunizaciones!E66</f>
        <v>0</v>
      </c>
      <c r="R73" s="276">
        <f>O73+P73+Q73</f>
        <v>0</v>
      </c>
      <c r="S73" s="155"/>
      <c r="T73" s="168"/>
    </row>
    <row r="74" spans="1:20" ht="12.75" customHeight="1" x14ac:dyDescent="0.2">
      <c r="A74" s="101"/>
      <c r="B74" s="666"/>
      <c r="C74" s="667"/>
      <c r="D74" s="712"/>
      <c r="E74" s="713"/>
      <c r="F74" s="114" t="s">
        <v>85</v>
      </c>
      <c r="G74" s="260"/>
      <c r="H74" s="253">
        <f>Inmunizaciones!L56</f>
        <v>0</v>
      </c>
      <c r="I74" s="253">
        <f>Inmunizaciones!M56</f>
        <v>0</v>
      </c>
      <c r="J74" s="272">
        <f>H74+I74</f>
        <v>0</v>
      </c>
      <c r="K74" s="129"/>
      <c r="L74" s="129"/>
      <c r="M74" s="163"/>
      <c r="N74" s="167" t="s">
        <v>152</v>
      </c>
      <c r="O74" s="219">
        <f>Inmunizaciones!C67</f>
        <v>0</v>
      </c>
      <c r="P74" s="275">
        <f>Inmunizaciones!D67</f>
        <v>0</v>
      </c>
      <c r="Q74" s="275">
        <f>Inmunizaciones!E67</f>
        <v>0</v>
      </c>
      <c r="R74" s="276">
        <f>O74+P74+Q74</f>
        <v>0</v>
      </c>
      <c r="S74" s="155"/>
      <c r="T74" s="168"/>
    </row>
    <row r="75" spans="1:20" ht="12.75" customHeight="1" x14ac:dyDescent="0.2">
      <c r="A75" s="101"/>
      <c r="B75" s="666"/>
      <c r="C75" s="667"/>
      <c r="D75" s="714" t="s">
        <v>88</v>
      </c>
      <c r="E75" s="715"/>
      <c r="F75" s="716"/>
      <c r="G75" s="219">
        <f>Inmunizaciones!K57</f>
        <v>0</v>
      </c>
      <c r="H75" s="219">
        <f>Inmunizaciones!L57</f>
        <v>0</v>
      </c>
      <c r="I75" s="265"/>
      <c r="J75" s="276">
        <f>G75+H75</f>
        <v>0</v>
      </c>
      <c r="K75" s="129"/>
      <c r="L75" s="129"/>
      <c r="M75" s="163"/>
      <c r="N75" s="167" t="s">
        <v>153</v>
      </c>
      <c r="O75" s="219">
        <f>Inmunizaciones!C68</f>
        <v>0</v>
      </c>
      <c r="P75" s="275">
        <f>Inmunizaciones!D68</f>
        <v>0</v>
      </c>
      <c r="Q75" s="275">
        <f>Inmunizaciones!E68</f>
        <v>0</v>
      </c>
      <c r="R75" s="276">
        <f>O75+P75+Q75</f>
        <v>0</v>
      </c>
      <c r="S75" s="155"/>
      <c r="T75" s="168"/>
    </row>
    <row r="76" spans="1:20" ht="12.75" customHeight="1" x14ac:dyDescent="0.2">
      <c r="A76" s="101"/>
      <c r="B76" s="668"/>
      <c r="C76" s="669"/>
      <c r="D76" s="717" t="s">
        <v>122</v>
      </c>
      <c r="E76" s="718"/>
      <c r="F76" s="719"/>
      <c r="G76" s="269">
        <f>Inmunizaciones!K58</f>
        <v>0</v>
      </c>
      <c r="H76" s="256"/>
      <c r="I76" s="252"/>
      <c r="J76" s="276">
        <f>G76</f>
        <v>0</v>
      </c>
      <c r="K76" s="129"/>
      <c r="L76" s="129"/>
      <c r="M76" s="163"/>
      <c r="N76" s="167" t="s">
        <v>154</v>
      </c>
      <c r="O76" s="219">
        <f>Inmunizaciones!C69</f>
        <v>0</v>
      </c>
      <c r="P76" s="275">
        <f>Inmunizaciones!D69</f>
        <v>0</v>
      </c>
      <c r="Q76" s="275">
        <f>Inmunizaciones!E69</f>
        <v>0</v>
      </c>
      <c r="R76" s="276">
        <f>O76+P76+Q76</f>
        <v>0</v>
      </c>
      <c r="S76" s="155"/>
      <c r="T76" s="168"/>
    </row>
    <row r="77" spans="1:20" ht="12.75" customHeight="1" x14ac:dyDescent="0.2">
      <c r="A77" s="101"/>
      <c r="B77" s="151" t="s">
        <v>101</v>
      </c>
      <c r="C77" s="124"/>
      <c r="D77" s="124"/>
      <c r="E77" s="124"/>
      <c r="F77" s="108" t="s">
        <v>266</v>
      </c>
      <c r="G77" s="259"/>
      <c r="H77" s="219">
        <f>Inmunizaciones!L59</f>
        <v>0</v>
      </c>
      <c r="I77" s="252"/>
      <c r="J77" s="276">
        <f>H77</f>
        <v>0</v>
      </c>
      <c r="K77" s="129"/>
      <c r="L77" s="129"/>
      <c r="M77" s="163"/>
      <c r="N77" s="167" t="s">
        <v>267</v>
      </c>
      <c r="O77" s="219">
        <f>Inmunizaciones!C70</f>
        <v>0</v>
      </c>
      <c r="P77" s="275">
        <f>Inmunizaciones!D70</f>
        <v>0</v>
      </c>
      <c r="Q77" s="275">
        <f>Inmunizaciones!E70</f>
        <v>0</v>
      </c>
      <c r="R77" s="276">
        <f t="shared" ref="R77:R78" si="0">O77+P77+Q77</f>
        <v>0</v>
      </c>
      <c r="S77" s="155"/>
      <c r="T77" s="168"/>
    </row>
    <row r="78" spans="1:20" ht="12.75" customHeight="1" thickBot="1" x14ac:dyDescent="0.25">
      <c r="A78" s="101"/>
      <c r="B78" s="169" t="s">
        <v>155</v>
      </c>
      <c r="C78" s="170"/>
      <c r="D78" s="170"/>
      <c r="E78" s="170"/>
      <c r="F78" s="108" t="s">
        <v>266</v>
      </c>
      <c r="G78" s="270"/>
      <c r="H78" s="266">
        <f>Inmunizaciones!L60</f>
        <v>0</v>
      </c>
      <c r="I78" s="268"/>
      <c r="J78" s="278">
        <f>H78</f>
        <v>0</v>
      </c>
      <c r="K78" s="156"/>
      <c r="L78" s="156"/>
      <c r="M78" s="171"/>
      <c r="N78" s="172" t="s">
        <v>268</v>
      </c>
      <c r="O78" s="220">
        <f>Inmunizaciones!C71</f>
        <v>0</v>
      </c>
      <c r="P78" s="277">
        <f>Inmunizaciones!D71</f>
        <v>0</v>
      </c>
      <c r="Q78" s="277">
        <f>Inmunizaciones!E71</f>
        <v>0</v>
      </c>
      <c r="R78" s="278">
        <f t="shared" si="0"/>
        <v>0</v>
      </c>
      <c r="S78" s="145"/>
      <c r="T78" s="173"/>
    </row>
    <row r="79" spans="1:20" ht="11.25" x14ac:dyDescent="0.2">
      <c r="N79" s="174"/>
      <c r="O79" s="174"/>
      <c r="P79" s="174"/>
      <c r="Q79" s="174"/>
      <c r="R79" s="174"/>
      <c r="S79" s="174"/>
    </row>
    <row r="80" spans="1:20" ht="13.5" customHeight="1" thickBot="1" x14ac:dyDescent="0.25">
      <c r="B80" s="91" t="s">
        <v>156</v>
      </c>
      <c r="C80" s="91"/>
      <c r="H80" s="91" t="s">
        <v>157</v>
      </c>
      <c r="I80" s="91"/>
      <c r="K80" s="174"/>
      <c r="L80" s="174"/>
      <c r="N80" s="91" t="s">
        <v>158</v>
      </c>
    </row>
    <row r="81" spans="1:20" ht="12" thickBot="1" x14ac:dyDescent="0.25">
      <c r="B81" s="91" t="s">
        <v>159</v>
      </c>
      <c r="E81" s="174"/>
      <c r="F81" s="174"/>
      <c r="G81" s="147"/>
      <c r="H81" s="91" t="s">
        <v>160</v>
      </c>
      <c r="L81" s="147"/>
      <c r="N81" s="686" t="s">
        <v>150</v>
      </c>
      <c r="O81" s="659" t="s">
        <v>13</v>
      </c>
      <c r="P81" s="659"/>
      <c r="Q81" s="659"/>
      <c r="R81" s="660"/>
      <c r="S81" s="575" t="s">
        <v>31</v>
      </c>
      <c r="T81" s="661"/>
    </row>
    <row r="82" spans="1:20" ht="12.75" customHeight="1" x14ac:dyDescent="0.2">
      <c r="B82" s="600" t="s">
        <v>161</v>
      </c>
      <c r="C82" s="601"/>
      <c r="D82" s="601"/>
      <c r="E82" s="602"/>
      <c r="F82" s="697" t="s">
        <v>10</v>
      </c>
      <c r="G82" s="147"/>
      <c r="H82" s="600" t="s">
        <v>269</v>
      </c>
      <c r="I82" s="601"/>
      <c r="J82" s="601"/>
      <c r="K82" s="602"/>
      <c r="L82" s="697" t="s">
        <v>10</v>
      </c>
      <c r="N82" s="687"/>
      <c r="O82" s="100" t="s">
        <v>25</v>
      </c>
      <c r="P82" s="97" t="s">
        <v>26</v>
      </c>
      <c r="Q82" s="97" t="s">
        <v>27</v>
      </c>
      <c r="R82" s="99" t="s">
        <v>10</v>
      </c>
      <c r="S82" s="99" t="s">
        <v>19</v>
      </c>
      <c r="T82" s="122" t="s">
        <v>28</v>
      </c>
    </row>
    <row r="83" spans="1:20" ht="12.75" customHeight="1" x14ac:dyDescent="0.2">
      <c r="B83" s="603"/>
      <c r="C83" s="604"/>
      <c r="D83" s="604"/>
      <c r="E83" s="605"/>
      <c r="F83" s="698"/>
      <c r="G83" s="147"/>
      <c r="H83" s="699"/>
      <c r="I83" s="700"/>
      <c r="J83" s="700"/>
      <c r="K83" s="701"/>
      <c r="L83" s="698"/>
      <c r="M83" s="175"/>
      <c r="N83" s="167" t="s">
        <v>151</v>
      </c>
      <c r="O83" s="219">
        <f>Inmunizaciones!C135</f>
        <v>0</v>
      </c>
      <c r="P83" s="275">
        <f>Inmunizaciones!D135</f>
        <v>0</v>
      </c>
      <c r="Q83" s="275">
        <f>Inmunizaciones!E135</f>
        <v>0</v>
      </c>
      <c r="R83" s="276">
        <f>O83+P83+Q83</f>
        <v>0</v>
      </c>
      <c r="S83" s="155"/>
      <c r="T83" s="168"/>
    </row>
    <row r="84" spans="1:20" ht="12.75" customHeight="1" x14ac:dyDescent="0.2">
      <c r="A84" s="101"/>
      <c r="B84" s="722" t="s">
        <v>270</v>
      </c>
      <c r="C84" s="723"/>
      <c r="D84" s="176" t="s">
        <v>162</v>
      </c>
      <c r="E84" s="177"/>
      <c r="F84" s="227">
        <f>Inmunizaciones!D102</f>
        <v>0</v>
      </c>
      <c r="G84" s="101"/>
      <c r="H84" s="670" t="s">
        <v>163</v>
      </c>
      <c r="I84" s="688"/>
      <c r="J84" s="176" t="s">
        <v>162</v>
      </c>
      <c r="K84" s="178"/>
      <c r="L84" s="227">
        <f>Inmunizaciones!C149</f>
        <v>0</v>
      </c>
      <c r="M84" s="175"/>
      <c r="N84" s="167" t="s">
        <v>152</v>
      </c>
      <c r="O84" s="219">
        <f>Inmunizaciones!C136</f>
        <v>0</v>
      </c>
      <c r="P84" s="275">
        <f>Inmunizaciones!D136</f>
        <v>0</v>
      </c>
      <c r="Q84" s="275">
        <f>Inmunizaciones!E136</f>
        <v>0</v>
      </c>
      <c r="R84" s="276">
        <f>O84+P84+Q84</f>
        <v>0</v>
      </c>
      <c r="S84" s="155"/>
      <c r="T84" s="168"/>
    </row>
    <row r="85" spans="1:20" ht="12.75" customHeight="1" x14ac:dyDescent="0.2">
      <c r="A85" s="101"/>
      <c r="B85" s="724"/>
      <c r="C85" s="725"/>
      <c r="D85" s="176" t="s">
        <v>95</v>
      </c>
      <c r="E85" s="177"/>
      <c r="F85" s="227">
        <f>Inmunizaciones!D103</f>
        <v>0</v>
      </c>
      <c r="G85" s="101"/>
      <c r="H85" s="666"/>
      <c r="I85" s="689"/>
      <c r="J85" s="176" t="s">
        <v>95</v>
      </c>
      <c r="K85" s="178"/>
      <c r="L85" s="227">
        <f>Inmunizaciones!C150</f>
        <v>0</v>
      </c>
      <c r="M85" s="175"/>
      <c r="N85" s="167" t="s">
        <v>153</v>
      </c>
      <c r="O85" s="219">
        <f>Inmunizaciones!C137</f>
        <v>0</v>
      </c>
      <c r="P85" s="275">
        <f>Inmunizaciones!D137</f>
        <v>0</v>
      </c>
      <c r="Q85" s="275">
        <f>Inmunizaciones!E137</f>
        <v>0</v>
      </c>
      <c r="R85" s="276">
        <f>O85+P85+Q85</f>
        <v>0</v>
      </c>
      <c r="S85" s="155"/>
      <c r="T85" s="168"/>
    </row>
    <row r="86" spans="1:20" ht="12.75" customHeight="1" x14ac:dyDescent="0.2">
      <c r="A86" s="101"/>
      <c r="B86" s="724"/>
      <c r="C86" s="725"/>
      <c r="D86" s="176" t="s">
        <v>96</v>
      </c>
      <c r="E86" s="177"/>
      <c r="F86" s="227">
        <f>Inmunizaciones!D104</f>
        <v>0</v>
      </c>
      <c r="G86" s="101"/>
      <c r="H86" s="666"/>
      <c r="I86" s="689"/>
      <c r="J86" s="176" t="s">
        <v>96</v>
      </c>
      <c r="K86" s="178"/>
      <c r="L86" s="228">
        <f>Inmunizaciones!C151</f>
        <v>0</v>
      </c>
      <c r="M86" s="175"/>
      <c r="N86" s="167" t="s">
        <v>164</v>
      </c>
      <c r="O86" s="219">
        <f>Inmunizaciones!C138</f>
        <v>0</v>
      </c>
      <c r="P86" s="275">
        <f>Inmunizaciones!D138</f>
        <v>0</v>
      </c>
      <c r="Q86" s="275">
        <f>Inmunizaciones!E138</f>
        <v>0</v>
      </c>
      <c r="R86" s="276">
        <f>O86+P86+Q86</f>
        <v>0</v>
      </c>
      <c r="S86" s="155"/>
      <c r="T86" s="168"/>
    </row>
    <row r="87" spans="1:20" ht="12.75" customHeight="1" x14ac:dyDescent="0.2">
      <c r="A87" s="101"/>
      <c r="B87" s="724"/>
      <c r="C87" s="725"/>
      <c r="D87" s="176" t="s">
        <v>97</v>
      </c>
      <c r="E87" s="177"/>
      <c r="F87" s="227">
        <f>Inmunizaciones!D105</f>
        <v>0</v>
      </c>
      <c r="G87" s="101"/>
      <c r="H87" s="666"/>
      <c r="I87" s="689"/>
      <c r="J87" s="179" t="s">
        <v>97</v>
      </c>
      <c r="K87" s="180"/>
      <c r="L87" s="227">
        <f>Inmunizaciones!C152</f>
        <v>0</v>
      </c>
      <c r="M87" s="175"/>
      <c r="N87" s="167" t="s">
        <v>271</v>
      </c>
      <c r="O87" s="219">
        <f>Inmunizaciones!C139</f>
        <v>0</v>
      </c>
      <c r="P87" s="275">
        <f>Inmunizaciones!D139</f>
        <v>0</v>
      </c>
      <c r="Q87" s="275">
        <f>Inmunizaciones!E139</f>
        <v>0</v>
      </c>
      <c r="R87" s="276">
        <f>O87+P87+Q87</f>
        <v>0</v>
      </c>
      <c r="S87" s="155"/>
      <c r="T87" s="168"/>
    </row>
    <row r="88" spans="1:20" ht="12" customHeight="1" x14ac:dyDescent="0.2">
      <c r="A88" s="101"/>
      <c r="B88" s="726"/>
      <c r="C88" s="727"/>
      <c r="D88" s="176" t="s">
        <v>272</v>
      </c>
      <c r="E88" s="177"/>
      <c r="F88" s="227">
        <f>Inmunizaciones!D106</f>
        <v>0</v>
      </c>
      <c r="G88" s="147"/>
      <c r="H88" s="181" t="s">
        <v>273</v>
      </c>
      <c r="I88" s="182"/>
      <c r="J88" s="182"/>
      <c r="K88" s="183"/>
      <c r="L88" s="228">
        <f>Inmunizaciones!C153</f>
        <v>0</v>
      </c>
      <c r="M88" s="184" t="s">
        <v>176</v>
      </c>
      <c r="N88" s="706" t="s">
        <v>274</v>
      </c>
      <c r="O88" s="729">
        <f>Inmunizaciones!C140</f>
        <v>0</v>
      </c>
      <c r="P88" s="731"/>
      <c r="Q88" s="731"/>
      <c r="R88" s="743">
        <v>0</v>
      </c>
      <c r="S88" s="729"/>
      <c r="T88" s="745"/>
    </row>
    <row r="89" spans="1:20" ht="12.75" customHeight="1" x14ac:dyDescent="0.2">
      <c r="A89" s="101"/>
      <c r="B89" s="720" t="s">
        <v>275</v>
      </c>
      <c r="C89" s="721"/>
      <c r="D89" s="176" t="s">
        <v>162</v>
      </c>
      <c r="E89" s="177"/>
      <c r="F89" s="227">
        <f>Inmunizaciones!D107</f>
        <v>0</v>
      </c>
      <c r="G89" s="147"/>
      <c r="H89" s="181" t="s">
        <v>276</v>
      </c>
      <c r="I89" s="182"/>
      <c r="J89" s="182"/>
      <c r="K89" s="183"/>
      <c r="L89" s="228">
        <f>Inmunizaciones!C154</f>
        <v>0</v>
      </c>
      <c r="M89" s="184" t="s">
        <v>176</v>
      </c>
      <c r="N89" s="706"/>
      <c r="O89" s="729">
        <f>Inmunizaciones!C141</f>
        <v>0</v>
      </c>
      <c r="P89" s="731"/>
      <c r="Q89" s="731"/>
      <c r="R89" s="743"/>
      <c r="S89" s="729"/>
      <c r="T89" s="745"/>
    </row>
    <row r="90" spans="1:20" ht="12" thickBot="1" x14ac:dyDescent="0.25">
      <c r="A90" s="101"/>
      <c r="B90" s="720"/>
      <c r="C90" s="721"/>
      <c r="D90" s="176" t="s">
        <v>95</v>
      </c>
      <c r="E90" s="177"/>
      <c r="F90" s="227">
        <f>Inmunizaciones!D108</f>
        <v>0</v>
      </c>
      <c r="G90" s="147"/>
      <c r="H90" s="181" t="s">
        <v>277</v>
      </c>
      <c r="I90" s="182"/>
      <c r="J90" s="182"/>
      <c r="K90" s="183"/>
      <c r="L90" s="228">
        <f>Inmunizaciones!C155</f>
        <v>0</v>
      </c>
      <c r="M90" s="184" t="s">
        <v>176</v>
      </c>
      <c r="N90" s="728"/>
      <c r="O90" s="730">
        <f>Inmunizaciones!C142</f>
        <v>0</v>
      </c>
      <c r="P90" s="732"/>
      <c r="Q90" s="732"/>
      <c r="R90" s="744"/>
      <c r="S90" s="730"/>
      <c r="T90" s="746"/>
    </row>
    <row r="91" spans="1:20" ht="12.75" customHeight="1" x14ac:dyDescent="0.2">
      <c r="A91" s="101"/>
      <c r="B91" s="720"/>
      <c r="C91" s="721"/>
      <c r="D91" s="176" t="s">
        <v>96</v>
      </c>
      <c r="E91" s="177"/>
      <c r="F91" s="227">
        <f>Inmunizaciones!D109</f>
        <v>0</v>
      </c>
      <c r="G91" s="147"/>
      <c r="H91" s="181" t="s">
        <v>278</v>
      </c>
      <c r="I91" s="182"/>
      <c r="J91" s="182"/>
      <c r="K91" s="183"/>
      <c r="L91" s="228">
        <f>Inmunizaciones!C156</f>
        <v>0</v>
      </c>
      <c r="M91" s="184" t="s">
        <v>176</v>
      </c>
      <c r="N91" s="185"/>
      <c r="O91" s="91"/>
      <c r="P91" s="120"/>
      <c r="Q91" s="174"/>
      <c r="R91" s="174"/>
      <c r="S91" s="120"/>
      <c r="T91" s="120"/>
    </row>
    <row r="92" spans="1:20" ht="12.75" customHeight="1" x14ac:dyDescent="0.2">
      <c r="A92" s="101"/>
      <c r="B92" s="720"/>
      <c r="C92" s="721"/>
      <c r="D92" s="176" t="s">
        <v>97</v>
      </c>
      <c r="E92" s="177"/>
      <c r="F92" s="227">
        <f>Inmunizaciones!D110</f>
        <v>0</v>
      </c>
      <c r="G92" s="184"/>
      <c r="H92" s="181" t="s">
        <v>279</v>
      </c>
      <c r="I92" s="182"/>
      <c r="J92" s="182"/>
      <c r="K92" s="183"/>
      <c r="L92" s="228">
        <f>Inmunizaciones!C157</f>
        <v>0</v>
      </c>
      <c r="M92" s="184" t="s">
        <v>176</v>
      </c>
      <c r="O92" s="91"/>
      <c r="P92" s="91" t="s">
        <v>166</v>
      </c>
      <c r="R92" s="120"/>
      <c r="T92" s="120"/>
    </row>
    <row r="93" spans="1:20" ht="12.75" customHeight="1" x14ac:dyDescent="0.2">
      <c r="A93" s="101"/>
      <c r="B93" s="720"/>
      <c r="C93" s="721"/>
      <c r="D93" s="176" t="s">
        <v>272</v>
      </c>
      <c r="E93" s="177"/>
      <c r="F93" s="227">
        <f>Inmunizaciones!D111</f>
        <v>0</v>
      </c>
      <c r="G93" s="184"/>
      <c r="H93" s="181" t="s">
        <v>256</v>
      </c>
      <c r="I93" s="182"/>
      <c r="J93" s="182"/>
      <c r="K93" s="183"/>
      <c r="L93" s="228">
        <f>Inmunizaciones!C158</f>
        <v>0</v>
      </c>
      <c r="M93" s="184" t="s">
        <v>176</v>
      </c>
      <c r="O93" s="91"/>
      <c r="P93" s="91" t="s">
        <v>168</v>
      </c>
      <c r="R93" s="120"/>
      <c r="T93" s="120"/>
    </row>
    <row r="94" spans="1:20" ht="12.75" customHeight="1" thickBot="1" x14ac:dyDescent="0.25">
      <c r="A94" s="101"/>
      <c r="B94" s="186" t="s">
        <v>215</v>
      </c>
      <c r="C94" s="187"/>
      <c r="D94" s="91"/>
      <c r="E94" s="188"/>
      <c r="F94" s="227">
        <f>Inmunizaciones!D112</f>
        <v>0</v>
      </c>
      <c r="G94" s="184"/>
      <c r="H94" s="181" t="s">
        <v>280</v>
      </c>
      <c r="I94" s="182"/>
      <c r="J94" s="182"/>
      <c r="K94" s="183"/>
      <c r="L94" s="228">
        <f>Inmunizaciones!C159</f>
        <v>0</v>
      </c>
      <c r="M94" s="184" t="s">
        <v>176</v>
      </c>
      <c r="O94" s="91"/>
      <c r="P94" s="91" t="s">
        <v>169</v>
      </c>
      <c r="R94" s="120"/>
      <c r="T94" s="120"/>
    </row>
    <row r="95" spans="1:20" ht="12.75" customHeight="1" thickBot="1" x14ac:dyDescent="0.25">
      <c r="A95" s="101"/>
      <c r="B95" s="189" t="s">
        <v>125</v>
      </c>
      <c r="C95" s="190"/>
      <c r="D95" s="191"/>
      <c r="E95" s="191"/>
      <c r="F95" s="218">
        <f>Inmunizaciones!D113</f>
        <v>0</v>
      </c>
      <c r="G95" s="184" t="s">
        <v>176</v>
      </c>
      <c r="H95" s="192" t="s">
        <v>281</v>
      </c>
      <c r="I95" s="193"/>
      <c r="J95" s="193"/>
      <c r="K95" s="194"/>
      <c r="L95" s="229">
        <f>Inmunizaciones!C160</f>
        <v>0</v>
      </c>
      <c r="M95" s="195" t="s">
        <v>176</v>
      </c>
      <c r="O95" s="91"/>
      <c r="P95" s="600" t="s">
        <v>282</v>
      </c>
      <c r="Q95" s="602"/>
      <c r="R95" s="697" t="s">
        <v>10</v>
      </c>
      <c r="T95" s="120"/>
    </row>
    <row r="96" spans="1:20" ht="12.75" customHeight="1" x14ac:dyDescent="0.2">
      <c r="B96" s="189" t="s">
        <v>126</v>
      </c>
      <c r="C96" s="190"/>
      <c r="D96" s="191"/>
      <c r="E96" s="191"/>
      <c r="F96" s="218">
        <f>Inmunizaciones!D114</f>
        <v>0</v>
      </c>
      <c r="G96" s="195" t="s">
        <v>176</v>
      </c>
      <c r="H96" s="196" t="s">
        <v>175</v>
      </c>
      <c r="O96" s="91"/>
      <c r="P96" s="603" t="s">
        <v>283</v>
      </c>
      <c r="Q96" s="605"/>
      <c r="R96" s="698"/>
      <c r="T96" s="120"/>
    </row>
    <row r="97" spans="2:30" ht="11.25" x14ac:dyDescent="0.2">
      <c r="B97" s="189" t="s">
        <v>45</v>
      </c>
      <c r="C97" s="190"/>
      <c r="D97" s="191"/>
      <c r="E97" s="191"/>
      <c r="F97" s="218">
        <f>Inmunizaciones!D115</f>
        <v>0</v>
      </c>
      <c r="G97" s="195" t="s">
        <v>176</v>
      </c>
      <c r="O97" s="91"/>
      <c r="P97" s="197" t="s">
        <v>162</v>
      </c>
      <c r="Q97" s="178"/>
      <c r="R97" s="228">
        <f>Inmunizaciones!C95</f>
        <v>0</v>
      </c>
      <c r="T97" s="120"/>
    </row>
    <row r="98" spans="2:30" ht="11.25" x14ac:dyDescent="0.2">
      <c r="B98" s="189" t="s">
        <v>284</v>
      </c>
      <c r="C98" s="190"/>
      <c r="D98" s="191"/>
      <c r="E98" s="191"/>
      <c r="F98" s="218">
        <f>Inmunizaciones!D116</f>
        <v>0</v>
      </c>
      <c r="G98" s="195" t="s">
        <v>176</v>
      </c>
      <c r="O98" s="91"/>
      <c r="P98" s="197" t="s">
        <v>95</v>
      </c>
      <c r="Q98" s="178"/>
      <c r="R98" s="228">
        <f>Inmunizaciones!C96</f>
        <v>0</v>
      </c>
      <c r="T98" s="120"/>
    </row>
    <row r="99" spans="2:30" ht="12.75" customHeight="1" x14ac:dyDescent="0.2">
      <c r="B99" s="189" t="s">
        <v>285</v>
      </c>
      <c r="C99" s="190"/>
      <c r="D99" s="191"/>
      <c r="E99" s="191"/>
      <c r="F99" s="218">
        <f>Inmunizaciones!D117</f>
        <v>0</v>
      </c>
      <c r="G99" s="195" t="s">
        <v>176</v>
      </c>
      <c r="O99" s="91"/>
      <c r="P99" s="197" t="s">
        <v>96</v>
      </c>
      <c r="Q99" s="178"/>
      <c r="R99" s="228">
        <f>Inmunizaciones!C97</f>
        <v>0</v>
      </c>
      <c r="T99" s="120"/>
      <c r="AD99" s="91" t="s">
        <v>286</v>
      </c>
    </row>
    <row r="100" spans="2:30" ht="12" customHeight="1" thickBot="1" x14ac:dyDescent="0.25">
      <c r="B100" s="189" t="s">
        <v>227</v>
      </c>
      <c r="C100" s="190"/>
      <c r="D100" s="191"/>
      <c r="E100" s="191"/>
      <c r="F100" s="218">
        <f>Inmunizaciones!D118</f>
        <v>0</v>
      </c>
      <c r="G100" s="195" t="s">
        <v>176</v>
      </c>
      <c r="H100" s="91" t="s">
        <v>165</v>
      </c>
      <c r="I100" s="91"/>
      <c r="M100" s="147"/>
      <c r="O100" s="101"/>
      <c r="P100" s="198" t="s">
        <v>98</v>
      </c>
      <c r="Q100" s="199"/>
      <c r="R100" s="229">
        <f>Inmunizaciones!C98</f>
        <v>0</v>
      </c>
    </row>
    <row r="101" spans="2:30" ht="12" customHeight="1" thickBot="1" x14ac:dyDescent="0.25">
      <c r="B101" s="189" t="s">
        <v>287</v>
      </c>
      <c r="C101" s="190"/>
      <c r="D101" s="191"/>
      <c r="E101" s="191"/>
      <c r="F101" s="218">
        <f>Inmunizaciones!D119</f>
        <v>0</v>
      </c>
      <c r="G101" s="195" t="s">
        <v>176</v>
      </c>
      <c r="H101" s="91" t="s">
        <v>167</v>
      </c>
      <c r="O101" s="101"/>
    </row>
    <row r="102" spans="2:30" ht="12" customHeight="1" x14ac:dyDescent="0.2">
      <c r="B102" s="189" t="s">
        <v>229</v>
      </c>
      <c r="C102" s="190"/>
      <c r="D102" s="191"/>
      <c r="E102" s="191"/>
      <c r="F102" s="218">
        <f>Inmunizaciones!D120</f>
        <v>0</v>
      </c>
      <c r="G102" s="195" t="s">
        <v>176</v>
      </c>
      <c r="H102" s="600" t="s">
        <v>269</v>
      </c>
      <c r="I102" s="601"/>
      <c r="J102" s="602"/>
      <c r="K102" s="658" t="s">
        <v>13</v>
      </c>
      <c r="L102" s="659"/>
      <c r="M102" s="659"/>
      <c r="N102" s="739"/>
      <c r="S102" s="120"/>
    </row>
    <row r="103" spans="2:30" ht="12" customHeight="1" x14ac:dyDescent="0.2">
      <c r="B103" s="189" t="s">
        <v>288</v>
      </c>
      <c r="C103" s="190"/>
      <c r="D103" s="191"/>
      <c r="E103" s="191"/>
      <c r="F103" s="218">
        <f>Inmunizaciones!D121</f>
        <v>0</v>
      </c>
      <c r="G103" s="195" t="s">
        <v>176</v>
      </c>
      <c r="H103" s="603"/>
      <c r="I103" s="604"/>
      <c r="J103" s="605"/>
      <c r="K103" s="100" t="s">
        <v>25</v>
      </c>
      <c r="L103" s="97" t="s">
        <v>26</v>
      </c>
      <c r="M103" s="97" t="s">
        <v>27</v>
      </c>
      <c r="N103" s="122" t="s">
        <v>10</v>
      </c>
      <c r="S103" s="120"/>
      <c r="T103" s="147"/>
    </row>
    <row r="104" spans="2:30" ht="12" customHeight="1" x14ac:dyDescent="0.2">
      <c r="B104" s="189" t="s">
        <v>231</v>
      </c>
      <c r="C104" s="190"/>
      <c r="D104" s="191"/>
      <c r="E104" s="191"/>
      <c r="F104" s="218">
        <f>Inmunizaciones!D122</f>
        <v>0</v>
      </c>
      <c r="G104" s="195" t="s">
        <v>176</v>
      </c>
      <c r="H104" s="197" t="s">
        <v>162</v>
      </c>
      <c r="I104" s="200"/>
      <c r="J104" s="178"/>
      <c r="K104" s="219">
        <f>Inmunizaciones!C82</f>
        <v>0</v>
      </c>
      <c r="L104" s="271">
        <f>Inmunizaciones!D82</f>
        <v>0</v>
      </c>
      <c r="M104" s="271">
        <f>Inmunizaciones!E82</f>
        <v>0</v>
      </c>
      <c r="N104" s="283">
        <f>K104+L104+M104</f>
        <v>0</v>
      </c>
      <c r="P104" s="91" t="s">
        <v>289</v>
      </c>
      <c r="S104" s="120"/>
      <c r="T104" s="147"/>
    </row>
    <row r="105" spans="2:30" ht="12" customHeight="1" x14ac:dyDescent="0.2">
      <c r="B105" s="189" t="s">
        <v>232</v>
      </c>
      <c r="C105" s="190"/>
      <c r="D105" s="191"/>
      <c r="E105" s="191"/>
      <c r="F105" s="218">
        <f>Inmunizaciones!D123</f>
        <v>0</v>
      </c>
      <c r="G105" s="195" t="s">
        <v>176</v>
      </c>
      <c r="H105" s="197" t="s">
        <v>95</v>
      </c>
      <c r="I105" s="200"/>
      <c r="J105" s="178"/>
      <c r="K105" s="219">
        <f>Inmunizaciones!C83</f>
        <v>0</v>
      </c>
      <c r="L105" s="271">
        <f>Inmunizaciones!D83</f>
        <v>0</v>
      </c>
      <c r="M105" s="271">
        <f>Inmunizaciones!E83</f>
        <v>0</v>
      </c>
      <c r="N105" s="283">
        <f>K105+L105+M105</f>
        <v>0</v>
      </c>
      <c r="P105" s="740" t="s">
        <v>290</v>
      </c>
      <c r="Q105" s="740"/>
      <c r="R105" s="740"/>
      <c r="S105" s="120"/>
      <c r="T105" s="147"/>
    </row>
    <row r="106" spans="2:30" ht="12" customHeight="1" thickBot="1" x14ac:dyDescent="0.25">
      <c r="B106" s="189" t="s">
        <v>233</v>
      </c>
      <c r="C106" s="190"/>
      <c r="D106" s="191"/>
      <c r="E106" s="191"/>
      <c r="F106" s="218">
        <f>Inmunizaciones!D124</f>
        <v>0</v>
      </c>
      <c r="G106" s="201" t="s">
        <v>176</v>
      </c>
      <c r="H106" s="197" t="s">
        <v>96</v>
      </c>
      <c r="I106" s="200"/>
      <c r="J106" s="178"/>
      <c r="K106" s="253">
        <f>Inmunizaciones!C84</f>
        <v>0</v>
      </c>
      <c r="L106" s="271">
        <f>Inmunizaciones!D84</f>
        <v>0</v>
      </c>
      <c r="M106" s="271">
        <f>Inmunizaciones!E84</f>
        <v>0</v>
      </c>
      <c r="N106" s="283">
        <f>K106+L106+M106</f>
        <v>0</v>
      </c>
      <c r="P106" s="740"/>
      <c r="Q106" s="740"/>
      <c r="R106" s="740"/>
      <c r="S106" s="120"/>
      <c r="T106" s="147"/>
    </row>
    <row r="107" spans="2:30" ht="12" customHeight="1" x14ac:dyDescent="0.2">
      <c r="B107" s="189" t="s">
        <v>234</v>
      </c>
      <c r="C107" s="190"/>
      <c r="D107" s="191"/>
      <c r="E107" s="191"/>
      <c r="F107" s="218">
        <f>Inmunizaciones!D125</f>
        <v>0</v>
      </c>
      <c r="G107" s="195" t="s">
        <v>176</v>
      </c>
      <c r="H107" s="202" t="s">
        <v>98</v>
      </c>
      <c r="I107" s="203"/>
      <c r="J107" s="203"/>
      <c r="K107" s="219">
        <f>Inmunizaciones!C85</f>
        <v>0</v>
      </c>
      <c r="L107" s="275">
        <f>Inmunizaciones!D85</f>
        <v>0</v>
      </c>
      <c r="M107" s="275">
        <f>Inmunizaciones!E85</f>
        <v>0</v>
      </c>
      <c r="N107" s="284">
        <f>K107+L107+M107</f>
        <v>0</v>
      </c>
      <c r="P107" s="741" t="s">
        <v>291</v>
      </c>
      <c r="Q107" s="707"/>
      <c r="R107" s="742"/>
      <c r="T107" s="147"/>
    </row>
    <row r="108" spans="2:30" ht="12" customHeight="1" x14ac:dyDescent="0.2">
      <c r="B108" s="189" t="s">
        <v>235</v>
      </c>
      <c r="C108" s="190"/>
      <c r="D108" s="191"/>
      <c r="E108" s="191"/>
      <c r="F108" s="218">
        <f>Inmunizaciones!D126</f>
        <v>0</v>
      </c>
      <c r="G108" s="195" t="s">
        <v>176</v>
      </c>
      <c r="H108" s="202" t="s">
        <v>271</v>
      </c>
      <c r="I108" s="203"/>
      <c r="J108" s="203"/>
      <c r="K108" s="219">
        <f>Inmunizaciones!C86</f>
        <v>0</v>
      </c>
      <c r="L108" s="275">
        <f>Inmunizaciones!D86</f>
        <v>0</v>
      </c>
      <c r="M108" s="275">
        <f>Inmunizaciones!E86</f>
        <v>0</v>
      </c>
      <c r="N108" s="284">
        <f>K108+L108+M108</f>
        <v>0</v>
      </c>
      <c r="P108" s="733" t="s">
        <v>13</v>
      </c>
      <c r="Q108" s="734"/>
      <c r="R108" s="735"/>
      <c r="T108" s="147"/>
    </row>
    <row r="109" spans="2:30" ht="11.25" x14ac:dyDescent="0.2">
      <c r="B109" s="189" t="s">
        <v>236</v>
      </c>
      <c r="C109" s="190"/>
      <c r="D109" s="191"/>
      <c r="E109" s="191"/>
      <c r="F109" s="218">
        <f>Inmunizaciones!D127</f>
        <v>0</v>
      </c>
      <c r="G109" s="195" t="s">
        <v>176</v>
      </c>
      <c r="H109" s="204" t="s">
        <v>45</v>
      </c>
      <c r="I109" s="191"/>
      <c r="J109" s="177"/>
      <c r="K109" s="108">
        <f>Inmunizaciones!C87</f>
        <v>0</v>
      </c>
      <c r="L109" s="108">
        <f>Inmunizaciones!D87</f>
        <v>0</v>
      </c>
      <c r="M109" s="108">
        <f>Inmunizaciones!E87</f>
        <v>0</v>
      </c>
      <c r="N109" s="122">
        <f t="shared" ref="N109:N110" si="1">K109+L109+M109</f>
        <v>0</v>
      </c>
      <c r="O109" s="195" t="s">
        <v>176</v>
      </c>
      <c r="P109" s="167" t="s">
        <v>25</v>
      </c>
      <c r="Q109" s="99" t="s">
        <v>26</v>
      </c>
      <c r="R109" s="122" t="s">
        <v>27</v>
      </c>
      <c r="T109" s="147"/>
    </row>
    <row r="110" spans="2:30" ht="13.5" customHeight="1" thickBot="1" x14ac:dyDescent="0.25">
      <c r="B110" s="206" t="s">
        <v>237</v>
      </c>
      <c r="C110" s="207"/>
      <c r="D110" s="208"/>
      <c r="E110" s="208"/>
      <c r="F110" s="218">
        <f>Inmunizaciones!D128</f>
        <v>0</v>
      </c>
      <c r="G110" s="195" t="s">
        <v>176</v>
      </c>
      <c r="H110" s="736" t="s">
        <v>80</v>
      </c>
      <c r="I110" s="737"/>
      <c r="J110" s="738"/>
      <c r="K110" s="280">
        <f>Inmunizaciones!C88</f>
        <v>0</v>
      </c>
      <c r="L110" s="280">
        <f>Inmunizaciones!D88</f>
        <v>0</v>
      </c>
      <c r="M110" s="280">
        <f>Inmunizaciones!E88</f>
        <v>0</v>
      </c>
      <c r="N110" s="285">
        <f t="shared" si="1"/>
        <v>0</v>
      </c>
      <c r="O110" s="195" t="s">
        <v>176</v>
      </c>
      <c r="P110" s="281">
        <f>Inmunizaciones!C193</f>
        <v>0</v>
      </c>
      <c r="Q110" s="280">
        <f>Inmunizaciones!D193</f>
        <v>0</v>
      </c>
      <c r="R110" s="282">
        <f>Inmunizaciones!E193</f>
        <v>0</v>
      </c>
    </row>
    <row r="111" spans="2:30" ht="13.5" customHeight="1" thickBot="1" x14ac:dyDescent="0.25">
      <c r="B111" s="210" t="s">
        <v>46</v>
      </c>
      <c r="C111" s="211"/>
      <c r="D111" s="212"/>
      <c r="E111" s="212"/>
      <c r="F111" s="221">
        <f>Inmunizaciones!D129</f>
        <v>0</v>
      </c>
      <c r="G111" s="195" t="s">
        <v>176</v>
      </c>
      <c r="H111" s="209"/>
      <c r="I111" s="209"/>
      <c r="J111" s="209"/>
      <c r="N111" s="91"/>
      <c r="O111" s="195"/>
    </row>
    <row r="112" spans="2:30" ht="11.25" x14ac:dyDescent="0.2">
      <c r="B112" s="213" t="s">
        <v>175</v>
      </c>
      <c r="C112" s="214"/>
      <c r="F112" s="215"/>
      <c r="G112" s="195" t="s">
        <v>176</v>
      </c>
      <c r="H112" s="213" t="s">
        <v>175</v>
      </c>
    </row>
    <row r="113" spans="2:7" ht="11.25" x14ac:dyDescent="0.2">
      <c r="B113" s="216"/>
      <c r="C113" s="214"/>
      <c r="F113" s="215"/>
      <c r="G113" s="91"/>
    </row>
    <row r="114" spans="2:7" ht="11.25" x14ac:dyDescent="0.2"/>
    <row r="115" spans="2:7" ht="12.75" x14ac:dyDescent="0.2">
      <c r="B115" s="217"/>
      <c r="C115" s="91" t="s">
        <v>170</v>
      </c>
    </row>
    <row r="116" spans="2:7" ht="11.25" x14ac:dyDescent="0.2">
      <c r="B116" s="205"/>
      <c r="C116" s="91" t="s">
        <v>171</v>
      </c>
    </row>
    <row r="117" spans="2:7" ht="11.25" x14ac:dyDescent="0.2"/>
    <row r="118" spans="2:7" ht="11.25" x14ac:dyDescent="0.2"/>
    <row r="119" spans="2:7" ht="11.25" x14ac:dyDescent="0.2"/>
    <row r="120" spans="2:7" ht="11.25" x14ac:dyDescent="0.2"/>
    <row r="121" spans="2:7" ht="11.25" x14ac:dyDescent="0.2"/>
    <row r="122" spans="2:7" ht="11.25" x14ac:dyDescent="0.2"/>
    <row r="123" spans="2:7" ht="11.25" x14ac:dyDescent="0.2"/>
    <row r="124" spans="2:7" ht="11.25" x14ac:dyDescent="0.2"/>
    <row r="125" spans="2:7" ht="11.25" x14ac:dyDescent="0.2"/>
    <row r="126" spans="2:7" ht="11.25" x14ac:dyDescent="0.2"/>
    <row r="127" spans="2:7" ht="11.25" x14ac:dyDescent="0.2"/>
    <row r="128" spans="2:7" ht="11.25" x14ac:dyDescent="0.2"/>
    <row r="129" ht="11.25" x14ac:dyDescent="0.2"/>
    <row r="130" ht="11.25" x14ac:dyDescent="0.2"/>
    <row r="131" ht="11.25" x14ac:dyDescent="0.2"/>
    <row r="132" ht="11.25" x14ac:dyDescent="0.2"/>
    <row r="133" ht="11.25" x14ac:dyDescent="0.2"/>
    <row r="134" ht="11.25" x14ac:dyDescent="0.2"/>
    <row r="135" ht="11.25" x14ac:dyDescent="0.2"/>
    <row r="136" ht="11.25" x14ac:dyDescent="0.2"/>
    <row r="137" ht="11.25" x14ac:dyDescent="0.2"/>
    <row r="138" ht="11.25" x14ac:dyDescent="0.2"/>
    <row r="139" ht="11.25" x14ac:dyDescent="0.2"/>
    <row r="140" ht="11.25" x14ac:dyDescent="0.2"/>
    <row r="141" ht="11.25" x14ac:dyDescent="0.2"/>
    <row r="142" ht="11.25" x14ac:dyDescent="0.2"/>
    <row r="143" ht="11.25" x14ac:dyDescent="0.2"/>
    <row r="144" ht="11.25" x14ac:dyDescent="0.2"/>
    <row r="145" ht="11.25" x14ac:dyDescent="0.2"/>
    <row r="146" ht="11.25" x14ac:dyDescent="0.2"/>
    <row r="147" ht="11.25" x14ac:dyDescent="0.2"/>
    <row r="148" ht="11.25" x14ac:dyDescent="0.2"/>
    <row r="149" ht="11.25" x14ac:dyDescent="0.2"/>
    <row r="150" ht="11.25" x14ac:dyDescent="0.2"/>
    <row r="151" ht="11.25" x14ac:dyDescent="0.2"/>
    <row r="152" ht="11.25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58" ht="11.25" x14ac:dyDescent="0.2"/>
    <row r="159" ht="11.25" x14ac:dyDescent="0.2"/>
    <row r="160" ht="11.25" x14ac:dyDescent="0.2"/>
    <row r="161" ht="11.25" x14ac:dyDescent="0.2"/>
    <row r="162" ht="11.25" x14ac:dyDescent="0.2"/>
    <row r="163" ht="11.25" x14ac:dyDescent="0.2"/>
    <row r="164" ht="11.25" x14ac:dyDescent="0.2"/>
    <row r="165" ht="11.25" x14ac:dyDescent="0.2"/>
    <row r="166" ht="11.25" x14ac:dyDescent="0.2"/>
    <row r="167" ht="11.25" x14ac:dyDescent="0.2"/>
    <row r="168" ht="11.25" x14ac:dyDescent="0.2"/>
    <row r="169" ht="11.25" x14ac:dyDescent="0.2"/>
    <row r="170" ht="11.25" x14ac:dyDescent="0.2"/>
    <row r="171" ht="11.25" x14ac:dyDescent="0.2"/>
    <row r="172" ht="11.25" x14ac:dyDescent="0.2"/>
    <row r="173" ht="11.25" x14ac:dyDescent="0.2"/>
    <row r="174" ht="11.25" x14ac:dyDescent="0.2"/>
    <row r="175" ht="11.25" customHeight="1" x14ac:dyDescent="0.2"/>
  </sheetData>
  <mergeCells count="106">
    <mergeCell ref="P108:R108"/>
    <mergeCell ref="H110:J110"/>
    <mergeCell ref="H102:J103"/>
    <mergeCell ref="K102:N102"/>
    <mergeCell ref="P105:R106"/>
    <mergeCell ref="P107:R107"/>
    <mergeCell ref="R88:R90"/>
    <mergeCell ref="S88:S90"/>
    <mergeCell ref="T88:T90"/>
    <mergeCell ref="B89:C93"/>
    <mergeCell ref="P95:Q95"/>
    <mergeCell ref="R95:R96"/>
    <mergeCell ref="P96:Q96"/>
    <mergeCell ref="B84:C88"/>
    <mergeCell ref="H84:I87"/>
    <mergeCell ref="N88:N90"/>
    <mergeCell ref="O88:O90"/>
    <mergeCell ref="P88:P90"/>
    <mergeCell ref="Q88:Q90"/>
    <mergeCell ref="N81:N82"/>
    <mergeCell ref="O81:R81"/>
    <mergeCell ref="S81:T81"/>
    <mergeCell ref="B82:E83"/>
    <mergeCell ref="F82:F83"/>
    <mergeCell ref="H82:K83"/>
    <mergeCell ref="L82:L83"/>
    <mergeCell ref="B68:F68"/>
    <mergeCell ref="B69:C76"/>
    <mergeCell ref="D69:E70"/>
    <mergeCell ref="D71:F71"/>
    <mergeCell ref="N71:N72"/>
    <mergeCell ref="O71:Q71"/>
    <mergeCell ref="D72:E74"/>
    <mergeCell ref="D75:F75"/>
    <mergeCell ref="D76:F76"/>
    <mergeCell ref="B63:F64"/>
    <mergeCell ref="G63:J63"/>
    <mergeCell ref="K63:M63"/>
    <mergeCell ref="N64:N65"/>
    <mergeCell ref="O64:R64"/>
    <mergeCell ref="S64:T64"/>
    <mergeCell ref="B53:C60"/>
    <mergeCell ref="D53:E54"/>
    <mergeCell ref="D55:F55"/>
    <mergeCell ref="D56:E58"/>
    <mergeCell ref="D59:F59"/>
    <mergeCell ref="D60:F60"/>
    <mergeCell ref="B47:F48"/>
    <mergeCell ref="G47:J47"/>
    <mergeCell ref="K47:M47"/>
    <mergeCell ref="N47:Q47"/>
    <mergeCell ref="R47:T47"/>
    <mergeCell ref="B52:F52"/>
    <mergeCell ref="B34:C34"/>
    <mergeCell ref="B35:C37"/>
    <mergeCell ref="B38:C44"/>
    <mergeCell ref="D38:E39"/>
    <mergeCell ref="D40:F40"/>
    <mergeCell ref="D41:E43"/>
    <mergeCell ref="D44:F44"/>
    <mergeCell ref="B29:C32"/>
    <mergeCell ref="Q29:S31"/>
    <mergeCell ref="D31:F31"/>
    <mergeCell ref="G31:G32"/>
    <mergeCell ref="D32:F32"/>
    <mergeCell ref="B33:C33"/>
    <mergeCell ref="D33:G33"/>
    <mergeCell ref="B24:D24"/>
    <mergeCell ref="F24:G24"/>
    <mergeCell ref="E26:G26"/>
    <mergeCell ref="B27:G28"/>
    <mergeCell ref="H27:K27"/>
    <mergeCell ref="L27:N27"/>
    <mergeCell ref="B21:D21"/>
    <mergeCell ref="E21:G21"/>
    <mergeCell ref="B22:D22"/>
    <mergeCell ref="E22:G22"/>
    <mergeCell ref="B23:D23"/>
    <mergeCell ref="E23:G23"/>
    <mergeCell ref="B17:D17"/>
    <mergeCell ref="E17:G17"/>
    <mergeCell ref="B18:D20"/>
    <mergeCell ref="F18:G18"/>
    <mergeCell ref="F19:G19"/>
    <mergeCell ref="F20:G20"/>
    <mergeCell ref="B13:D13"/>
    <mergeCell ref="E13:G13"/>
    <mergeCell ref="B14:D14"/>
    <mergeCell ref="E14:G14"/>
    <mergeCell ref="B15:D16"/>
    <mergeCell ref="F15:G15"/>
    <mergeCell ref="F16:G16"/>
    <mergeCell ref="B8:G9"/>
    <mergeCell ref="H8:L8"/>
    <mergeCell ref="M8:O8"/>
    <mergeCell ref="P8:P9"/>
    <mergeCell ref="B10:D12"/>
    <mergeCell ref="E10:G10"/>
    <mergeCell ref="E11:G11"/>
    <mergeCell ref="E12:G12"/>
    <mergeCell ref="B2:T2"/>
    <mergeCell ref="B4:F4"/>
    <mergeCell ref="G4:S4"/>
    <mergeCell ref="B5:F5"/>
    <mergeCell ref="G5:S5"/>
    <mergeCell ref="E7:G7"/>
  </mergeCells>
  <pageMargins left="0.19685039370078741" right="0.19685039370078741" top="0" bottom="0" header="0" footer="0"/>
  <pageSetup paperSize="9" scale="5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131"/>
  <sheetViews>
    <sheetView topLeftCell="A88" zoomScaleNormal="100" workbookViewId="0"/>
  </sheetViews>
  <sheetFormatPr baseColWidth="10" defaultColWidth="11.5703125" defaultRowHeight="12.75" x14ac:dyDescent="0.2"/>
  <cols>
    <col min="1" max="1" width="2.7109375" customWidth="1"/>
    <col min="2" max="2" width="4.7109375" customWidth="1"/>
    <col min="3" max="3" width="4" customWidth="1"/>
    <col min="4" max="4" width="12.28515625" customWidth="1"/>
    <col min="5" max="5" width="4.7109375" customWidth="1"/>
    <col min="6" max="6" width="7.140625" customWidth="1"/>
    <col min="7" max="7" width="7.42578125" customWidth="1"/>
    <col min="8" max="10" width="6.7109375" customWidth="1"/>
    <col min="11" max="11" width="7.5703125" customWidth="1"/>
    <col min="12" max="13" width="6.7109375" customWidth="1"/>
    <col min="14" max="14" width="11.140625" customWidth="1"/>
    <col min="15" max="15" width="7.140625" customWidth="1"/>
    <col min="16" max="16" width="6.7109375" customWidth="1"/>
    <col min="17" max="17" width="9.42578125" customWidth="1"/>
    <col min="18" max="18" width="6.7109375" customWidth="1"/>
    <col min="19" max="19" width="7.85546875" customWidth="1"/>
    <col min="20" max="20" width="8.28515625" customWidth="1"/>
    <col min="21" max="21" width="1.7109375" customWidth="1"/>
  </cols>
  <sheetData>
    <row r="1" spans="1:21" x14ac:dyDescent="0.2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6"/>
    </row>
    <row r="2" spans="1:21" ht="18" x14ac:dyDescent="0.2">
      <c r="A2" s="86"/>
      <c r="B2" s="592" t="s">
        <v>131</v>
      </c>
      <c r="C2" s="592"/>
      <c r="D2" s="592"/>
      <c r="E2" s="592"/>
      <c r="F2" s="592"/>
      <c r="G2" s="592"/>
      <c r="H2" s="592"/>
      <c r="I2" s="592"/>
      <c r="J2" s="592"/>
      <c r="K2" s="592"/>
      <c r="L2" s="592"/>
      <c r="M2" s="592"/>
      <c r="N2" s="592"/>
      <c r="O2" s="592"/>
      <c r="P2" s="592"/>
      <c r="Q2" s="592"/>
      <c r="R2" s="592"/>
      <c r="S2" s="592"/>
      <c r="T2" s="592"/>
      <c r="U2" s="86"/>
    </row>
    <row r="3" spans="1:21" x14ac:dyDescent="0.2">
      <c r="A3" s="86"/>
      <c r="B3" s="499" t="str">
        <f>Inmunizaciones!B2</f>
        <v>NIVEL:</v>
      </c>
      <c r="C3" s="499"/>
      <c r="D3" s="499"/>
      <c r="E3" s="499"/>
      <c r="F3" s="499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86"/>
      <c r="U3" s="86"/>
    </row>
    <row r="4" spans="1:21" x14ac:dyDescent="0.2">
      <c r="A4" s="86"/>
      <c r="B4" s="499" t="str">
        <f>Inmunizaciones!B3</f>
        <v>DESDE:</v>
      </c>
      <c r="C4" s="499"/>
      <c r="D4" s="499"/>
      <c r="E4" s="499"/>
      <c r="F4" s="499"/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  <c r="S4" s="501"/>
      <c r="T4" s="86"/>
      <c r="U4" s="86"/>
    </row>
    <row r="5" spans="1:21" x14ac:dyDescent="0.2">
      <c r="A5" s="86"/>
      <c r="B5" s="86" t="str">
        <f>Inmunizaciones!B4</f>
        <v>FECHA DE IMPRESION:</v>
      </c>
      <c r="C5" s="86"/>
      <c r="D5" s="90"/>
      <c r="E5" s="86"/>
      <c r="F5" s="86"/>
      <c r="G5" s="91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</row>
    <row r="6" spans="1:21" ht="13.5" thickBot="1" x14ac:dyDescent="0.25">
      <c r="A6" s="86"/>
      <c r="B6" s="91" t="s">
        <v>81</v>
      </c>
      <c r="C6" s="91"/>
      <c r="D6" s="86"/>
      <c r="E6" s="595"/>
      <c r="F6" s="595"/>
      <c r="G6" s="595"/>
      <c r="H6" s="92"/>
      <c r="I6" s="92"/>
      <c r="J6" s="92"/>
      <c r="K6" s="92"/>
      <c r="L6" s="86"/>
      <c r="M6" s="93"/>
      <c r="N6" s="94" t="s">
        <v>23</v>
      </c>
      <c r="O6" s="95"/>
      <c r="P6" s="93"/>
      <c r="Q6" s="96"/>
      <c r="R6" s="86"/>
      <c r="S6" s="86"/>
      <c r="T6" s="86"/>
      <c r="U6" s="86"/>
    </row>
    <row r="7" spans="1:21" ht="12.75" customHeight="1" x14ac:dyDescent="0.2">
      <c r="A7" s="86"/>
      <c r="B7" s="600" t="s">
        <v>38</v>
      </c>
      <c r="C7" s="601"/>
      <c r="D7" s="601"/>
      <c r="E7" s="601"/>
      <c r="F7" s="601"/>
      <c r="G7" s="602"/>
      <c r="H7" s="575" t="s">
        <v>82</v>
      </c>
      <c r="I7" s="576"/>
      <c r="J7" s="576"/>
      <c r="K7" s="576"/>
      <c r="L7" s="577"/>
      <c r="M7" s="575" t="s">
        <v>24</v>
      </c>
      <c r="N7" s="576"/>
      <c r="O7" s="577"/>
      <c r="P7" s="578" t="s">
        <v>132</v>
      </c>
      <c r="Q7" s="86" t="s">
        <v>22</v>
      </c>
      <c r="R7" s="86"/>
      <c r="S7" s="86"/>
      <c r="T7" s="86"/>
      <c r="U7" s="86"/>
    </row>
    <row r="8" spans="1:21" x14ac:dyDescent="0.2">
      <c r="A8" s="86"/>
      <c r="B8" s="603"/>
      <c r="C8" s="604"/>
      <c r="D8" s="604"/>
      <c r="E8" s="604"/>
      <c r="F8" s="604"/>
      <c r="G8" s="605"/>
      <c r="H8" s="97" t="s">
        <v>25</v>
      </c>
      <c r="I8" s="97" t="s">
        <v>26</v>
      </c>
      <c r="J8" s="97" t="s">
        <v>27</v>
      </c>
      <c r="K8" s="98" t="s">
        <v>10</v>
      </c>
      <c r="L8" s="99" t="s">
        <v>19</v>
      </c>
      <c r="M8" s="100" t="s">
        <v>10</v>
      </c>
      <c r="N8" s="97" t="s">
        <v>19</v>
      </c>
      <c r="O8" s="99" t="s">
        <v>28</v>
      </c>
      <c r="P8" s="579"/>
      <c r="Q8" s="86"/>
      <c r="R8" s="86"/>
      <c r="S8" s="86"/>
      <c r="T8" s="86"/>
      <c r="U8" s="86"/>
    </row>
    <row r="9" spans="1:21" x14ac:dyDescent="0.2">
      <c r="A9" s="101"/>
      <c r="B9" s="580" t="s">
        <v>29</v>
      </c>
      <c r="C9" s="581"/>
      <c r="D9" s="582"/>
      <c r="E9" s="813" t="s">
        <v>57</v>
      </c>
      <c r="F9" s="814"/>
      <c r="G9" s="815"/>
      <c r="H9" s="230">
        <f>Inmunizaciones!E9</f>
        <v>0</v>
      </c>
      <c r="I9" s="323"/>
      <c r="J9" s="324"/>
      <c r="K9" s="325">
        <f>H9</f>
        <v>0</v>
      </c>
      <c r="L9" s="102"/>
      <c r="M9" s="103"/>
      <c r="N9" s="102"/>
      <c r="O9" s="104"/>
      <c r="P9" s="105"/>
      <c r="Q9" s="86"/>
      <c r="R9" s="86"/>
      <c r="S9" s="86"/>
      <c r="T9" s="86"/>
      <c r="U9" s="86"/>
    </row>
    <row r="10" spans="1:21" x14ac:dyDescent="0.2">
      <c r="A10" s="101"/>
      <c r="B10" s="583"/>
      <c r="C10" s="584"/>
      <c r="D10" s="585"/>
      <c r="E10" s="813" t="s">
        <v>58</v>
      </c>
      <c r="F10" s="814"/>
      <c r="G10" s="815"/>
      <c r="H10" s="230">
        <f>Inmunizaciones!E10</f>
        <v>0</v>
      </c>
      <c r="I10" s="326"/>
      <c r="J10" s="327"/>
      <c r="K10" s="325">
        <f>H10</f>
        <v>0</v>
      </c>
      <c r="L10" s="102"/>
      <c r="M10" s="103"/>
      <c r="N10" s="102"/>
      <c r="O10" s="104"/>
      <c r="P10" s="105"/>
      <c r="Q10" s="86"/>
      <c r="R10" s="86"/>
      <c r="S10" s="86"/>
      <c r="T10" s="86"/>
      <c r="U10" s="86"/>
    </row>
    <row r="11" spans="1:21" x14ac:dyDescent="0.2">
      <c r="A11" s="101"/>
      <c r="B11" s="586"/>
      <c r="C11" s="587"/>
      <c r="D11" s="588"/>
      <c r="E11" s="813" t="s">
        <v>133</v>
      </c>
      <c r="F11" s="814"/>
      <c r="G11" s="815"/>
      <c r="H11" s="230">
        <f>Inmunizaciones!E11</f>
        <v>0</v>
      </c>
      <c r="I11" s="326"/>
      <c r="J11" s="327"/>
      <c r="K11" s="325">
        <f>H11</f>
        <v>0</v>
      </c>
      <c r="L11" s="102"/>
      <c r="M11" s="103"/>
      <c r="N11" s="102"/>
      <c r="O11" s="104"/>
      <c r="P11" s="105"/>
      <c r="Q11" s="86"/>
      <c r="R11" s="86"/>
      <c r="S11" s="86"/>
      <c r="T11" s="86"/>
      <c r="U11" s="86"/>
    </row>
    <row r="12" spans="1:21" x14ac:dyDescent="0.2">
      <c r="A12" s="101"/>
      <c r="B12" s="580" t="s">
        <v>83</v>
      </c>
      <c r="C12" s="581"/>
      <c r="D12" s="582"/>
      <c r="E12" s="813" t="s">
        <v>103</v>
      </c>
      <c r="F12" s="814"/>
      <c r="G12" s="815"/>
      <c r="H12" s="230">
        <f>Inmunizaciones!E12</f>
        <v>0</v>
      </c>
      <c r="I12" s="326"/>
      <c r="J12" s="327"/>
      <c r="K12" s="325">
        <f>H12</f>
        <v>0</v>
      </c>
      <c r="L12" s="102"/>
      <c r="M12" s="103"/>
      <c r="N12" s="102"/>
      <c r="O12" s="104"/>
      <c r="P12" s="105"/>
      <c r="Q12" s="86"/>
      <c r="R12" s="86"/>
      <c r="S12" s="86"/>
      <c r="T12" s="86"/>
      <c r="U12" s="86"/>
    </row>
    <row r="13" spans="1:21" x14ac:dyDescent="0.2">
      <c r="A13" s="101"/>
      <c r="B13" s="580" t="s">
        <v>83</v>
      </c>
      <c r="C13" s="581"/>
      <c r="D13" s="582"/>
      <c r="E13" s="813" t="s">
        <v>57</v>
      </c>
      <c r="F13" s="814"/>
      <c r="G13" s="815"/>
      <c r="H13" s="230">
        <f>Inmunizaciones!E13</f>
        <v>0</v>
      </c>
      <c r="I13" s="326"/>
      <c r="J13" s="327"/>
      <c r="K13" s="325">
        <f>H13</f>
        <v>0</v>
      </c>
      <c r="L13" s="102"/>
      <c r="M13" s="103"/>
      <c r="N13" s="102"/>
      <c r="O13" s="104"/>
      <c r="P13" s="105"/>
      <c r="Q13" s="86"/>
      <c r="R13" s="86"/>
      <c r="S13" s="86"/>
      <c r="T13" s="86"/>
      <c r="U13" s="86"/>
    </row>
    <row r="14" spans="1:21" x14ac:dyDescent="0.2">
      <c r="A14" s="101"/>
      <c r="B14" s="580" t="s">
        <v>7</v>
      </c>
      <c r="C14" s="581"/>
      <c r="D14" s="582"/>
      <c r="E14" s="106" t="s">
        <v>104</v>
      </c>
      <c r="F14" s="596" t="s">
        <v>134</v>
      </c>
      <c r="G14" s="597"/>
      <c r="H14" s="230">
        <f>Inmunizaciones!E14</f>
        <v>0</v>
      </c>
      <c r="I14" s="230">
        <f>Inmunizaciones!F14</f>
        <v>0</v>
      </c>
      <c r="J14" s="328"/>
      <c r="K14" s="325">
        <f>H14+I14</f>
        <v>0</v>
      </c>
      <c r="L14" s="102"/>
      <c r="M14" s="103"/>
      <c r="N14" s="102"/>
      <c r="O14" s="104"/>
      <c r="P14" s="107"/>
      <c r="Q14" s="86"/>
      <c r="R14" s="86"/>
      <c r="S14" s="86"/>
      <c r="T14" s="86"/>
      <c r="U14" s="86"/>
    </row>
    <row r="15" spans="1:21" x14ac:dyDescent="0.2">
      <c r="A15" s="101"/>
      <c r="B15" s="586"/>
      <c r="C15" s="587"/>
      <c r="D15" s="588"/>
      <c r="E15" s="108" t="s">
        <v>105</v>
      </c>
      <c r="F15" s="598" t="s">
        <v>135</v>
      </c>
      <c r="G15" s="599"/>
      <c r="H15" s="329"/>
      <c r="I15" s="330"/>
      <c r="J15" s="230">
        <f>Inmunizaciones!G15</f>
        <v>0</v>
      </c>
      <c r="K15" s="325">
        <f>J15</f>
        <v>0</v>
      </c>
      <c r="L15" s="102"/>
      <c r="M15" s="103"/>
      <c r="N15" s="102"/>
      <c r="O15" s="104"/>
      <c r="P15" s="107"/>
      <c r="Q15" s="86"/>
      <c r="R15" s="86"/>
      <c r="S15" s="86"/>
      <c r="T15" s="86"/>
      <c r="U15" s="86"/>
    </row>
    <row r="16" spans="1:21" x14ac:dyDescent="0.2">
      <c r="A16" s="101"/>
      <c r="B16" s="613" t="s">
        <v>40</v>
      </c>
      <c r="C16" s="614"/>
      <c r="D16" s="615"/>
      <c r="E16" s="596" t="s">
        <v>137</v>
      </c>
      <c r="F16" s="609"/>
      <c r="G16" s="597"/>
      <c r="H16" s="230">
        <f>Inmunizaciones!E16</f>
        <v>0</v>
      </c>
      <c r="I16" s="230">
        <f>Inmunizaciones!F16</f>
        <v>0</v>
      </c>
      <c r="J16" s="230">
        <f>Inmunizaciones!G16</f>
        <v>0</v>
      </c>
      <c r="K16" s="325">
        <f>H16+I16+J16</f>
        <v>0</v>
      </c>
      <c r="L16" s="102"/>
      <c r="M16" s="103"/>
      <c r="N16" s="102"/>
      <c r="O16" s="104"/>
      <c r="P16" s="109"/>
      <c r="Q16" s="86"/>
      <c r="R16" s="86"/>
      <c r="S16" s="86"/>
      <c r="T16" s="86"/>
      <c r="U16" s="86"/>
    </row>
    <row r="17" spans="1:21" ht="12.75" customHeight="1" x14ac:dyDescent="0.2">
      <c r="A17" s="101"/>
      <c r="B17" s="616" t="s">
        <v>138</v>
      </c>
      <c r="C17" s="617"/>
      <c r="D17" s="618"/>
      <c r="E17" s="110" t="s">
        <v>116</v>
      </c>
      <c r="F17" s="598" t="s">
        <v>136</v>
      </c>
      <c r="G17" s="599"/>
      <c r="H17" s="331"/>
      <c r="I17" s="230">
        <f>Inmunizaciones!F17</f>
        <v>0</v>
      </c>
      <c r="J17" s="230">
        <f>Inmunizaciones!G17</f>
        <v>0</v>
      </c>
      <c r="K17" s="332">
        <f>I17+J17</f>
        <v>0</v>
      </c>
      <c r="L17" s="111"/>
      <c r="M17" s="112"/>
      <c r="N17" s="111"/>
      <c r="O17" s="113"/>
      <c r="P17" s="107"/>
      <c r="Q17" s="86"/>
      <c r="R17" s="86"/>
      <c r="S17" s="86"/>
      <c r="T17" s="86"/>
      <c r="U17" s="86"/>
    </row>
    <row r="18" spans="1:21" x14ac:dyDescent="0.2">
      <c r="A18" s="101"/>
      <c r="B18" s="619"/>
      <c r="C18" s="620"/>
      <c r="D18" s="621"/>
      <c r="E18" s="108" t="s">
        <v>84</v>
      </c>
      <c r="F18" s="596" t="s">
        <v>136</v>
      </c>
      <c r="G18" s="597"/>
      <c r="H18" s="333"/>
      <c r="I18" s="230">
        <f>Inmunizaciones!F18</f>
        <v>0</v>
      </c>
      <c r="J18" s="230">
        <f>Inmunizaciones!G18</f>
        <v>0</v>
      </c>
      <c r="K18" s="332">
        <f>I18+J18</f>
        <v>0</v>
      </c>
      <c r="L18" s="111"/>
      <c r="M18" s="112"/>
      <c r="N18" s="111"/>
      <c r="O18" s="113"/>
      <c r="P18" s="107"/>
      <c r="Q18" s="86"/>
      <c r="R18" s="86"/>
      <c r="S18" s="86"/>
      <c r="T18" s="86"/>
      <c r="U18" s="86"/>
    </row>
    <row r="19" spans="1:21" x14ac:dyDescent="0.2">
      <c r="A19" s="101"/>
      <c r="B19" s="622"/>
      <c r="C19" s="623"/>
      <c r="D19" s="624"/>
      <c r="E19" s="114" t="s">
        <v>85</v>
      </c>
      <c r="F19" s="596" t="s">
        <v>136</v>
      </c>
      <c r="G19" s="597"/>
      <c r="H19" s="334"/>
      <c r="I19" s="230">
        <f>Inmunizaciones!F19</f>
        <v>0</v>
      </c>
      <c r="J19" s="230">
        <f>Inmunizaciones!G19</f>
        <v>0</v>
      </c>
      <c r="K19" s="332">
        <f>I19+J19</f>
        <v>0</v>
      </c>
      <c r="L19" s="111"/>
      <c r="M19" s="112"/>
      <c r="N19" s="111"/>
      <c r="O19" s="113"/>
      <c r="P19" s="107"/>
      <c r="Q19" s="86"/>
      <c r="R19" s="86"/>
      <c r="S19" s="86"/>
      <c r="T19" s="86"/>
      <c r="U19" s="86"/>
    </row>
    <row r="20" spans="1:21" x14ac:dyDescent="0.2">
      <c r="A20" s="101"/>
      <c r="B20" s="606" t="s">
        <v>41</v>
      </c>
      <c r="C20" s="607"/>
      <c r="D20" s="608"/>
      <c r="E20" s="596" t="s">
        <v>134</v>
      </c>
      <c r="F20" s="609"/>
      <c r="G20" s="597"/>
      <c r="H20" s="230">
        <f>Inmunizaciones!E20</f>
        <v>0</v>
      </c>
      <c r="I20" s="230">
        <f>Inmunizaciones!F20</f>
        <v>0</v>
      </c>
      <c r="J20" s="335"/>
      <c r="K20" s="332">
        <f>H20+I20</f>
        <v>0</v>
      </c>
      <c r="L20" s="111"/>
      <c r="M20" s="112"/>
      <c r="N20" s="111"/>
      <c r="O20" s="113"/>
      <c r="P20" s="107"/>
      <c r="Q20" s="86"/>
      <c r="R20" s="86"/>
      <c r="S20" s="86"/>
      <c r="T20" s="86"/>
      <c r="U20" s="86"/>
    </row>
    <row r="21" spans="1:21" x14ac:dyDescent="0.2">
      <c r="A21" s="101"/>
      <c r="B21" s="606" t="s">
        <v>42</v>
      </c>
      <c r="C21" s="607"/>
      <c r="D21" s="608"/>
      <c r="E21" s="596" t="s">
        <v>134</v>
      </c>
      <c r="F21" s="609"/>
      <c r="G21" s="597"/>
      <c r="H21" s="230">
        <f>Inmunizaciones!E21</f>
        <v>0</v>
      </c>
      <c r="I21" s="230">
        <f>Inmunizaciones!F21</f>
        <v>0</v>
      </c>
      <c r="J21" s="336"/>
      <c r="K21" s="332">
        <f>H21+I21</f>
        <v>0</v>
      </c>
      <c r="L21" s="111"/>
      <c r="M21" s="112"/>
      <c r="N21" s="111"/>
      <c r="O21" s="113"/>
      <c r="P21" s="107"/>
      <c r="Q21" s="86"/>
      <c r="R21" s="86"/>
      <c r="S21" s="86"/>
      <c r="T21" s="86"/>
      <c r="U21" s="86"/>
    </row>
    <row r="22" spans="1:21" x14ac:dyDescent="0.2">
      <c r="A22" s="101"/>
      <c r="B22" s="606" t="s">
        <v>43</v>
      </c>
      <c r="C22" s="607"/>
      <c r="D22" s="608"/>
      <c r="E22" s="610"/>
      <c r="F22" s="611"/>
      <c r="G22" s="612"/>
      <c r="H22" s="230">
        <f>Inmunizaciones!E22</f>
        <v>0</v>
      </c>
      <c r="I22" s="230">
        <f>Inmunizaciones!F22</f>
        <v>0</v>
      </c>
      <c r="J22" s="336"/>
      <c r="K22" s="332">
        <f>H22+I22</f>
        <v>0</v>
      </c>
      <c r="L22" s="111"/>
      <c r="M22" s="112"/>
      <c r="N22" s="111"/>
      <c r="O22" s="113"/>
      <c r="P22" s="107"/>
      <c r="Q22" s="86"/>
      <c r="R22" s="86"/>
      <c r="S22" s="86"/>
      <c r="T22" s="86"/>
      <c r="U22" s="86"/>
    </row>
    <row r="23" spans="1:21" ht="13.5" thickBot="1" x14ac:dyDescent="0.25">
      <c r="A23" s="101"/>
      <c r="B23" s="653" t="s">
        <v>86</v>
      </c>
      <c r="C23" s="654"/>
      <c r="D23" s="655"/>
      <c r="E23" s="115" t="s">
        <v>104</v>
      </c>
      <c r="F23" s="656" t="s">
        <v>137</v>
      </c>
      <c r="G23" s="657"/>
      <c r="H23" s="248">
        <f>Inmunizaciones!E23</f>
        <v>0</v>
      </c>
      <c r="I23" s="248">
        <f>Inmunizaciones!F23</f>
        <v>0</v>
      </c>
      <c r="J23" s="248">
        <f>Inmunizaciones!G23</f>
        <v>0</v>
      </c>
      <c r="K23" s="337">
        <f>H23+I23+J23</f>
        <v>0</v>
      </c>
      <c r="L23" s="116"/>
      <c r="M23" s="117"/>
      <c r="N23" s="116"/>
      <c r="O23" s="118"/>
      <c r="P23" s="119"/>
      <c r="Q23" s="86"/>
      <c r="R23" s="86"/>
      <c r="S23" s="86"/>
      <c r="T23" s="86"/>
      <c r="U23" s="86"/>
    </row>
    <row r="24" spans="1:21" x14ac:dyDescent="0.2">
      <c r="A24" s="86"/>
      <c r="B24" s="86"/>
      <c r="C24" s="86"/>
      <c r="D24" s="86"/>
      <c r="E24" s="120"/>
      <c r="F24" s="120"/>
      <c r="G24" s="101"/>
      <c r="H24" s="101"/>
      <c r="I24" s="101"/>
      <c r="J24" s="101"/>
      <c r="K24" s="101"/>
      <c r="L24" s="101"/>
      <c r="M24" s="93"/>
      <c r="N24" s="91"/>
      <c r="O24" s="120"/>
      <c r="P24" s="91"/>
      <c r="Q24" s="121"/>
      <c r="R24" s="86"/>
      <c r="S24" s="86"/>
      <c r="T24" s="86"/>
      <c r="U24" s="86"/>
    </row>
    <row r="25" spans="1:21" ht="13.5" thickBot="1" x14ac:dyDescent="0.25">
      <c r="A25" s="86"/>
      <c r="B25" s="91" t="s">
        <v>87</v>
      </c>
      <c r="C25" s="91"/>
      <c r="D25" s="86"/>
      <c r="E25" s="595"/>
      <c r="F25" s="595"/>
      <c r="G25" s="595"/>
      <c r="H25" s="92"/>
      <c r="I25" s="92"/>
      <c r="J25" s="92"/>
      <c r="K25" s="92"/>
      <c r="L25" s="92"/>
      <c r="M25" s="94" t="s">
        <v>23</v>
      </c>
      <c r="N25" s="95"/>
      <c r="O25" s="86"/>
      <c r="P25" s="86"/>
      <c r="Q25" s="86"/>
      <c r="R25" s="86"/>
      <c r="S25" s="86"/>
      <c r="T25" s="86"/>
      <c r="U25" s="86"/>
    </row>
    <row r="26" spans="1:21" x14ac:dyDescent="0.2">
      <c r="A26" s="86"/>
      <c r="B26" s="600" t="s">
        <v>38</v>
      </c>
      <c r="C26" s="601"/>
      <c r="D26" s="601"/>
      <c r="E26" s="601"/>
      <c r="F26" s="601"/>
      <c r="G26" s="602"/>
      <c r="H26" s="658" t="s">
        <v>13</v>
      </c>
      <c r="I26" s="659"/>
      <c r="J26" s="659"/>
      <c r="K26" s="660"/>
      <c r="L26" s="575" t="s">
        <v>24</v>
      </c>
      <c r="M26" s="576"/>
      <c r="N26" s="661"/>
      <c r="O26" s="86"/>
      <c r="P26" s="86"/>
      <c r="Q26" s="86"/>
      <c r="R26" s="86"/>
      <c r="S26" s="86"/>
      <c r="T26" s="86"/>
      <c r="U26" s="86"/>
    </row>
    <row r="27" spans="1:21" x14ac:dyDescent="0.2">
      <c r="A27" s="86"/>
      <c r="B27" s="603"/>
      <c r="C27" s="604"/>
      <c r="D27" s="604"/>
      <c r="E27" s="604"/>
      <c r="F27" s="604"/>
      <c r="G27" s="605"/>
      <c r="H27" s="97" t="s">
        <v>25</v>
      </c>
      <c r="I27" s="97" t="s">
        <v>26</v>
      </c>
      <c r="J27" s="97" t="s">
        <v>27</v>
      </c>
      <c r="K27" s="99" t="s">
        <v>10</v>
      </c>
      <c r="L27" s="100" t="s">
        <v>10</v>
      </c>
      <c r="M27" s="97" t="s">
        <v>19</v>
      </c>
      <c r="N27" s="122" t="s">
        <v>28</v>
      </c>
      <c r="O27" s="86"/>
      <c r="P27" s="86"/>
      <c r="Q27" s="86"/>
      <c r="R27" s="86"/>
      <c r="S27" s="86"/>
      <c r="T27" s="86"/>
      <c r="U27" s="86"/>
    </row>
    <row r="28" spans="1:21" ht="12.75" customHeight="1" x14ac:dyDescent="0.2">
      <c r="A28" s="101"/>
      <c r="B28" s="625" t="s">
        <v>139</v>
      </c>
      <c r="C28" s="626"/>
      <c r="D28" s="123" t="s">
        <v>42</v>
      </c>
      <c r="E28" s="124"/>
      <c r="F28" s="177"/>
      <c r="G28" s="293" t="s">
        <v>27</v>
      </c>
      <c r="H28" s="338"/>
      <c r="I28" s="339"/>
      <c r="J28" s="219">
        <f>Inmunizaciones!G28</f>
        <v>0</v>
      </c>
      <c r="K28" s="340">
        <f>J28</f>
        <v>0</v>
      </c>
      <c r="L28" s="126"/>
      <c r="M28" s="126"/>
      <c r="N28" s="127"/>
      <c r="O28" s="86"/>
      <c r="P28" s="86"/>
      <c r="Q28" s="631" t="s">
        <v>99</v>
      </c>
      <c r="R28" s="632"/>
      <c r="S28" s="808"/>
      <c r="T28" s="86"/>
      <c r="U28" s="86"/>
    </row>
    <row r="29" spans="1:21" x14ac:dyDescent="0.2">
      <c r="A29" s="101"/>
      <c r="B29" s="627"/>
      <c r="C29" s="628"/>
      <c r="D29" s="294" t="s">
        <v>88</v>
      </c>
      <c r="E29" s="136"/>
      <c r="F29" s="86"/>
      <c r="G29" s="295" t="s">
        <v>25</v>
      </c>
      <c r="H29" s="219">
        <f>Inmunizaciones!E29</f>
        <v>0</v>
      </c>
      <c r="I29" s="341"/>
      <c r="J29" s="342"/>
      <c r="K29" s="340">
        <f>H29</f>
        <v>0</v>
      </c>
      <c r="L29" s="126"/>
      <c r="M29" s="126"/>
      <c r="N29" s="127"/>
      <c r="O29" s="86"/>
      <c r="P29" s="86"/>
      <c r="Q29" s="634"/>
      <c r="R29" s="635"/>
      <c r="S29" s="809"/>
      <c r="T29" s="86"/>
      <c r="U29" s="86"/>
    </row>
    <row r="30" spans="1:21" x14ac:dyDescent="0.2">
      <c r="A30" s="101"/>
      <c r="B30" s="627"/>
      <c r="C30" s="628"/>
      <c r="D30" s="393" t="s">
        <v>295</v>
      </c>
      <c r="E30" s="394"/>
      <c r="F30" s="395"/>
      <c r="G30" s="396" t="s">
        <v>25</v>
      </c>
      <c r="H30" s="219">
        <f>Inmunizaciones!E43</f>
        <v>0</v>
      </c>
      <c r="I30" s="341"/>
      <c r="J30" s="342"/>
      <c r="K30" s="340">
        <f>H30</f>
        <v>0</v>
      </c>
      <c r="L30" s="126"/>
      <c r="M30" s="126"/>
      <c r="N30" s="127"/>
      <c r="O30" s="86"/>
      <c r="P30" s="86"/>
      <c r="Q30" s="810"/>
      <c r="R30" s="811"/>
      <c r="S30" s="812"/>
      <c r="T30" s="86"/>
      <c r="U30" s="86"/>
    </row>
    <row r="31" spans="1:21" x14ac:dyDescent="0.2">
      <c r="A31" s="101"/>
      <c r="B31" s="629"/>
      <c r="C31" s="630"/>
      <c r="D31" s="123" t="s">
        <v>43</v>
      </c>
      <c r="E31" s="296"/>
      <c r="F31" s="297"/>
      <c r="G31" s="293" t="s">
        <v>25</v>
      </c>
      <c r="H31" s="219">
        <f>Inmunizaciones!E31</f>
        <v>0</v>
      </c>
      <c r="I31" s="341"/>
      <c r="J31" s="342"/>
      <c r="K31" s="298">
        <f>H31</f>
        <v>0</v>
      </c>
      <c r="L31" s="126"/>
      <c r="M31" s="126"/>
      <c r="N31" s="127"/>
      <c r="O31" s="86"/>
      <c r="P31" s="86"/>
      <c r="Q31" s="128"/>
      <c r="R31" s="128"/>
      <c r="S31" s="128"/>
      <c r="T31" s="86"/>
      <c r="U31" s="86"/>
    </row>
    <row r="32" spans="1:21" ht="22.5" x14ac:dyDescent="0.2">
      <c r="A32" s="101"/>
      <c r="B32" s="664" t="s">
        <v>89</v>
      </c>
      <c r="C32" s="665"/>
      <c r="D32" s="226" t="s">
        <v>143</v>
      </c>
      <c r="E32" s="132"/>
      <c r="F32" s="299"/>
      <c r="G32" s="300" t="s">
        <v>263</v>
      </c>
      <c r="H32" s="253">
        <f>Inmunizaciones!E33</f>
        <v>0</v>
      </c>
      <c r="I32" s="341"/>
      <c r="J32" s="342"/>
      <c r="K32" s="343">
        <f>H32</f>
        <v>0</v>
      </c>
      <c r="L32" s="129"/>
      <c r="M32" s="129"/>
      <c r="N32" s="130"/>
      <c r="O32" s="86"/>
      <c r="P32" s="86"/>
      <c r="Q32" s="86"/>
      <c r="R32" s="86"/>
      <c r="S32" s="86"/>
      <c r="T32" s="86"/>
      <c r="U32" s="86"/>
    </row>
    <row r="33" spans="1:21" ht="12.75" customHeight="1" x14ac:dyDescent="0.2">
      <c r="A33" s="101"/>
      <c r="B33" s="666" t="s">
        <v>144</v>
      </c>
      <c r="C33" s="667"/>
      <c r="D33" s="294" t="s">
        <v>88</v>
      </c>
      <c r="E33" s="136"/>
      <c r="F33" s="301"/>
      <c r="G33" s="302" t="s">
        <v>26</v>
      </c>
      <c r="H33" s="344"/>
      <c r="I33" s="219">
        <f>Inmunizaciones!F29</f>
        <v>0</v>
      </c>
      <c r="J33" s="342"/>
      <c r="K33" s="343">
        <f>I33</f>
        <v>0</v>
      </c>
      <c r="L33" s="126"/>
      <c r="M33" s="126"/>
      <c r="N33" s="127"/>
      <c r="O33" s="86"/>
      <c r="P33" s="86"/>
      <c r="Q33" s="86"/>
      <c r="R33" s="86"/>
      <c r="S33" s="86"/>
      <c r="T33" s="86"/>
      <c r="U33" s="86"/>
    </row>
    <row r="34" spans="1:21" x14ac:dyDescent="0.2">
      <c r="A34" s="101"/>
      <c r="B34" s="666"/>
      <c r="C34" s="667"/>
      <c r="D34" s="226" t="s">
        <v>101</v>
      </c>
      <c r="E34" s="132"/>
      <c r="F34" s="225"/>
      <c r="G34" s="303" t="s">
        <v>264</v>
      </c>
      <c r="H34" s="253">
        <f>Inmunizaciones!E34</f>
        <v>0</v>
      </c>
      <c r="I34" s="341"/>
      <c r="J34" s="342"/>
      <c r="K34" s="343">
        <f>H34</f>
        <v>0</v>
      </c>
      <c r="L34" s="129"/>
      <c r="M34" s="129"/>
      <c r="N34" s="130"/>
      <c r="O34" s="86"/>
      <c r="P34" s="86"/>
      <c r="Q34" s="86"/>
      <c r="R34" s="86"/>
      <c r="S34" s="86"/>
      <c r="T34" s="86"/>
      <c r="U34" s="86"/>
    </row>
    <row r="35" spans="1:21" x14ac:dyDescent="0.2">
      <c r="A35" s="101"/>
      <c r="B35" s="668"/>
      <c r="C35" s="669"/>
      <c r="D35" s="304" t="s">
        <v>155</v>
      </c>
      <c r="E35" s="139"/>
      <c r="F35" s="305"/>
      <c r="G35" s="306" t="s">
        <v>264</v>
      </c>
      <c r="H35" s="253">
        <f>Inmunizaciones!E35</f>
        <v>0</v>
      </c>
      <c r="I35" s="341"/>
      <c r="J35" s="342"/>
      <c r="K35" s="343">
        <f>H35</f>
        <v>0</v>
      </c>
      <c r="L35" s="129"/>
      <c r="M35" s="129"/>
      <c r="N35" s="130"/>
      <c r="O35" s="86"/>
      <c r="P35" s="86"/>
      <c r="Q35" s="91"/>
      <c r="R35" s="91"/>
      <c r="S35" s="91"/>
      <c r="T35" s="86"/>
      <c r="U35" s="86"/>
    </row>
    <row r="36" spans="1:21" ht="12.75" customHeight="1" x14ac:dyDescent="0.2">
      <c r="A36" s="101"/>
      <c r="B36" s="670" t="s">
        <v>145</v>
      </c>
      <c r="C36" s="688"/>
      <c r="D36" s="226" t="s">
        <v>42</v>
      </c>
      <c r="E36" s="132"/>
      <c r="F36" s="132"/>
      <c r="G36" s="307" t="s">
        <v>141</v>
      </c>
      <c r="H36" s="253">
        <f>Inmunizaciones!E32</f>
        <v>0</v>
      </c>
      <c r="I36" s="253">
        <f>Inmunizaciones!F32</f>
        <v>0</v>
      </c>
      <c r="J36" s="342"/>
      <c r="K36" s="343">
        <f>H36+I36</f>
        <v>0</v>
      </c>
      <c r="L36" s="129"/>
      <c r="M36" s="129"/>
      <c r="N36" s="130"/>
      <c r="O36" s="86"/>
      <c r="P36" s="86"/>
      <c r="Q36" s="91"/>
      <c r="R36" s="91"/>
      <c r="S36" s="91"/>
      <c r="T36" s="86"/>
      <c r="U36" s="86"/>
    </row>
    <row r="37" spans="1:21" x14ac:dyDescent="0.2">
      <c r="A37" s="101"/>
      <c r="B37" s="666"/>
      <c r="C37" s="689"/>
      <c r="D37" s="309" t="s">
        <v>43</v>
      </c>
      <c r="E37" s="148"/>
      <c r="F37" s="310"/>
      <c r="G37" s="311"/>
      <c r="H37" s="253">
        <f>Inmunizaciones!E30</f>
        <v>0</v>
      </c>
      <c r="I37" s="253">
        <f>Inmunizaciones!F30</f>
        <v>0</v>
      </c>
      <c r="J37" s="342"/>
      <c r="K37" s="343">
        <f t="shared" ref="K37:K38" si="0">H37+I37</f>
        <v>0</v>
      </c>
      <c r="L37" s="129"/>
      <c r="M37" s="129"/>
      <c r="N37" s="130"/>
      <c r="O37" s="86"/>
      <c r="P37" s="86"/>
      <c r="Q37" s="91"/>
      <c r="R37" s="91"/>
      <c r="S37" s="91"/>
      <c r="T37" s="86"/>
      <c r="U37" s="86"/>
    </row>
    <row r="38" spans="1:21" ht="15" thickBot="1" x14ac:dyDescent="0.25">
      <c r="A38" s="101"/>
      <c r="B38" s="666"/>
      <c r="C38" s="689"/>
      <c r="D38" s="702" t="s">
        <v>7</v>
      </c>
      <c r="E38" s="582"/>
      <c r="F38" s="224" t="s">
        <v>104</v>
      </c>
      <c r="G38" s="295" t="s">
        <v>262</v>
      </c>
      <c r="H38" s="219">
        <f>Inmunizaciones!E36</f>
        <v>0</v>
      </c>
      <c r="I38" s="219">
        <f>Inmunizaciones!F36</f>
        <v>0</v>
      </c>
      <c r="J38" s="345"/>
      <c r="K38" s="343">
        <f t="shared" si="0"/>
        <v>0</v>
      </c>
      <c r="L38" s="129"/>
      <c r="M38" s="129"/>
      <c r="N38" s="130"/>
      <c r="O38" s="86"/>
      <c r="P38" s="86"/>
      <c r="Q38" s="91" t="s">
        <v>296</v>
      </c>
      <c r="R38" s="410">
        <v>10</v>
      </c>
      <c r="S38" s="91"/>
      <c r="T38" s="86"/>
      <c r="U38" s="86"/>
    </row>
    <row r="39" spans="1:21" x14ac:dyDescent="0.2">
      <c r="A39" s="101"/>
      <c r="B39" s="666"/>
      <c r="C39" s="689"/>
      <c r="D39" s="703"/>
      <c r="E39" s="588"/>
      <c r="F39" s="223" t="s">
        <v>105</v>
      </c>
      <c r="G39" s="295" t="s">
        <v>262</v>
      </c>
      <c r="H39" s="346"/>
      <c r="I39" s="347"/>
      <c r="J39" s="253">
        <f>Inmunizaciones!G37</f>
        <v>0</v>
      </c>
      <c r="K39" s="343">
        <f>J39</f>
        <v>0</v>
      </c>
      <c r="L39" s="129"/>
      <c r="M39" s="129"/>
      <c r="N39" s="130"/>
      <c r="O39" s="86"/>
      <c r="P39" s="86"/>
      <c r="Q39" s="348" t="s">
        <v>150</v>
      </c>
      <c r="R39" s="222" t="s">
        <v>25</v>
      </c>
      <c r="S39" s="165" t="s">
        <v>26</v>
      </c>
      <c r="T39" s="166" t="s">
        <v>27</v>
      </c>
      <c r="U39" s="86"/>
    </row>
    <row r="40" spans="1:21" x14ac:dyDescent="0.2">
      <c r="A40" s="101"/>
      <c r="B40" s="666"/>
      <c r="C40" s="689"/>
      <c r="D40" s="704" t="s">
        <v>40</v>
      </c>
      <c r="E40" s="614"/>
      <c r="F40" s="614"/>
      <c r="G40" s="295" t="s">
        <v>262</v>
      </c>
      <c r="H40" s="258">
        <f>Inmunizaciones!E38</f>
        <v>0</v>
      </c>
      <c r="I40" s="258">
        <f>Inmunizaciones!F38</f>
        <v>0</v>
      </c>
      <c r="J40" s="258">
        <f>Inmunizaciones!G38</f>
        <v>0</v>
      </c>
      <c r="K40" s="343">
        <f>H40+I40+J40</f>
        <v>0</v>
      </c>
      <c r="L40" s="129"/>
      <c r="M40" s="129"/>
      <c r="N40" s="130"/>
      <c r="O40" s="86"/>
      <c r="P40" s="86"/>
      <c r="Q40" s="418" t="s">
        <v>297</v>
      </c>
      <c r="R40" s="349">
        <f>Inmunizaciones!C219</f>
        <v>0</v>
      </c>
      <c r="S40" s="349">
        <f>Inmunizaciones!D219</f>
        <v>0</v>
      </c>
      <c r="T40" s="350">
        <f>Inmunizaciones!E219</f>
        <v>0</v>
      </c>
      <c r="U40" s="86"/>
    </row>
    <row r="41" spans="1:21" ht="12.75" customHeight="1" x14ac:dyDescent="0.2">
      <c r="A41" s="101"/>
      <c r="B41" s="666"/>
      <c r="C41" s="689"/>
      <c r="D41" s="708" t="s">
        <v>121</v>
      </c>
      <c r="E41" s="709"/>
      <c r="F41" s="224" t="s">
        <v>116</v>
      </c>
      <c r="G41" s="295" t="s">
        <v>262</v>
      </c>
      <c r="H41" s="351"/>
      <c r="I41" s="253">
        <f>Inmunizaciones!F39</f>
        <v>0</v>
      </c>
      <c r="J41" s="253">
        <f>Inmunizaciones!G39</f>
        <v>0</v>
      </c>
      <c r="K41" s="343">
        <f>I41+J41</f>
        <v>0</v>
      </c>
      <c r="L41" s="129"/>
      <c r="M41" s="129"/>
      <c r="N41" s="130"/>
      <c r="O41" s="86"/>
      <c r="P41" s="86"/>
      <c r="Q41" s="419" t="s">
        <v>298</v>
      </c>
      <c r="R41" s="349">
        <f>Inmunizaciones!C220</f>
        <v>0</v>
      </c>
      <c r="S41" s="349">
        <f>Inmunizaciones!D220</f>
        <v>0</v>
      </c>
      <c r="T41" s="350">
        <f>Inmunizaciones!E220</f>
        <v>0</v>
      </c>
      <c r="U41" s="86"/>
    </row>
    <row r="42" spans="1:21" ht="13.5" thickBot="1" x14ac:dyDescent="0.25">
      <c r="A42" s="101"/>
      <c r="B42" s="666"/>
      <c r="C42" s="689"/>
      <c r="D42" s="710"/>
      <c r="E42" s="711"/>
      <c r="F42" s="223" t="s">
        <v>84</v>
      </c>
      <c r="G42" s="295" t="s">
        <v>262</v>
      </c>
      <c r="H42" s="352"/>
      <c r="I42" s="253">
        <f>Inmunizaciones!F40</f>
        <v>0</v>
      </c>
      <c r="J42" s="253">
        <f>Inmunizaciones!G40</f>
        <v>0</v>
      </c>
      <c r="K42" s="343">
        <f>I42+J42</f>
        <v>0</v>
      </c>
      <c r="L42" s="129"/>
      <c r="M42" s="129"/>
      <c r="N42" s="130"/>
      <c r="O42" s="86"/>
      <c r="P42" s="86"/>
      <c r="Q42" s="420" t="s">
        <v>299</v>
      </c>
      <c r="R42" s="353">
        <f>Inmunizaciones!C221</f>
        <v>0</v>
      </c>
      <c r="S42" s="353">
        <f>Inmunizaciones!D221</f>
        <v>0</v>
      </c>
      <c r="T42" s="354">
        <f>Inmunizaciones!E221</f>
        <v>0</v>
      </c>
      <c r="U42" s="86"/>
    </row>
    <row r="43" spans="1:21" x14ac:dyDescent="0.2">
      <c r="A43" s="101"/>
      <c r="B43" s="666"/>
      <c r="C43" s="689"/>
      <c r="D43" s="710"/>
      <c r="E43" s="711"/>
      <c r="F43" s="355" t="s">
        <v>85</v>
      </c>
      <c r="G43" s="295" t="s">
        <v>262</v>
      </c>
      <c r="H43" s="352"/>
      <c r="I43" s="253">
        <f>Inmunizaciones!F41</f>
        <v>0</v>
      </c>
      <c r="J43" s="253">
        <f>Inmunizaciones!G41</f>
        <v>0</v>
      </c>
      <c r="K43" s="356">
        <f>I43+J43</f>
        <v>0</v>
      </c>
      <c r="L43" s="142"/>
      <c r="M43" s="142"/>
      <c r="N43" s="143"/>
      <c r="O43" s="86"/>
      <c r="P43" s="86"/>
      <c r="Q43" s="91"/>
      <c r="R43" s="91"/>
      <c r="S43" s="91"/>
      <c r="T43" s="86"/>
      <c r="U43" s="86"/>
    </row>
    <row r="44" spans="1:21" ht="13.5" customHeight="1" thickBot="1" x14ac:dyDescent="0.25">
      <c r="A44" s="101"/>
      <c r="B44" s="818" t="s">
        <v>122</v>
      </c>
      <c r="C44" s="819"/>
      <c r="D44" s="819"/>
      <c r="E44" s="819"/>
      <c r="F44" s="819"/>
      <c r="G44" s="312" t="s">
        <v>262</v>
      </c>
      <c r="H44" s="220">
        <f>Inmunizaciones!E42</f>
        <v>0</v>
      </c>
      <c r="I44" s="357"/>
      <c r="J44" s="358"/>
      <c r="K44" s="359">
        <f>H44</f>
        <v>0</v>
      </c>
      <c r="L44" s="145"/>
      <c r="M44" s="145"/>
      <c r="N44" s="146"/>
      <c r="O44" s="86"/>
      <c r="P44" s="86"/>
      <c r="Q44" s="86"/>
      <c r="R44" s="86"/>
      <c r="S44" s="86"/>
      <c r="T44" s="86"/>
      <c r="U44" s="86"/>
    </row>
    <row r="45" spans="1:21" x14ac:dyDescent="0.2">
      <c r="A45" s="86"/>
      <c r="B45" s="147"/>
      <c r="C45" s="147"/>
      <c r="D45" s="148"/>
      <c r="E45" s="148"/>
      <c r="F45" s="92"/>
      <c r="G45" s="92"/>
      <c r="H45" s="92"/>
      <c r="I45" s="92"/>
      <c r="J45" s="92"/>
      <c r="K45" s="92"/>
      <c r="L45" s="86"/>
      <c r="M45" s="86"/>
      <c r="N45" s="86"/>
      <c r="O45" s="86"/>
      <c r="P45" s="86"/>
      <c r="Q45" s="86"/>
      <c r="R45" s="86"/>
      <c r="S45" s="86"/>
      <c r="T45" s="86"/>
      <c r="U45" s="86"/>
    </row>
    <row r="46" spans="1:21" ht="13.5" thickBot="1" x14ac:dyDescent="0.25">
      <c r="A46" s="86"/>
      <c r="B46" s="91" t="s">
        <v>91</v>
      </c>
      <c r="C46" s="91"/>
      <c r="D46" s="86"/>
      <c r="E46" s="86"/>
      <c r="F46" s="86"/>
      <c r="G46" s="86"/>
      <c r="H46" s="86"/>
      <c r="I46" s="149" t="s">
        <v>146</v>
      </c>
      <c r="J46" s="95"/>
      <c r="K46" s="86"/>
      <c r="L46" s="86"/>
      <c r="M46" s="86"/>
      <c r="N46" s="91" t="s">
        <v>93</v>
      </c>
      <c r="O46" s="91"/>
      <c r="P46" s="86"/>
      <c r="Q46" s="86"/>
      <c r="R46" s="86"/>
      <c r="S46" s="86"/>
      <c r="T46" s="86"/>
      <c r="U46" s="86"/>
    </row>
    <row r="47" spans="1:21" x14ac:dyDescent="0.2">
      <c r="A47" s="86"/>
      <c r="B47" s="600" t="s">
        <v>38</v>
      </c>
      <c r="C47" s="601"/>
      <c r="D47" s="601"/>
      <c r="E47" s="601"/>
      <c r="F47" s="601"/>
      <c r="G47" s="658" t="s">
        <v>13</v>
      </c>
      <c r="H47" s="659"/>
      <c r="I47" s="659"/>
      <c r="J47" s="660"/>
      <c r="K47" s="575" t="s">
        <v>24</v>
      </c>
      <c r="L47" s="576"/>
      <c r="M47" s="661"/>
      <c r="N47" s="662" t="s">
        <v>13</v>
      </c>
      <c r="O47" s="659"/>
      <c r="P47" s="659"/>
      <c r="Q47" s="660"/>
      <c r="R47" s="575" t="s">
        <v>24</v>
      </c>
      <c r="S47" s="576"/>
      <c r="T47" s="661"/>
      <c r="U47" s="86"/>
    </row>
    <row r="48" spans="1:21" x14ac:dyDescent="0.2">
      <c r="A48" s="86"/>
      <c r="B48" s="603"/>
      <c r="C48" s="604"/>
      <c r="D48" s="604"/>
      <c r="E48" s="604"/>
      <c r="F48" s="604"/>
      <c r="G48" s="97" t="s">
        <v>25</v>
      </c>
      <c r="H48" s="97" t="s">
        <v>26</v>
      </c>
      <c r="I48" s="97" t="s">
        <v>27</v>
      </c>
      <c r="J48" s="99" t="s">
        <v>10</v>
      </c>
      <c r="K48" s="100" t="s">
        <v>10</v>
      </c>
      <c r="L48" s="97" t="s">
        <v>19</v>
      </c>
      <c r="M48" s="122" t="s">
        <v>28</v>
      </c>
      <c r="N48" s="150" t="s">
        <v>25</v>
      </c>
      <c r="O48" s="97" t="s">
        <v>26</v>
      </c>
      <c r="P48" s="97" t="s">
        <v>27</v>
      </c>
      <c r="Q48" s="99" t="s">
        <v>10</v>
      </c>
      <c r="R48" s="100" t="s">
        <v>10</v>
      </c>
      <c r="S48" s="97" t="s">
        <v>19</v>
      </c>
      <c r="T48" s="122" t="s">
        <v>28</v>
      </c>
      <c r="U48" s="86"/>
    </row>
    <row r="49" spans="1:21" x14ac:dyDescent="0.2">
      <c r="A49" s="101"/>
      <c r="B49" s="151" t="s">
        <v>147</v>
      </c>
      <c r="C49" s="124"/>
      <c r="D49" s="124"/>
      <c r="E49" s="124"/>
      <c r="F49" s="110" t="s">
        <v>25</v>
      </c>
      <c r="G49" s="219">
        <f>Inmunizaciones!E47</f>
        <v>0</v>
      </c>
      <c r="H49" s="341"/>
      <c r="I49" s="342"/>
      <c r="J49" s="340">
        <f>G49</f>
        <v>0</v>
      </c>
      <c r="K49" s="126"/>
      <c r="L49" s="126"/>
      <c r="M49" s="127"/>
      <c r="N49" s="219">
        <f>Inmunizaciones!H47</f>
        <v>0</v>
      </c>
      <c r="O49" s="341"/>
      <c r="P49" s="342"/>
      <c r="Q49" s="340">
        <f>N49</f>
        <v>0</v>
      </c>
      <c r="R49" s="126"/>
      <c r="S49" s="126"/>
      <c r="T49" s="127"/>
      <c r="U49" s="86"/>
    </row>
    <row r="50" spans="1:21" x14ac:dyDescent="0.2">
      <c r="A50" s="101"/>
      <c r="B50" s="151" t="s">
        <v>265</v>
      </c>
      <c r="C50" s="152"/>
      <c r="D50" s="152"/>
      <c r="E50" s="152"/>
      <c r="F50" s="110" t="s">
        <v>25</v>
      </c>
      <c r="G50" s="219">
        <f>Inmunizaciones!E48</f>
        <v>0</v>
      </c>
      <c r="H50" s="341"/>
      <c r="I50" s="342"/>
      <c r="J50" s="340">
        <f>G50</f>
        <v>0</v>
      </c>
      <c r="K50" s="126"/>
      <c r="L50" s="126"/>
      <c r="M50" s="127"/>
      <c r="N50" s="219">
        <f>Inmunizaciones!H48</f>
        <v>0</v>
      </c>
      <c r="O50" s="341"/>
      <c r="P50" s="342"/>
      <c r="Q50" s="340">
        <f>N50</f>
        <v>0</v>
      </c>
      <c r="R50" s="126"/>
      <c r="S50" s="126"/>
      <c r="T50" s="127"/>
      <c r="U50" s="86"/>
    </row>
    <row r="51" spans="1:21" x14ac:dyDescent="0.2">
      <c r="A51" s="101"/>
      <c r="B51" s="151" t="s">
        <v>148</v>
      </c>
      <c r="C51" s="124"/>
      <c r="D51" s="124"/>
      <c r="E51" s="124"/>
      <c r="F51" s="110" t="s">
        <v>25</v>
      </c>
      <c r="G51" s="219">
        <f>Inmunizaciones!E49</f>
        <v>0</v>
      </c>
      <c r="H51" s="341"/>
      <c r="I51" s="342"/>
      <c r="J51" s="340">
        <f>G51</f>
        <v>0</v>
      </c>
      <c r="K51" s="126"/>
      <c r="L51" s="126"/>
      <c r="M51" s="127"/>
      <c r="N51" s="219">
        <f>Inmunizaciones!H49</f>
        <v>0</v>
      </c>
      <c r="O51" s="341"/>
      <c r="P51" s="342"/>
      <c r="Q51" s="340">
        <f>N51</f>
        <v>0</v>
      </c>
      <c r="R51" s="126"/>
      <c r="S51" s="126"/>
      <c r="T51" s="127"/>
      <c r="U51" s="86"/>
    </row>
    <row r="52" spans="1:21" x14ac:dyDescent="0.2">
      <c r="A52" s="101"/>
      <c r="B52" s="397" t="s">
        <v>295</v>
      </c>
      <c r="C52" s="398"/>
      <c r="D52" s="399"/>
      <c r="E52" s="394"/>
      <c r="F52" s="400" t="s">
        <v>25</v>
      </c>
      <c r="G52" s="253">
        <f>Inmunizaciones!E61</f>
        <v>0</v>
      </c>
      <c r="H52" s="341"/>
      <c r="I52" s="342"/>
      <c r="J52" s="340">
        <f>G52</f>
        <v>0</v>
      </c>
      <c r="K52" s="126"/>
      <c r="L52" s="126"/>
      <c r="M52" s="127"/>
      <c r="N52" s="360"/>
      <c r="O52" s="361"/>
      <c r="P52" s="342"/>
      <c r="Q52" s="340"/>
      <c r="R52" s="126"/>
      <c r="S52" s="126"/>
      <c r="T52" s="127"/>
      <c r="U52" s="86"/>
    </row>
    <row r="53" spans="1:21" ht="12.75" customHeight="1" x14ac:dyDescent="0.2">
      <c r="A53" s="101"/>
      <c r="B53" s="670" t="s">
        <v>145</v>
      </c>
      <c r="C53" s="688"/>
      <c r="D53" s="132" t="s">
        <v>143</v>
      </c>
      <c r="E53" s="132"/>
      <c r="F53" s="134"/>
      <c r="G53" s="253">
        <f>Inmunizaciones!E50</f>
        <v>0</v>
      </c>
      <c r="H53" s="341"/>
      <c r="I53" s="342"/>
      <c r="J53" s="343">
        <f>G53</f>
        <v>0</v>
      </c>
      <c r="K53" s="129"/>
      <c r="L53" s="129"/>
      <c r="M53" s="130"/>
      <c r="N53" s="253">
        <f>Inmunizaciones!H50</f>
        <v>0</v>
      </c>
      <c r="O53" s="341"/>
      <c r="P53" s="342"/>
      <c r="Q53" s="343">
        <f>N53</f>
        <v>0</v>
      </c>
      <c r="R53" s="129"/>
      <c r="S53" s="129"/>
      <c r="T53" s="130"/>
      <c r="U53" s="86"/>
    </row>
    <row r="54" spans="1:21" x14ac:dyDescent="0.2">
      <c r="A54" s="101"/>
      <c r="B54" s="666"/>
      <c r="C54" s="689"/>
      <c r="D54" s="581" t="s">
        <v>7</v>
      </c>
      <c r="E54" s="582"/>
      <c r="F54" s="110" t="s">
        <v>104</v>
      </c>
      <c r="G54" s="253">
        <f>Inmunizaciones!E51</f>
        <v>0</v>
      </c>
      <c r="H54" s="253">
        <f>Inmunizaciones!F51</f>
        <v>0</v>
      </c>
      <c r="I54" s="345"/>
      <c r="J54" s="343">
        <f>G54+H54</f>
        <v>0</v>
      </c>
      <c r="K54" s="129"/>
      <c r="L54" s="129"/>
      <c r="M54" s="130"/>
      <c r="N54" s="253">
        <f>Inmunizaciones!H51</f>
        <v>0</v>
      </c>
      <c r="O54" s="253">
        <f>Inmunizaciones!I51</f>
        <v>0</v>
      </c>
      <c r="P54" s="345"/>
      <c r="Q54" s="343">
        <f>N54+O54</f>
        <v>0</v>
      </c>
      <c r="R54" s="129"/>
      <c r="S54" s="129"/>
      <c r="T54" s="130"/>
      <c r="U54" s="86"/>
    </row>
    <row r="55" spans="1:21" x14ac:dyDescent="0.2">
      <c r="A55" s="101"/>
      <c r="B55" s="666"/>
      <c r="C55" s="689"/>
      <c r="D55" s="587"/>
      <c r="E55" s="588"/>
      <c r="F55" s="108" t="s">
        <v>105</v>
      </c>
      <c r="G55" s="346"/>
      <c r="H55" s="347"/>
      <c r="I55" s="253">
        <f>Inmunizaciones!G52</f>
        <v>0</v>
      </c>
      <c r="J55" s="343">
        <f>I55</f>
        <v>0</v>
      </c>
      <c r="K55" s="129"/>
      <c r="L55" s="129"/>
      <c r="M55" s="130"/>
      <c r="N55" s="346"/>
      <c r="O55" s="347"/>
      <c r="P55" s="253">
        <f>Inmunizaciones!J52</f>
        <v>0</v>
      </c>
      <c r="Q55" s="343">
        <f>P55</f>
        <v>0</v>
      </c>
      <c r="R55" s="129"/>
      <c r="S55" s="129"/>
      <c r="T55" s="130"/>
      <c r="U55" s="86"/>
    </row>
    <row r="56" spans="1:21" x14ac:dyDescent="0.2">
      <c r="A56" s="101"/>
      <c r="B56" s="666"/>
      <c r="C56" s="689"/>
      <c r="D56" s="614" t="s">
        <v>40</v>
      </c>
      <c r="E56" s="614"/>
      <c r="F56" s="615"/>
      <c r="G56" s="253">
        <f>Inmunizaciones!E53</f>
        <v>0</v>
      </c>
      <c r="H56" s="253">
        <f>Inmunizaciones!F53</f>
        <v>0</v>
      </c>
      <c r="I56" s="253">
        <f>Inmunizaciones!G53</f>
        <v>0</v>
      </c>
      <c r="J56" s="343">
        <f>G56+H56+I56</f>
        <v>0</v>
      </c>
      <c r="K56" s="129"/>
      <c r="L56" s="129"/>
      <c r="M56" s="130"/>
      <c r="N56" s="253">
        <f>Inmunizaciones!H53</f>
        <v>0</v>
      </c>
      <c r="O56" s="253">
        <f>Inmunizaciones!I53</f>
        <v>0</v>
      </c>
      <c r="P56" s="253">
        <f>Inmunizaciones!J53</f>
        <v>0</v>
      </c>
      <c r="Q56" s="343">
        <f>N56+O56+P56</f>
        <v>0</v>
      </c>
      <c r="R56" s="129"/>
      <c r="S56" s="129"/>
      <c r="T56" s="130"/>
      <c r="U56" s="86"/>
    </row>
    <row r="57" spans="1:21" ht="12.75" customHeight="1" x14ac:dyDescent="0.2">
      <c r="A57" s="101"/>
      <c r="B57" s="666"/>
      <c r="C57" s="689"/>
      <c r="D57" s="802" t="s">
        <v>121</v>
      </c>
      <c r="E57" s="709"/>
      <c r="F57" s="110" t="s">
        <v>116</v>
      </c>
      <c r="G57" s="351"/>
      <c r="H57" s="253">
        <f>Inmunizaciones!F54</f>
        <v>0</v>
      </c>
      <c r="I57" s="253">
        <f>Inmunizaciones!G54</f>
        <v>0</v>
      </c>
      <c r="J57" s="343">
        <f>H57+I57</f>
        <v>0</v>
      </c>
      <c r="K57" s="129"/>
      <c r="L57" s="129"/>
      <c r="M57" s="130"/>
      <c r="N57" s="351"/>
      <c r="O57" s="253">
        <f>Inmunizaciones!I54</f>
        <v>0</v>
      </c>
      <c r="P57" s="253">
        <f>Inmunizaciones!J54</f>
        <v>0</v>
      </c>
      <c r="Q57" s="343">
        <f>O57+P57</f>
        <v>0</v>
      </c>
      <c r="R57" s="129"/>
      <c r="S57" s="129"/>
      <c r="T57" s="130"/>
      <c r="U57" s="86"/>
    </row>
    <row r="58" spans="1:21" x14ac:dyDescent="0.2">
      <c r="A58" s="101"/>
      <c r="B58" s="666"/>
      <c r="C58" s="689"/>
      <c r="D58" s="803"/>
      <c r="E58" s="711"/>
      <c r="F58" s="108" t="s">
        <v>84</v>
      </c>
      <c r="G58" s="352"/>
      <c r="H58" s="253">
        <f>Inmunizaciones!F55</f>
        <v>0</v>
      </c>
      <c r="I58" s="253">
        <f>Inmunizaciones!G55</f>
        <v>0</v>
      </c>
      <c r="J58" s="343">
        <f>H58+I58</f>
        <v>0</v>
      </c>
      <c r="K58" s="129"/>
      <c r="L58" s="129"/>
      <c r="M58" s="130"/>
      <c r="N58" s="352"/>
      <c r="O58" s="253">
        <f>Inmunizaciones!I55</f>
        <v>0</v>
      </c>
      <c r="P58" s="253">
        <f>Inmunizaciones!J55</f>
        <v>0</v>
      </c>
      <c r="Q58" s="343">
        <f>O58+P58</f>
        <v>0</v>
      </c>
      <c r="R58" s="129"/>
      <c r="S58" s="129"/>
      <c r="T58" s="130"/>
      <c r="U58" s="86"/>
    </row>
    <row r="59" spans="1:21" x14ac:dyDescent="0.2">
      <c r="A59" s="101"/>
      <c r="B59" s="666"/>
      <c r="C59" s="689"/>
      <c r="D59" s="804"/>
      <c r="E59" s="713"/>
      <c r="F59" s="114" t="s">
        <v>85</v>
      </c>
      <c r="G59" s="352"/>
      <c r="H59" s="253">
        <f>Inmunizaciones!F56</f>
        <v>0</v>
      </c>
      <c r="I59" s="253">
        <f>Inmunizaciones!G56</f>
        <v>0</v>
      </c>
      <c r="J59" s="343">
        <f>H59+I59</f>
        <v>0</v>
      </c>
      <c r="K59" s="129"/>
      <c r="L59" s="129"/>
      <c r="M59" s="130"/>
      <c r="N59" s="352"/>
      <c r="O59" s="253">
        <f>Inmunizaciones!I56</f>
        <v>0</v>
      </c>
      <c r="P59" s="253">
        <f>Inmunizaciones!J56</f>
        <v>0</v>
      </c>
      <c r="Q59" s="343">
        <f>O59+P59</f>
        <v>0</v>
      </c>
      <c r="R59" s="129"/>
      <c r="S59" s="129"/>
      <c r="T59" s="130"/>
      <c r="U59" s="86"/>
    </row>
    <row r="60" spans="1:21" x14ac:dyDescent="0.2">
      <c r="A60" s="101"/>
      <c r="B60" s="666"/>
      <c r="C60" s="689"/>
      <c r="D60" s="805" t="s">
        <v>88</v>
      </c>
      <c r="E60" s="805"/>
      <c r="F60" s="806"/>
      <c r="G60" s="219">
        <f>Inmunizaciones!E57</f>
        <v>0</v>
      </c>
      <c r="H60" s="219">
        <f>Inmunizaciones!F57</f>
        <v>0</v>
      </c>
      <c r="I60" s="362"/>
      <c r="J60" s="363">
        <f>G60+H60</f>
        <v>0</v>
      </c>
      <c r="K60" s="153"/>
      <c r="L60" s="153"/>
      <c r="M60" s="154"/>
      <c r="N60" s="253">
        <f>Inmunizaciones!H57</f>
        <v>0</v>
      </c>
      <c r="O60" s="253">
        <f>Inmunizaciones!I57</f>
        <v>0</v>
      </c>
      <c r="P60" s="362"/>
      <c r="Q60" s="363">
        <f>N60+O60</f>
        <v>0</v>
      </c>
      <c r="R60" s="155"/>
      <c r="S60" s="129"/>
      <c r="T60" s="130"/>
      <c r="U60" s="86"/>
    </row>
    <row r="61" spans="1:21" ht="12.75" customHeight="1" x14ac:dyDescent="0.2">
      <c r="A61" s="101"/>
      <c r="B61" s="666"/>
      <c r="C61" s="689"/>
      <c r="D61" s="797" t="s">
        <v>300</v>
      </c>
      <c r="E61" s="807"/>
      <c r="F61" s="807"/>
      <c r="G61" s="253">
        <f>Inmunizaciones!E62</f>
        <v>0</v>
      </c>
      <c r="H61" s="346"/>
      <c r="I61" s="342"/>
      <c r="J61" s="364">
        <f>G61</f>
        <v>0</v>
      </c>
      <c r="K61" s="142"/>
      <c r="L61" s="142"/>
      <c r="M61" s="143"/>
      <c r="N61" s="445">
        <f>Inmunizaciones!H62</f>
        <v>0</v>
      </c>
      <c r="O61" s="346"/>
      <c r="P61" s="342"/>
      <c r="Q61" s="364">
        <f>N61</f>
        <v>0</v>
      </c>
      <c r="R61" s="365"/>
      <c r="S61" s="142"/>
      <c r="T61" s="143"/>
      <c r="U61" s="86"/>
    </row>
    <row r="62" spans="1:21" x14ac:dyDescent="0.2">
      <c r="A62" s="101"/>
      <c r="B62" s="666"/>
      <c r="C62" s="689"/>
      <c r="D62" s="401" t="s">
        <v>42</v>
      </c>
      <c r="E62" s="402"/>
      <c r="F62" s="402"/>
      <c r="G62" s="219">
        <f>Inmunizaciones!J38</f>
        <v>0</v>
      </c>
      <c r="H62" s="219">
        <f>Inmunizaciones!K38</f>
        <v>0</v>
      </c>
      <c r="I62" s="361"/>
      <c r="J62" s="364">
        <f>G62+H62</f>
        <v>0</v>
      </c>
      <c r="K62" s="142"/>
      <c r="L62" s="142"/>
      <c r="M62" s="143"/>
      <c r="N62" s="444">
        <f>Inmunizaciones!J39</f>
        <v>0</v>
      </c>
      <c r="O62" s="444">
        <f>Inmunizaciones!K39</f>
        <v>0</v>
      </c>
      <c r="P62" s="361"/>
      <c r="Q62" s="364">
        <f>N62+O62</f>
        <v>0</v>
      </c>
      <c r="R62" s="365"/>
      <c r="S62" s="142"/>
      <c r="T62" s="143"/>
      <c r="U62" s="86"/>
    </row>
    <row r="63" spans="1:21" ht="13.5" customHeight="1" thickBot="1" x14ac:dyDescent="0.25">
      <c r="A63" s="101"/>
      <c r="B63" s="798" t="s">
        <v>122</v>
      </c>
      <c r="C63" s="799"/>
      <c r="D63" s="799"/>
      <c r="E63" s="799"/>
      <c r="F63" s="800"/>
      <c r="G63" s="220">
        <f>Inmunizaciones!E58</f>
        <v>0</v>
      </c>
      <c r="H63" s="366"/>
      <c r="I63" s="367"/>
      <c r="J63" s="359">
        <f t="shared" ref="J63" si="1">G63</f>
        <v>0</v>
      </c>
      <c r="K63" s="156"/>
      <c r="L63" s="156"/>
      <c r="M63" s="157"/>
      <c r="N63" s="220">
        <f>Inmunizaciones!H58</f>
        <v>0</v>
      </c>
      <c r="O63" s="366"/>
      <c r="P63" s="367"/>
      <c r="Q63" s="359">
        <f t="shared" ref="Q63" si="2">N63</f>
        <v>0</v>
      </c>
      <c r="R63" s="145"/>
      <c r="S63" s="156"/>
      <c r="T63" s="157"/>
      <c r="U63" s="86"/>
    </row>
    <row r="64" spans="1:21" x14ac:dyDescent="0.2">
      <c r="A64" s="101"/>
      <c r="B64" s="147"/>
      <c r="C64" s="147"/>
      <c r="D64" s="801"/>
      <c r="E64" s="801"/>
      <c r="F64" s="801"/>
      <c r="G64" s="92"/>
      <c r="H64" s="92"/>
      <c r="I64" s="92"/>
      <c r="J64" s="92"/>
      <c r="K64" s="92"/>
      <c r="L64" s="86"/>
      <c r="M64" s="86"/>
      <c r="N64" s="92"/>
      <c r="O64" s="92"/>
      <c r="P64" s="92"/>
      <c r="Q64" s="92"/>
      <c r="R64" s="92"/>
      <c r="S64" s="92"/>
      <c r="T64" s="86"/>
      <c r="U64" s="86"/>
    </row>
    <row r="65" spans="1:21" ht="15" thickBot="1" x14ac:dyDescent="0.25">
      <c r="A65" s="86"/>
      <c r="B65" s="91" t="s">
        <v>94</v>
      </c>
      <c r="C65" s="91"/>
      <c r="D65" s="86"/>
      <c r="E65" s="86"/>
      <c r="F65" s="86"/>
      <c r="G65" s="86"/>
      <c r="H65" s="93"/>
      <c r="I65" s="94"/>
      <c r="J65" s="149" t="s">
        <v>92</v>
      </c>
      <c r="K65" s="95"/>
      <c r="L65" s="86"/>
      <c r="M65" s="86"/>
      <c r="N65" s="91" t="s">
        <v>149</v>
      </c>
      <c r="O65" s="86"/>
      <c r="P65" s="86"/>
      <c r="Q65" s="86"/>
      <c r="R65" s="86"/>
      <c r="S65" s="86"/>
      <c r="T65" s="410">
        <v>1</v>
      </c>
      <c r="U65" s="86"/>
    </row>
    <row r="66" spans="1:21" ht="13.5" thickBot="1" x14ac:dyDescent="0.25">
      <c r="A66" s="86"/>
      <c r="B66" s="600" t="s">
        <v>38</v>
      </c>
      <c r="C66" s="601"/>
      <c r="D66" s="601"/>
      <c r="E66" s="601"/>
      <c r="F66" s="602"/>
      <c r="G66" s="658" t="s">
        <v>13</v>
      </c>
      <c r="H66" s="659"/>
      <c r="I66" s="659"/>
      <c r="J66" s="660"/>
      <c r="K66" s="575" t="s">
        <v>24</v>
      </c>
      <c r="L66" s="576"/>
      <c r="M66" s="661"/>
      <c r="N66" s="368" t="s">
        <v>301</v>
      </c>
      <c r="O66" s="369"/>
      <c r="P66" s="369"/>
      <c r="Q66" s="369"/>
      <c r="R66" s="370" t="s">
        <v>92</v>
      </c>
      <c r="S66" s="371"/>
      <c r="T66" s="372"/>
      <c r="U66" s="86"/>
    </row>
    <row r="67" spans="1:21" x14ac:dyDescent="0.2">
      <c r="A67" s="86"/>
      <c r="B67" s="603"/>
      <c r="C67" s="604"/>
      <c r="D67" s="604"/>
      <c r="E67" s="604"/>
      <c r="F67" s="605"/>
      <c r="G67" s="97" t="s">
        <v>25</v>
      </c>
      <c r="H67" s="97" t="s">
        <v>26</v>
      </c>
      <c r="I67" s="97" t="s">
        <v>27</v>
      </c>
      <c r="J67" s="99" t="s">
        <v>10</v>
      </c>
      <c r="K67" s="100" t="s">
        <v>10</v>
      </c>
      <c r="L67" s="97" t="s">
        <v>19</v>
      </c>
      <c r="M67" s="122" t="s">
        <v>28</v>
      </c>
      <c r="N67" s="686" t="s">
        <v>150</v>
      </c>
      <c r="O67" s="658" t="s">
        <v>13</v>
      </c>
      <c r="P67" s="659"/>
      <c r="Q67" s="659"/>
      <c r="R67" s="660"/>
      <c r="S67" s="575" t="s">
        <v>31</v>
      </c>
      <c r="T67" s="661"/>
      <c r="U67" s="86"/>
    </row>
    <row r="68" spans="1:21" x14ac:dyDescent="0.2">
      <c r="A68" s="101"/>
      <c r="B68" s="151" t="s">
        <v>147</v>
      </c>
      <c r="C68" s="124"/>
      <c r="D68" s="124"/>
      <c r="E68" s="124"/>
      <c r="F68" s="110" t="s">
        <v>25</v>
      </c>
      <c r="G68" s="219">
        <f>Inmunizaciones!K47</f>
        <v>0</v>
      </c>
      <c r="H68" s="341"/>
      <c r="I68" s="342"/>
      <c r="J68" s="340">
        <f>G68</f>
        <v>0</v>
      </c>
      <c r="K68" s="126"/>
      <c r="L68" s="126"/>
      <c r="M68" s="158"/>
      <c r="N68" s="687"/>
      <c r="O68" s="100" t="s">
        <v>25</v>
      </c>
      <c r="P68" s="97" t="s">
        <v>26</v>
      </c>
      <c r="Q68" s="97" t="s">
        <v>27</v>
      </c>
      <c r="R68" s="99" t="s">
        <v>10</v>
      </c>
      <c r="S68" s="99" t="s">
        <v>19</v>
      </c>
      <c r="T68" s="122" t="s">
        <v>28</v>
      </c>
      <c r="U68" s="86"/>
    </row>
    <row r="69" spans="1:21" x14ac:dyDescent="0.2">
      <c r="A69" s="101"/>
      <c r="B69" s="151" t="s">
        <v>265</v>
      </c>
      <c r="C69" s="124"/>
      <c r="D69" s="124"/>
      <c r="E69" s="124"/>
      <c r="F69" s="110" t="s">
        <v>25</v>
      </c>
      <c r="G69" s="219">
        <f>Inmunizaciones!K48</f>
        <v>0</v>
      </c>
      <c r="H69" s="341"/>
      <c r="I69" s="342"/>
      <c r="J69" s="340">
        <f>G69</f>
        <v>0</v>
      </c>
      <c r="K69" s="126"/>
      <c r="L69" s="126"/>
      <c r="M69" s="158"/>
      <c r="N69" s="167" t="s">
        <v>151</v>
      </c>
      <c r="O69" s="219">
        <f>Inmunizaciones!C66</f>
        <v>0</v>
      </c>
      <c r="P69" s="219">
        <f>Inmunizaciones!D66</f>
        <v>0</v>
      </c>
      <c r="Q69" s="219">
        <f>Inmunizaciones!E66</f>
        <v>0</v>
      </c>
      <c r="R69" s="343">
        <f>O69+P69+Q69</f>
        <v>0</v>
      </c>
      <c r="S69" s="126"/>
      <c r="T69" s="158"/>
      <c r="U69" s="86"/>
    </row>
    <row r="70" spans="1:21" x14ac:dyDescent="0.2">
      <c r="A70" s="101"/>
      <c r="B70" s="151" t="s">
        <v>148</v>
      </c>
      <c r="C70" s="124"/>
      <c r="D70" s="124"/>
      <c r="E70" s="124"/>
      <c r="F70" s="110" t="s">
        <v>25</v>
      </c>
      <c r="G70" s="219">
        <f>Inmunizaciones!K49</f>
        <v>0</v>
      </c>
      <c r="H70" s="341"/>
      <c r="I70" s="342"/>
      <c r="J70" s="340">
        <f>G70</f>
        <v>0</v>
      </c>
      <c r="K70" s="126"/>
      <c r="L70" s="126"/>
      <c r="M70" s="158"/>
      <c r="N70" s="167" t="s">
        <v>152</v>
      </c>
      <c r="O70" s="219">
        <f>Inmunizaciones!C67</f>
        <v>0</v>
      </c>
      <c r="P70" s="219">
        <f>Inmunizaciones!D67</f>
        <v>0</v>
      </c>
      <c r="Q70" s="219">
        <f>Inmunizaciones!E67</f>
        <v>0</v>
      </c>
      <c r="R70" s="343">
        <f>O70+P70+Q70</f>
        <v>0</v>
      </c>
      <c r="S70" s="126"/>
      <c r="T70" s="158"/>
      <c r="U70" s="86"/>
    </row>
    <row r="71" spans="1:21" ht="12.75" customHeight="1" x14ac:dyDescent="0.2">
      <c r="A71" s="101"/>
      <c r="B71" s="670" t="s">
        <v>145</v>
      </c>
      <c r="C71" s="688"/>
      <c r="D71" s="131" t="s">
        <v>143</v>
      </c>
      <c r="E71" s="132"/>
      <c r="F71" s="134"/>
      <c r="G71" s="219">
        <f>Inmunizaciones!K50</f>
        <v>0</v>
      </c>
      <c r="H71" s="341"/>
      <c r="I71" s="342"/>
      <c r="J71" s="343">
        <f>G71</f>
        <v>0</v>
      </c>
      <c r="K71" s="129"/>
      <c r="L71" s="129"/>
      <c r="M71" s="158"/>
      <c r="N71" s="167" t="s">
        <v>153</v>
      </c>
      <c r="O71" s="219">
        <f>Inmunizaciones!C68</f>
        <v>0</v>
      </c>
      <c r="P71" s="219">
        <f>Inmunizaciones!D68</f>
        <v>0</v>
      </c>
      <c r="Q71" s="219">
        <f>Inmunizaciones!E68</f>
        <v>0</v>
      </c>
      <c r="R71" s="343">
        <f>O71+P71+Q71</f>
        <v>0</v>
      </c>
      <c r="S71" s="129"/>
      <c r="T71" s="160"/>
      <c r="U71" s="86"/>
    </row>
    <row r="72" spans="1:21" x14ac:dyDescent="0.2">
      <c r="A72" s="101"/>
      <c r="B72" s="666"/>
      <c r="C72" s="689"/>
      <c r="D72" s="702" t="s">
        <v>7</v>
      </c>
      <c r="E72" s="582"/>
      <c r="F72" s="110" t="s">
        <v>104</v>
      </c>
      <c r="G72" s="219">
        <f>Inmunizaciones!K51</f>
        <v>0</v>
      </c>
      <c r="H72" s="219">
        <f>Inmunizaciones!L51</f>
        <v>0</v>
      </c>
      <c r="I72" s="345"/>
      <c r="J72" s="343">
        <f>G72+H72</f>
        <v>0</v>
      </c>
      <c r="K72" s="129"/>
      <c r="L72" s="129"/>
      <c r="M72" s="158"/>
      <c r="N72" s="167" t="s">
        <v>154</v>
      </c>
      <c r="O72" s="219">
        <f>Inmunizaciones!C69</f>
        <v>0</v>
      </c>
      <c r="P72" s="219">
        <f>Inmunizaciones!D69</f>
        <v>0</v>
      </c>
      <c r="Q72" s="219">
        <f>Inmunizaciones!E69</f>
        <v>0</v>
      </c>
      <c r="R72" s="373">
        <f>O72+P72+Q72</f>
        <v>0</v>
      </c>
      <c r="S72" s="155"/>
      <c r="T72" s="168"/>
      <c r="U72" s="86"/>
    </row>
    <row r="73" spans="1:21" x14ac:dyDescent="0.2">
      <c r="A73" s="101"/>
      <c r="B73" s="666"/>
      <c r="C73" s="689"/>
      <c r="D73" s="703"/>
      <c r="E73" s="588"/>
      <c r="F73" s="108" t="s">
        <v>105</v>
      </c>
      <c r="G73" s="346"/>
      <c r="H73" s="347"/>
      <c r="I73" s="253">
        <f>Inmunizaciones!M52</f>
        <v>0</v>
      </c>
      <c r="J73" s="343">
        <f>I73</f>
        <v>0</v>
      </c>
      <c r="K73" s="129"/>
      <c r="L73" s="129"/>
      <c r="M73" s="158"/>
      <c r="N73" s="167" t="s">
        <v>267</v>
      </c>
      <c r="O73" s="219">
        <f>Inmunizaciones!C70</f>
        <v>0</v>
      </c>
      <c r="P73" s="219">
        <f>Inmunizaciones!D70</f>
        <v>0</v>
      </c>
      <c r="Q73" s="219">
        <f>Inmunizaciones!E70</f>
        <v>0</v>
      </c>
      <c r="R73" s="373">
        <f t="shared" ref="R73:R74" si="3">O73+P73+Q73</f>
        <v>0</v>
      </c>
      <c r="S73" s="155"/>
      <c r="T73" s="168"/>
      <c r="U73" s="86"/>
    </row>
    <row r="74" spans="1:21" ht="13.5" thickBot="1" x14ac:dyDescent="0.25">
      <c r="A74" s="101"/>
      <c r="B74" s="666"/>
      <c r="C74" s="689"/>
      <c r="D74" s="704" t="s">
        <v>40</v>
      </c>
      <c r="E74" s="614"/>
      <c r="F74" s="615"/>
      <c r="G74" s="253">
        <f>Inmunizaciones!K53</f>
        <v>0</v>
      </c>
      <c r="H74" s="253">
        <f>Inmunizaciones!L53</f>
        <v>0</v>
      </c>
      <c r="I74" s="253">
        <f>Inmunizaciones!M53</f>
        <v>0</v>
      </c>
      <c r="J74" s="343">
        <f>G74+H74+I74</f>
        <v>0</v>
      </c>
      <c r="K74" s="129"/>
      <c r="L74" s="129"/>
      <c r="M74" s="158"/>
      <c r="N74" s="172" t="s">
        <v>302</v>
      </c>
      <c r="O74" s="220">
        <f>Inmunizaciones!C71</f>
        <v>0</v>
      </c>
      <c r="P74" s="220">
        <f>Inmunizaciones!D71</f>
        <v>0</v>
      </c>
      <c r="Q74" s="220">
        <f>Inmunizaciones!E71</f>
        <v>0</v>
      </c>
      <c r="R74" s="359">
        <f t="shared" si="3"/>
        <v>0</v>
      </c>
      <c r="S74" s="145"/>
      <c r="T74" s="173"/>
      <c r="U74" s="86"/>
    </row>
    <row r="75" spans="1:21" ht="12.75" customHeight="1" x14ac:dyDescent="0.2">
      <c r="A75" s="101"/>
      <c r="B75" s="666"/>
      <c r="C75" s="689"/>
      <c r="D75" s="708" t="s">
        <v>121</v>
      </c>
      <c r="E75" s="709"/>
      <c r="F75" s="110" t="s">
        <v>116</v>
      </c>
      <c r="G75" s="351"/>
      <c r="H75" s="253">
        <f>Inmunizaciones!L54</f>
        <v>0</v>
      </c>
      <c r="I75" s="253">
        <f>Inmunizaciones!M54</f>
        <v>0</v>
      </c>
      <c r="J75" s="343">
        <f>H75+I75</f>
        <v>0</v>
      </c>
      <c r="K75" s="129"/>
      <c r="L75" s="129"/>
      <c r="M75" s="158"/>
      <c r="N75" s="86"/>
      <c r="O75" s="86"/>
      <c r="P75" s="86"/>
      <c r="Q75" s="86"/>
      <c r="R75" s="86"/>
      <c r="S75" s="86"/>
      <c r="T75" s="86"/>
      <c r="U75" s="86"/>
    </row>
    <row r="76" spans="1:21" ht="13.5" thickBot="1" x14ac:dyDescent="0.25">
      <c r="A76" s="101"/>
      <c r="B76" s="666"/>
      <c r="C76" s="689"/>
      <c r="D76" s="710"/>
      <c r="E76" s="711"/>
      <c r="F76" s="108" t="s">
        <v>84</v>
      </c>
      <c r="G76" s="352"/>
      <c r="H76" s="253">
        <f>Inmunizaciones!L55</f>
        <v>0</v>
      </c>
      <c r="I76" s="253">
        <f>Inmunizaciones!M55</f>
        <v>0</v>
      </c>
      <c r="J76" s="343">
        <f>H76+I76</f>
        <v>0</v>
      </c>
      <c r="K76" s="129"/>
      <c r="L76" s="129"/>
      <c r="M76" s="158"/>
      <c r="N76" s="91" t="s">
        <v>303</v>
      </c>
      <c r="O76" s="86"/>
      <c r="P76" s="86"/>
      <c r="Q76" s="86"/>
      <c r="R76" s="149" t="s">
        <v>92</v>
      </c>
      <c r="S76" s="95"/>
      <c r="T76" s="86"/>
      <c r="U76" s="86"/>
    </row>
    <row r="77" spans="1:21" x14ac:dyDescent="0.2">
      <c r="A77" s="101"/>
      <c r="B77" s="666"/>
      <c r="C77" s="689"/>
      <c r="D77" s="712"/>
      <c r="E77" s="713"/>
      <c r="F77" s="114" t="s">
        <v>85</v>
      </c>
      <c r="G77" s="352"/>
      <c r="H77" s="253">
        <f>Inmunizaciones!L56</f>
        <v>0</v>
      </c>
      <c r="I77" s="253">
        <f>Inmunizaciones!M56</f>
        <v>0</v>
      </c>
      <c r="J77" s="343">
        <f>H77+I77</f>
        <v>0</v>
      </c>
      <c r="K77" s="129"/>
      <c r="L77" s="129"/>
      <c r="M77" s="158"/>
      <c r="N77" s="686" t="s">
        <v>150</v>
      </c>
      <c r="O77" s="790" t="s">
        <v>304</v>
      </c>
      <c r="P77" s="791"/>
      <c r="Q77" s="792"/>
      <c r="R77" s="454" t="s">
        <v>353</v>
      </c>
      <c r="S77" s="575" t="s">
        <v>31</v>
      </c>
      <c r="T77" s="661"/>
      <c r="U77" s="86"/>
    </row>
    <row r="78" spans="1:21" x14ac:dyDescent="0.2">
      <c r="A78" s="101"/>
      <c r="B78" s="666"/>
      <c r="C78" s="689"/>
      <c r="D78" s="793" t="s">
        <v>88</v>
      </c>
      <c r="E78" s="617"/>
      <c r="F78" s="618"/>
      <c r="G78" s="253">
        <f>Inmunizaciones!K57</f>
        <v>0</v>
      </c>
      <c r="H78" s="253">
        <f>Inmunizaciones!L57</f>
        <v>0</v>
      </c>
      <c r="I78" s="362"/>
      <c r="J78" s="373">
        <f>G78+H78</f>
        <v>0</v>
      </c>
      <c r="K78" s="129"/>
      <c r="L78" s="129"/>
      <c r="M78" s="158"/>
      <c r="N78" s="687"/>
      <c r="O78" s="99" t="s">
        <v>25</v>
      </c>
      <c r="P78" s="99" t="s">
        <v>26</v>
      </c>
      <c r="Q78" s="99" t="s">
        <v>27</v>
      </c>
      <c r="R78" s="455" t="s">
        <v>305</v>
      </c>
      <c r="S78" s="99" t="s">
        <v>19</v>
      </c>
      <c r="T78" s="122" t="s">
        <v>28</v>
      </c>
      <c r="U78" s="86"/>
    </row>
    <row r="79" spans="1:21" x14ac:dyDescent="0.2">
      <c r="A79" s="101"/>
      <c r="B79" s="666"/>
      <c r="C79" s="689"/>
      <c r="D79" s="794" t="s">
        <v>306</v>
      </c>
      <c r="E79" s="795"/>
      <c r="F79" s="796"/>
      <c r="G79" s="219">
        <f>Inmunizaciones!K62</f>
        <v>0</v>
      </c>
      <c r="H79" s="374"/>
      <c r="I79" s="342"/>
      <c r="J79" s="373">
        <f>G79</f>
        <v>0</v>
      </c>
      <c r="K79" s="129"/>
      <c r="L79" s="129"/>
      <c r="M79" s="158"/>
      <c r="N79" s="167" t="s">
        <v>151</v>
      </c>
      <c r="O79" s="219">
        <f>Inmunizaciones!C75</f>
        <v>0</v>
      </c>
      <c r="P79" s="219">
        <f>Inmunizaciones!D75</f>
        <v>0</v>
      </c>
      <c r="Q79" s="219">
        <f>Inmunizaciones!E75</f>
        <v>0</v>
      </c>
      <c r="R79" s="453">
        <f>Inmunizaciones!H75</f>
        <v>0</v>
      </c>
      <c r="S79" s="155"/>
      <c r="T79" s="168"/>
      <c r="U79" s="86"/>
    </row>
    <row r="80" spans="1:21" x14ac:dyDescent="0.2">
      <c r="A80" s="101"/>
      <c r="B80" s="668"/>
      <c r="C80" s="768"/>
      <c r="D80" s="797" t="s">
        <v>42</v>
      </c>
      <c r="E80" s="797"/>
      <c r="F80" s="797"/>
      <c r="G80" s="219">
        <f>Inmunizaciones!J40</f>
        <v>0</v>
      </c>
      <c r="H80" s="219">
        <f>Inmunizaciones!K40</f>
        <v>0</v>
      </c>
      <c r="I80" s="375"/>
      <c r="J80" s="343">
        <f>G80+H80</f>
        <v>0</v>
      </c>
      <c r="K80" s="129"/>
      <c r="L80" s="129"/>
      <c r="M80" s="158"/>
      <c r="N80" s="167" t="s">
        <v>152</v>
      </c>
      <c r="O80" s="219">
        <f>Inmunizaciones!C76</f>
        <v>0</v>
      </c>
      <c r="P80" s="219">
        <f>Inmunizaciones!D76</f>
        <v>0</v>
      </c>
      <c r="Q80" s="219">
        <f>Inmunizaciones!E76</f>
        <v>0</v>
      </c>
      <c r="R80" s="453">
        <f>Inmunizaciones!H76</f>
        <v>0</v>
      </c>
      <c r="S80" s="155"/>
      <c r="T80" s="168"/>
      <c r="U80" s="86"/>
    </row>
    <row r="81" spans="1:21" x14ac:dyDescent="0.2">
      <c r="A81" s="101"/>
      <c r="B81" s="773" t="s">
        <v>122</v>
      </c>
      <c r="C81" s="774"/>
      <c r="D81" s="774"/>
      <c r="E81" s="774"/>
      <c r="F81" s="775"/>
      <c r="G81" s="219">
        <f>Inmunizaciones!K58</f>
        <v>0</v>
      </c>
      <c r="H81" s="374"/>
      <c r="I81" s="342"/>
      <c r="J81" s="373">
        <f>G81</f>
        <v>0</v>
      </c>
      <c r="K81" s="129"/>
      <c r="L81" s="129"/>
      <c r="M81" s="158"/>
      <c r="N81" s="167" t="s">
        <v>153</v>
      </c>
      <c r="O81" s="219">
        <f>Inmunizaciones!C77</f>
        <v>0</v>
      </c>
      <c r="P81" s="219">
        <f>Inmunizaciones!D77</f>
        <v>0</v>
      </c>
      <c r="Q81" s="219">
        <f>Inmunizaciones!E77</f>
        <v>0</v>
      </c>
      <c r="R81" s="453">
        <f>Inmunizaciones!H77</f>
        <v>0</v>
      </c>
      <c r="S81" s="155"/>
      <c r="T81" s="168"/>
      <c r="U81" s="86"/>
    </row>
    <row r="82" spans="1:21" x14ac:dyDescent="0.2">
      <c r="A82" s="101"/>
      <c r="B82" s="151" t="s">
        <v>101</v>
      </c>
      <c r="C82" s="124"/>
      <c r="D82" s="313"/>
      <c r="E82" s="313"/>
      <c r="F82" s="114" t="s">
        <v>266</v>
      </c>
      <c r="G82" s="352"/>
      <c r="H82" s="253">
        <f>Inmunizaciones!L59</f>
        <v>0</v>
      </c>
      <c r="I82" s="342"/>
      <c r="J82" s="373">
        <f>H82</f>
        <v>0</v>
      </c>
      <c r="K82" s="129"/>
      <c r="L82" s="129"/>
      <c r="M82" s="158"/>
      <c r="N82" s="167" t="s">
        <v>154</v>
      </c>
      <c r="O82" s="219">
        <f>Inmunizaciones!C78</f>
        <v>0</v>
      </c>
      <c r="P82" s="219">
        <f>Inmunizaciones!D78</f>
        <v>0</v>
      </c>
      <c r="Q82" s="219">
        <f>Inmunizaciones!E78</f>
        <v>0</v>
      </c>
      <c r="R82" s="453">
        <f>Inmunizaciones!H78</f>
        <v>0</v>
      </c>
      <c r="S82" s="155"/>
      <c r="T82" s="168"/>
      <c r="U82" s="86"/>
    </row>
    <row r="83" spans="1:21" ht="13.5" thickBot="1" x14ac:dyDescent="0.25">
      <c r="A83" s="101"/>
      <c r="B83" s="169" t="s">
        <v>155</v>
      </c>
      <c r="C83" s="170"/>
      <c r="D83" s="170"/>
      <c r="E83" s="170"/>
      <c r="F83" s="280" t="s">
        <v>266</v>
      </c>
      <c r="G83" s="376"/>
      <c r="H83" s="266">
        <f>Inmunizaciones!L60</f>
        <v>0</v>
      </c>
      <c r="I83" s="377"/>
      <c r="J83" s="359">
        <f>H83</f>
        <v>0</v>
      </c>
      <c r="K83" s="156"/>
      <c r="L83" s="156"/>
      <c r="M83" s="173"/>
      <c r="N83" s="172" t="s">
        <v>307</v>
      </c>
      <c r="O83" s="220"/>
      <c r="P83" s="277"/>
      <c r="Q83" s="277"/>
      <c r="R83" s="403"/>
      <c r="S83" s="145"/>
      <c r="T83" s="173"/>
      <c r="U83" s="86"/>
    </row>
    <row r="84" spans="1:21" x14ac:dyDescent="0.2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</row>
    <row r="85" spans="1:21" ht="15" thickBot="1" x14ac:dyDescent="0.25">
      <c r="A85" s="86"/>
      <c r="B85" s="91" t="s">
        <v>156</v>
      </c>
      <c r="C85" s="91"/>
      <c r="D85" s="86"/>
      <c r="E85" s="86"/>
      <c r="F85" s="410">
        <v>3</v>
      </c>
      <c r="G85" s="86"/>
      <c r="H85" s="91" t="s">
        <v>157</v>
      </c>
      <c r="I85" s="91"/>
      <c r="J85" s="86"/>
      <c r="K85" s="174"/>
      <c r="L85" s="410">
        <v>4</v>
      </c>
      <c r="M85" s="86"/>
      <c r="N85" s="91" t="s">
        <v>158</v>
      </c>
      <c r="O85" s="86"/>
      <c r="P85" s="86"/>
      <c r="Q85" s="86"/>
      <c r="R85" s="410">
        <v>2</v>
      </c>
      <c r="S85" s="86"/>
      <c r="T85" s="86"/>
      <c r="U85" s="86"/>
    </row>
    <row r="86" spans="1:21" ht="13.5" thickBot="1" x14ac:dyDescent="0.25">
      <c r="A86" s="86"/>
      <c r="B86" s="91" t="s">
        <v>159</v>
      </c>
      <c r="C86" s="86"/>
      <c r="D86" s="86"/>
      <c r="E86" s="174"/>
      <c r="F86" s="174"/>
      <c r="G86" s="147"/>
      <c r="H86" s="91" t="s">
        <v>160</v>
      </c>
      <c r="I86" s="86"/>
      <c r="J86" s="86"/>
      <c r="K86" s="86"/>
      <c r="L86" s="147"/>
      <c r="M86" s="86"/>
      <c r="N86" s="686" t="s">
        <v>150</v>
      </c>
      <c r="O86" s="659" t="s">
        <v>13</v>
      </c>
      <c r="P86" s="659"/>
      <c r="Q86" s="659"/>
      <c r="R86" s="660"/>
      <c r="S86" s="575" t="s">
        <v>31</v>
      </c>
      <c r="T86" s="661"/>
      <c r="U86" s="86"/>
    </row>
    <row r="87" spans="1:21" x14ac:dyDescent="0.2">
      <c r="A87" s="86"/>
      <c r="B87" s="600" t="s">
        <v>161</v>
      </c>
      <c r="C87" s="601"/>
      <c r="D87" s="601"/>
      <c r="E87" s="602"/>
      <c r="F87" s="697" t="s">
        <v>10</v>
      </c>
      <c r="G87" s="147"/>
      <c r="H87" s="600" t="s">
        <v>269</v>
      </c>
      <c r="I87" s="601"/>
      <c r="J87" s="601"/>
      <c r="K87" s="602"/>
      <c r="L87" s="697" t="s">
        <v>10</v>
      </c>
      <c r="M87" s="86"/>
      <c r="N87" s="687"/>
      <c r="O87" s="100" t="s">
        <v>25</v>
      </c>
      <c r="P87" s="97" t="s">
        <v>26</v>
      </c>
      <c r="Q87" s="97" t="s">
        <v>27</v>
      </c>
      <c r="R87" s="99" t="s">
        <v>10</v>
      </c>
      <c r="S87" s="99" t="s">
        <v>19</v>
      </c>
      <c r="T87" s="122" t="s">
        <v>28</v>
      </c>
      <c r="U87" s="86"/>
    </row>
    <row r="88" spans="1:21" x14ac:dyDescent="0.2">
      <c r="A88" s="86"/>
      <c r="B88" s="603"/>
      <c r="C88" s="604"/>
      <c r="D88" s="604"/>
      <c r="E88" s="605"/>
      <c r="F88" s="698"/>
      <c r="G88" s="147"/>
      <c r="H88" s="699"/>
      <c r="I88" s="700"/>
      <c r="J88" s="700"/>
      <c r="K88" s="701"/>
      <c r="L88" s="698"/>
      <c r="M88" s="175"/>
      <c r="N88" s="167" t="s">
        <v>151</v>
      </c>
      <c r="O88" s="308">
        <f>Inmunizaciones!C135</f>
        <v>0</v>
      </c>
      <c r="P88" s="308">
        <f>Inmunizaciones!D135</f>
        <v>0</v>
      </c>
      <c r="Q88" s="308">
        <f>Inmunizaciones!E135</f>
        <v>0</v>
      </c>
      <c r="R88" s="373">
        <f>O88+P88+Q88</f>
        <v>0</v>
      </c>
      <c r="S88" s="155"/>
      <c r="T88" s="168"/>
      <c r="U88" s="86"/>
    </row>
    <row r="89" spans="1:21" ht="12.75" customHeight="1" x14ac:dyDescent="0.2">
      <c r="A89" s="101"/>
      <c r="B89" s="670" t="s">
        <v>270</v>
      </c>
      <c r="C89" s="688"/>
      <c r="D89" s="226" t="s">
        <v>162</v>
      </c>
      <c r="E89" s="177"/>
      <c r="F89" s="227">
        <f>Inmunizaciones!D102</f>
        <v>0</v>
      </c>
      <c r="G89" s="101"/>
      <c r="H89" s="670" t="s">
        <v>163</v>
      </c>
      <c r="I89" s="688"/>
      <c r="J89" s="176" t="s">
        <v>162</v>
      </c>
      <c r="K89" s="178"/>
      <c r="L89" s="314">
        <f>Inmunizaciones!C149</f>
        <v>0</v>
      </c>
      <c r="M89" s="175"/>
      <c r="N89" s="167" t="s">
        <v>152</v>
      </c>
      <c r="O89" s="308">
        <f>Inmunizaciones!C136</f>
        <v>0</v>
      </c>
      <c r="P89" s="308">
        <f>Inmunizaciones!D136</f>
        <v>0</v>
      </c>
      <c r="Q89" s="308">
        <f>Inmunizaciones!E136</f>
        <v>0</v>
      </c>
      <c r="R89" s="373">
        <f>O89+P89+Q89</f>
        <v>0</v>
      </c>
      <c r="S89" s="155"/>
      <c r="T89" s="168"/>
      <c r="U89" s="86"/>
    </row>
    <row r="90" spans="1:21" x14ac:dyDescent="0.2">
      <c r="A90" s="101"/>
      <c r="B90" s="666"/>
      <c r="C90" s="689"/>
      <c r="D90" s="226" t="s">
        <v>95</v>
      </c>
      <c r="E90" s="177"/>
      <c r="F90" s="227">
        <f>Inmunizaciones!D103</f>
        <v>0</v>
      </c>
      <c r="G90" s="101"/>
      <c r="H90" s="666"/>
      <c r="I90" s="689"/>
      <c r="J90" s="176" t="s">
        <v>95</v>
      </c>
      <c r="K90" s="178"/>
      <c r="L90" s="314">
        <f>Inmunizaciones!C150</f>
        <v>0</v>
      </c>
      <c r="M90" s="175"/>
      <c r="N90" s="167" t="s">
        <v>153</v>
      </c>
      <c r="O90" s="308">
        <f>Inmunizaciones!C137</f>
        <v>0</v>
      </c>
      <c r="P90" s="308">
        <f>Inmunizaciones!D137</f>
        <v>0</v>
      </c>
      <c r="Q90" s="308">
        <f>Inmunizaciones!E137</f>
        <v>0</v>
      </c>
      <c r="R90" s="373">
        <f>O90+P90+Q90</f>
        <v>0</v>
      </c>
      <c r="S90" s="155"/>
      <c r="T90" s="168"/>
      <c r="U90" s="86"/>
    </row>
    <row r="91" spans="1:21" x14ac:dyDescent="0.2">
      <c r="A91" s="101"/>
      <c r="B91" s="666"/>
      <c r="C91" s="689"/>
      <c r="D91" s="226" t="s">
        <v>96</v>
      </c>
      <c r="E91" s="177"/>
      <c r="F91" s="227">
        <f>Inmunizaciones!D104</f>
        <v>0</v>
      </c>
      <c r="G91" s="101"/>
      <c r="H91" s="666"/>
      <c r="I91" s="689"/>
      <c r="J91" s="176" t="s">
        <v>96</v>
      </c>
      <c r="K91" s="178"/>
      <c r="L91" s="314">
        <f>Inmunizaciones!C151</f>
        <v>0</v>
      </c>
      <c r="M91" s="175"/>
      <c r="N91" s="167" t="s">
        <v>164</v>
      </c>
      <c r="O91" s="308">
        <f>Inmunizaciones!C138</f>
        <v>0</v>
      </c>
      <c r="P91" s="308">
        <f>Inmunizaciones!D138</f>
        <v>0</v>
      </c>
      <c r="Q91" s="308">
        <f>Inmunizaciones!E138</f>
        <v>0</v>
      </c>
      <c r="R91" s="373">
        <f>O91+P91+Q91</f>
        <v>0</v>
      </c>
      <c r="S91" s="155"/>
      <c r="T91" s="168"/>
      <c r="U91" s="86"/>
    </row>
    <row r="92" spans="1:21" x14ac:dyDescent="0.2">
      <c r="A92" s="101"/>
      <c r="B92" s="666"/>
      <c r="C92" s="689"/>
      <c r="D92" s="226" t="s">
        <v>97</v>
      </c>
      <c r="E92" s="177"/>
      <c r="F92" s="227">
        <f>Inmunizaciones!D105</f>
        <v>0</v>
      </c>
      <c r="G92" s="101"/>
      <c r="H92" s="666"/>
      <c r="I92" s="689"/>
      <c r="J92" s="179" t="s">
        <v>97</v>
      </c>
      <c r="K92" s="180"/>
      <c r="L92" s="314">
        <f>Inmunizaciones!C152</f>
        <v>0</v>
      </c>
      <c r="M92" s="175"/>
      <c r="N92" s="167" t="s">
        <v>271</v>
      </c>
      <c r="O92" s="308">
        <f>Inmunizaciones!C139</f>
        <v>0</v>
      </c>
      <c r="P92" s="308">
        <f>Inmunizaciones!D139</f>
        <v>0</v>
      </c>
      <c r="Q92" s="308">
        <f>Inmunizaciones!E139</f>
        <v>0</v>
      </c>
      <c r="R92" s="373">
        <f>O92+P92+Q92</f>
        <v>0</v>
      </c>
      <c r="S92" s="155"/>
      <c r="T92" s="168"/>
      <c r="U92" s="86"/>
    </row>
    <row r="93" spans="1:21" ht="12.75" customHeight="1" x14ac:dyDescent="0.2">
      <c r="A93" s="101"/>
      <c r="B93" s="668"/>
      <c r="C93" s="768"/>
      <c r="D93" s="226" t="s">
        <v>272</v>
      </c>
      <c r="E93" s="177"/>
      <c r="F93" s="227">
        <f>Inmunizaciones!D106</f>
        <v>0</v>
      </c>
      <c r="G93" s="147"/>
      <c r="H93" s="668"/>
      <c r="I93" s="768"/>
      <c r="J93" s="408" t="s">
        <v>308</v>
      </c>
      <c r="K93" s="409"/>
      <c r="L93" s="314">
        <f>Inmunizaciones!C161</f>
        <v>0</v>
      </c>
      <c r="M93" s="86"/>
      <c r="N93" s="769" t="s">
        <v>309</v>
      </c>
      <c r="O93" s="771">
        <f>Inmunizaciones!C140</f>
        <v>0</v>
      </c>
      <c r="P93" s="731"/>
      <c r="Q93" s="731"/>
      <c r="R93" s="784">
        <f>O93</f>
        <v>0</v>
      </c>
      <c r="S93" s="729"/>
      <c r="T93" s="745"/>
      <c r="U93" s="86"/>
    </row>
    <row r="94" spans="1:21" ht="12.75" customHeight="1" x14ac:dyDescent="0.2">
      <c r="A94" s="101"/>
      <c r="B94" s="786" t="s">
        <v>275</v>
      </c>
      <c r="C94" s="787"/>
      <c r="D94" s="226" t="s">
        <v>162</v>
      </c>
      <c r="E94" s="177"/>
      <c r="F94" s="227">
        <f>Inmunizaciones!D107</f>
        <v>0</v>
      </c>
      <c r="G94" s="147"/>
      <c r="H94" s="181" t="s">
        <v>273</v>
      </c>
      <c r="I94" s="182"/>
      <c r="J94" s="182"/>
      <c r="K94" s="183"/>
      <c r="L94" s="315">
        <f>Inmunizaciones!C153</f>
        <v>0</v>
      </c>
      <c r="M94" s="184" t="s">
        <v>176</v>
      </c>
      <c r="N94" s="769"/>
      <c r="O94" s="771">
        <f>Inmunizaciones!C141</f>
        <v>0</v>
      </c>
      <c r="P94" s="731"/>
      <c r="Q94" s="731"/>
      <c r="R94" s="784"/>
      <c r="S94" s="729"/>
      <c r="T94" s="745"/>
      <c r="U94" s="86"/>
    </row>
    <row r="95" spans="1:21" ht="13.5" thickBot="1" x14ac:dyDescent="0.25">
      <c r="A95" s="101"/>
      <c r="B95" s="786"/>
      <c r="C95" s="787"/>
      <c r="D95" s="226" t="s">
        <v>95</v>
      </c>
      <c r="E95" s="177"/>
      <c r="F95" s="227">
        <f>Inmunizaciones!D108</f>
        <v>0</v>
      </c>
      <c r="G95" s="147"/>
      <c r="H95" s="181" t="s">
        <v>276</v>
      </c>
      <c r="I95" s="182"/>
      <c r="J95" s="182"/>
      <c r="K95" s="183"/>
      <c r="L95" s="315">
        <f>Inmunizaciones!C154</f>
        <v>0</v>
      </c>
      <c r="M95" s="184" t="s">
        <v>176</v>
      </c>
      <c r="N95" s="770"/>
      <c r="O95" s="772">
        <f>Inmunizaciones!C142</f>
        <v>0</v>
      </c>
      <c r="P95" s="732"/>
      <c r="Q95" s="732"/>
      <c r="R95" s="785"/>
      <c r="S95" s="730"/>
      <c r="T95" s="746"/>
      <c r="U95" s="86"/>
    </row>
    <row r="96" spans="1:21" x14ac:dyDescent="0.2">
      <c r="A96" s="101"/>
      <c r="B96" s="786"/>
      <c r="C96" s="787"/>
      <c r="D96" s="226" t="s">
        <v>96</v>
      </c>
      <c r="E96" s="177"/>
      <c r="F96" s="227">
        <f>Inmunizaciones!D109</f>
        <v>0</v>
      </c>
      <c r="G96" s="147"/>
      <c r="H96" s="181" t="s">
        <v>277</v>
      </c>
      <c r="I96" s="182"/>
      <c r="J96" s="182"/>
      <c r="K96" s="183"/>
      <c r="L96" s="315">
        <f>Inmunizaciones!C155</f>
        <v>0</v>
      </c>
      <c r="M96" s="184" t="s">
        <v>176</v>
      </c>
      <c r="N96" s="185"/>
      <c r="O96" s="91"/>
      <c r="P96" s="120"/>
      <c r="Q96" s="174"/>
      <c r="R96" s="174"/>
      <c r="S96" s="120"/>
      <c r="T96" s="120"/>
      <c r="U96" s="86"/>
    </row>
    <row r="97" spans="1:21" ht="14.25" x14ac:dyDescent="0.2">
      <c r="A97" s="101"/>
      <c r="B97" s="786"/>
      <c r="C97" s="787"/>
      <c r="D97" s="226" t="s">
        <v>97</v>
      </c>
      <c r="E97" s="177"/>
      <c r="F97" s="227">
        <f>Inmunizaciones!D110</f>
        <v>0</v>
      </c>
      <c r="G97" s="184"/>
      <c r="H97" s="181" t="s">
        <v>278</v>
      </c>
      <c r="I97" s="182"/>
      <c r="J97" s="182"/>
      <c r="K97" s="183"/>
      <c r="L97" s="315">
        <f>Inmunizaciones!C156</f>
        <v>0</v>
      </c>
      <c r="M97" s="184" t="s">
        <v>176</v>
      </c>
      <c r="N97" s="91" t="s">
        <v>166</v>
      </c>
      <c r="O97" s="86"/>
      <c r="P97" s="410">
        <v>6</v>
      </c>
      <c r="Q97" s="86"/>
      <c r="R97" s="91" t="s">
        <v>310</v>
      </c>
      <c r="S97" s="86"/>
      <c r="T97" s="410">
        <v>8</v>
      </c>
      <c r="U97" s="86"/>
    </row>
    <row r="98" spans="1:21" ht="12.75" customHeight="1" x14ac:dyDescent="0.2">
      <c r="A98" s="101"/>
      <c r="B98" s="786"/>
      <c r="C98" s="787"/>
      <c r="D98" s="226" t="s">
        <v>272</v>
      </c>
      <c r="E98" s="177"/>
      <c r="F98" s="227">
        <f>Inmunizaciones!D111</f>
        <v>0</v>
      </c>
      <c r="G98" s="184"/>
      <c r="H98" s="181" t="s">
        <v>279</v>
      </c>
      <c r="I98" s="182"/>
      <c r="J98" s="182"/>
      <c r="K98" s="183"/>
      <c r="L98" s="315">
        <f>Inmunizaciones!C157</f>
        <v>0</v>
      </c>
      <c r="M98" s="184" t="s">
        <v>176</v>
      </c>
      <c r="N98" s="91" t="s">
        <v>311</v>
      </c>
      <c r="O98" s="86"/>
      <c r="P98" s="120"/>
      <c r="Q98" s="86"/>
      <c r="R98" s="788" t="s">
        <v>312</v>
      </c>
      <c r="S98" s="788"/>
      <c r="T98" s="788"/>
      <c r="U98" s="86"/>
    </row>
    <row r="99" spans="1:21" ht="13.5" thickBot="1" x14ac:dyDescent="0.25">
      <c r="A99" s="101"/>
      <c r="B99" s="206" t="s">
        <v>215</v>
      </c>
      <c r="C99" s="187"/>
      <c r="D99" s="86"/>
      <c r="E99" s="188"/>
      <c r="F99" s="227">
        <f>Inmunizaciones!D112</f>
        <v>0</v>
      </c>
      <c r="G99" s="184"/>
      <c r="H99" s="181" t="s">
        <v>256</v>
      </c>
      <c r="I99" s="182"/>
      <c r="J99" s="182"/>
      <c r="K99" s="183"/>
      <c r="L99" s="315">
        <f>Inmunizaciones!C158</f>
        <v>0</v>
      </c>
      <c r="M99" s="184" t="s">
        <v>176</v>
      </c>
      <c r="N99" s="91" t="s">
        <v>313</v>
      </c>
      <c r="O99" s="86"/>
      <c r="P99" s="120"/>
      <c r="Q99" s="86"/>
      <c r="R99" s="789"/>
      <c r="S99" s="789"/>
      <c r="T99" s="789"/>
      <c r="U99" s="86"/>
    </row>
    <row r="100" spans="1:21" x14ac:dyDescent="0.2">
      <c r="A100" s="101"/>
      <c r="B100" s="189" t="s">
        <v>125</v>
      </c>
      <c r="C100" s="190"/>
      <c r="D100" s="191"/>
      <c r="E100" s="191"/>
      <c r="F100" s="227">
        <f>Inmunizaciones!D113</f>
        <v>0</v>
      </c>
      <c r="G100" s="184" t="s">
        <v>176</v>
      </c>
      <c r="H100" s="181" t="s">
        <v>280</v>
      </c>
      <c r="I100" s="182"/>
      <c r="J100" s="182"/>
      <c r="K100" s="183"/>
      <c r="L100" s="315">
        <f>Inmunizaciones!C159</f>
        <v>0</v>
      </c>
      <c r="M100" s="184" t="s">
        <v>176</v>
      </c>
      <c r="N100" s="600" t="s">
        <v>269</v>
      </c>
      <c r="O100" s="602"/>
      <c r="P100" s="424" t="s">
        <v>10</v>
      </c>
      <c r="Q100" s="86"/>
      <c r="R100" s="600" t="s">
        <v>282</v>
      </c>
      <c r="S100" s="602"/>
      <c r="T100" s="697" t="s">
        <v>10</v>
      </c>
      <c r="U100" s="86"/>
    </row>
    <row r="101" spans="1:21" ht="13.5" thickBot="1" x14ac:dyDescent="0.25">
      <c r="A101" s="86"/>
      <c r="B101" s="189" t="s">
        <v>126</v>
      </c>
      <c r="C101" s="190"/>
      <c r="D101" s="191"/>
      <c r="E101" s="191"/>
      <c r="F101" s="227">
        <f>Inmunizaciones!D114</f>
        <v>0</v>
      </c>
      <c r="G101" s="195" t="s">
        <v>176</v>
      </c>
      <c r="H101" s="192" t="s">
        <v>281</v>
      </c>
      <c r="I101" s="193"/>
      <c r="J101" s="193"/>
      <c r="K101" s="194"/>
      <c r="L101" s="316">
        <f>Inmunizaciones!C160</f>
        <v>0</v>
      </c>
      <c r="M101" s="195" t="s">
        <v>176</v>
      </c>
      <c r="N101" s="197" t="s">
        <v>162</v>
      </c>
      <c r="O101" s="178"/>
      <c r="P101" s="315">
        <f>Inmunizaciones!C95</f>
        <v>0</v>
      </c>
      <c r="Q101" s="86"/>
      <c r="R101" s="603" t="s">
        <v>283</v>
      </c>
      <c r="S101" s="605"/>
      <c r="T101" s="698"/>
      <c r="U101" s="86"/>
    </row>
    <row r="102" spans="1:21" x14ac:dyDescent="0.2">
      <c r="A102" s="86"/>
      <c r="B102" s="189" t="s">
        <v>45</v>
      </c>
      <c r="C102" s="190"/>
      <c r="D102" s="191"/>
      <c r="E102" s="191"/>
      <c r="F102" s="227">
        <f>Inmunizaciones!D115</f>
        <v>0</v>
      </c>
      <c r="G102" s="195" t="s">
        <v>176</v>
      </c>
      <c r="H102" s="86"/>
      <c r="I102" s="86"/>
      <c r="J102" s="86"/>
      <c r="K102" s="86"/>
      <c r="L102" s="86"/>
      <c r="M102" s="86"/>
      <c r="N102" s="197" t="s">
        <v>95</v>
      </c>
      <c r="O102" s="178"/>
      <c r="P102" s="315">
        <f>Inmunizaciones!C96</f>
        <v>0</v>
      </c>
      <c r="Q102" s="86"/>
      <c r="R102" s="415" t="s">
        <v>162</v>
      </c>
      <c r="S102" s="416"/>
      <c r="T102" s="315">
        <f>Inmunizaciones!C200</f>
        <v>0</v>
      </c>
      <c r="U102" s="86"/>
    </row>
    <row r="103" spans="1:21" x14ac:dyDescent="0.2">
      <c r="A103" s="86"/>
      <c r="B103" s="189" t="s">
        <v>285</v>
      </c>
      <c r="C103" s="190"/>
      <c r="D103" s="191"/>
      <c r="E103" s="191"/>
      <c r="F103" s="218">
        <f>Inmunizaciones!D117</f>
        <v>0</v>
      </c>
      <c r="G103" s="195" t="s">
        <v>176</v>
      </c>
      <c r="H103" s="86"/>
      <c r="I103" s="86"/>
      <c r="J103" s="86"/>
      <c r="K103" s="86"/>
      <c r="L103" s="86"/>
      <c r="M103" s="86"/>
      <c r="N103" s="197" t="s">
        <v>96</v>
      </c>
      <c r="O103" s="178"/>
      <c r="P103" s="315">
        <f>Inmunizaciones!C97</f>
        <v>0</v>
      </c>
      <c r="Q103" s="86"/>
      <c r="R103" s="415" t="s">
        <v>95</v>
      </c>
      <c r="S103" s="416"/>
      <c r="T103" s="315">
        <f>Inmunizaciones!C201</f>
        <v>0</v>
      </c>
      <c r="U103" s="86"/>
    </row>
    <row r="104" spans="1:21" x14ac:dyDescent="0.2">
      <c r="A104" s="86"/>
      <c r="B104" s="189" t="s">
        <v>227</v>
      </c>
      <c r="C104" s="190"/>
      <c r="D104" s="191"/>
      <c r="E104" s="191"/>
      <c r="F104" s="218">
        <f>Inmunizaciones!D118</f>
        <v>0</v>
      </c>
      <c r="G104" s="195" t="s">
        <v>176</v>
      </c>
      <c r="H104" s="86"/>
      <c r="I104" s="86"/>
      <c r="J104" s="86"/>
      <c r="K104" s="86"/>
      <c r="L104" s="86"/>
      <c r="M104" s="86"/>
      <c r="N104" s="202" t="s">
        <v>98</v>
      </c>
      <c r="O104" s="180"/>
      <c r="P104" s="315">
        <f>Inmunizaciones!C98</f>
        <v>0</v>
      </c>
      <c r="Q104" s="86"/>
      <c r="R104" s="415" t="s">
        <v>96</v>
      </c>
      <c r="S104" s="416"/>
      <c r="T104" s="315">
        <f>Inmunizaciones!C202</f>
        <v>0</v>
      </c>
      <c r="U104" s="86"/>
    </row>
    <row r="105" spans="1:21" ht="15" thickBot="1" x14ac:dyDescent="0.25">
      <c r="A105" s="86"/>
      <c r="B105" s="189" t="s">
        <v>287</v>
      </c>
      <c r="C105" s="190"/>
      <c r="D105" s="86"/>
      <c r="E105" s="191"/>
      <c r="F105" s="218">
        <f>Inmunizaciones!D119</f>
        <v>0</v>
      </c>
      <c r="G105" s="195" t="s">
        <v>176</v>
      </c>
      <c r="H105" s="91" t="s">
        <v>165</v>
      </c>
      <c r="I105" s="91"/>
      <c r="J105" s="86"/>
      <c r="K105" s="86"/>
      <c r="L105" s="410">
        <v>5</v>
      </c>
      <c r="M105" s="147"/>
      <c r="N105" s="411" t="s">
        <v>271</v>
      </c>
      <c r="O105" s="412"/>
      <c r="P105" s="316">
        <f>Inmunizaciones!C99</f>
        <v>0</v>
      </c>
      <c r="Q105" s="86"/>
      <c r="R105" s="415" t="s">
        <v>98</v>
      </c>
      <c r="S105" s="416"/>
      <c r="T105" s="315">
        <f>Inmunizaciones!C203</f>
        <v>0</v>
      </c>
      <c r="U105" s="86"/>
    </row>
    <row r="106" spans="1:21" ht="13.5" thickBot="1" x14ac:dyDescent="0.25">
      <c r="A106" s="86"/>
      <c r="B106" s="189" t="s">
        <v>229</v>
      </c>
      <c r="C106" s="190"/>
      <c r="D106" s="191"/>
      <c r="E106" s="191"/>
      <c r="F106" s="218">
        <f>Inmunizaciones!D120</f>
        <v>0</v>
      </c>
      <c r="G106" s="195" t="s">
        <v>176</v>
      </c>
      <c r="H106" s="91" t="s">
        <v>167</v>
      </c>
      <c r="I106" s="86"/>
      <c r="J106" s="86"/>
      <c r="K106" s="86"/>
      <c r="L106" s="86"/>
      <c r="M106" s="86"/>
      <c r="N106" s="86"/>
      <c r="O106" s="101"/>
      <c r="P106" s="86"/>
      <c r="Q106" s="378" t="s">
        <v>176</v>
      </c>
      <c r="R106" s="417" t="s">
        <v>45</v>
      </c>
      <c r="S106" s="412"/>
      <c r="T106" s="316">
        <f>Inmunizaciones!C204</f>
        <v>0</v>
      </c>
      <c r="U106" s="195"/>
    </row>
    <row r="107" spans="1:21" x14ac:dyDescent="0.2">
      <c r="A107" s="86"/>
      <c r="B107" s="189" t="s">
        <v>288</v>
      </c>
      <c r="C107" s="190"/>
      <c r="D107" s="191"/>
      <c r="E107" s="191"/>
      <c r="F107" s="218">
        <f>Inmunizaciones!D121</f>
        <v>0</v>
      </c>
      <c r="G107" s="195" t="s">
        <v>176</v>
      </c>
      <c r="H107" s="750" t="s">
        <v>269</v>
      </c>
      <c r="I107" s="751"/>
      <c r="J107" s="751"/>
      <c r="K107" s="707" t="s">
        <v>13</v>
      </c>
      <c r="L107" s="707"/>
      <c r="M107" s="707"/>
      <c r="N107" s="707"/>
      <c r="O107" s="742"/>
      <c r="P107" s="86"/>
      <c r="Q107" s="86"/>
      <c r="R107" s="86"/>
      <c r="S107" s="86"/>
      <c r="T107" s="86"/>
      <c r="U107" s="86"/>
    </row>
    <row r="108" spans="1:21" ht="14.25" x14ac:dyDescent="0.2">
      <c r="A108" s="86"/>
      <c r="B108" s="189" t="s">
        <v>231</v>
      </c>
      <c r="C108" s="190"/>
      <c r="D108" s="191"/>
      <c r="E108" s="191"/>
      <c r="F108" s="218">
        <f>Inmunizaciones!D122</f>
        <v>0</v>
      </c>
      <c r="G108" s="195" t="s">
        <v>176</v>
      </c>
      <c r="H108" s="752"/>
      <c r="I108" s="753"/>
      <c r="J108" s="753"/>
      <c r="K108" s="99" t="s">
        <v>25</v>
      </c>
      <c r="L108" s="99" t="s">
        <v>26</v>
      </c>
      <c r="M108" s="99" t="s">
        <v>27</v>
      </c>
      <c r="N108" s="99" t="s">
        <v>314</v>
      </c>
      <c r="O108" s="122" t="s">
        <v>10</v>
      </c>
      <c r="P108" s="86"/>
      <c r="Q108" s="91" t="s">
        <v>289</v>
      </c>
      <c r="R108" s="86"/>
      <c r="S108" s="410">
        <v>7</v>
      </c>
      <c r="T108" s="86"/>
      <c r="U108" s="86"/>
    </row>
    <row r="109" spans="1:21" ht="13.5" customHeight="1" thickBot="1" x14ac:dyDescent="0.25">
      <c r="A109" s="86"/>
      <c r="B109" s="189" t="s">
        <v>232</v>
      </c>
      <c r="C109" s="86"/>
      <c r="D109" s="191"/>
      <c r="E109" s="191"/>
      <c r="F109" s="218">
        <f>Inmunizaciones!D123</f>
        <v>0</v>
      </c>
      <c r="G109" s="195" t="s">
        <v>176</v>
      </c>
      <c r="H109" s="754" t="s">
        <v>162</v>
      </c>
      <c r="I109" s="755"/>
      <c r="J109" s="756"/>
      <c r="K109" s="219">
        <f>Inmunizaciones!C82</f>
        <v>0</v>
      </c>
      <c r="L109" s="219">
        <f>Inmunizaciones!D82</f>
        <v>0</v>
      </c>
      <c r="M109" s="219">
        <f>Inmunizaciones!E82</f>
        <v>0</v>
      </c>
      <c r="N109" s="379"/>
      <c r="O109" s="380">
        <f>K109+L109+M109</f>
        <v>0</v>
      </c>
      <c r="P109" s="86"/>
      <c r="Q109" s="740" t="s">
        <v>290</v>
      </c>
      <c r="R109" s="740"/>
      <c r="S109" s="740"/>
      <c r="T109" s="740"/>
      <c r="U109" s="86"/>
    </row>
    <row r="110" spans="1:21" ht="12.75" customHeight="1" x14ac:dyDescent="0.2">
      <c r="A110" s="86"/>
      <c r="B110" s="776" t="s">
        <v>233</v>
      </c>
      <c r="C110" s="777"/>
      <c r="D110" s="777"/>
      <c r="E110" s="778"/>
      <c r="F110" s="782">
        <f>Inmunizaciones!D124</f>
        <v>0</v>
      </c>
      <c r="G110" s="195" t="s">
        <v>176</v>
      </c>
      <c r="H110" s="754" t="s">
        <v>95</v>
      </c>
      <c r="I110" s="755"/>
      <c r="J110" s="756"/>
      <c r="K110" s="219">
        <f>Inmunizaciones!C83</f>
        <v>0</v>
      </c>
      <c r="L110" s="219">
        <f>Inmunizaciones!D83</f>
        <v>0</v>
      </c>
      <c r="M110" s="219">
        <f>Inmunizaciones!E83</f>
        <v>0</v>
      </c>
      <c r="N110" s="381"/>
      <c r="O110" s="380">
        <f t="shared" ref="O110:O116" si="4">K110+L110+M110</f>
        <v>0</v>
      </c>
      <c r="P110" s="86"/>
      <c r="Q110" s="705" t="s">
        <v>269</v>
      </c>
      <c r="R110" s="707" t="s">
        <v>13</v>
      </c>
      <c r="S110" s="707"/>
      <c r="T110" s="742"/>
      <c r="U110" s="86"/>
    </row>
    <row r="111" spans="1:21" x14ac:dyDescent="0.2">
      <c r="A111" s="86"/>
      <c r="B111" s="779"/>
      <c r="C111" s="780"/>
      <c r="D111" s="780"/>
      <c r="E111" s="781"/>
      <c r="F111" s="783"/>
      <c r="G111" s="201" t="s">
        <v>176</v>
      </c>
      <c r="H111" s="754" t="s">
        <v>96</v>
      </c>
      <c r="I111" s="755"/>
      <c r="J111" s="756"/>
      <c r="K111" s="219">
        <f>Inmunizaciones!C84</f>
        <v>0</v>
      </c>
      <c r="L111" s="219">
        <f>Inmunizaciones!D84</f>
        <v>0</v>
      </c>
      <c r="M111" s="219">
        <f>Inmunizaciones!E84</f>
        <v>0</v>
      </c>
      <c r="N111" s="381"/>
      <c r="O111" s="380">
        <f t="shared" si="4"/>
        <v>0</v>
      </c>
      <c r="P111" s="86"/>
      <c r="Q111" s="706"/>
      <c r="R111" s="99" t="s">
        <v>25</v>
      </c>
      <c r="S111" s="99" t="s">
        <v>26</v>
      </c>
      <c r="T111" s="122" t="s">
        <v>27</v>
      </c>
      <c r="U111" s="86"/>
    </row>
    <row r="112" spans="1:21" x14ac:dyDescent="0.2">
      <c r="A112" s="86"/>
      <c r="B112" s="189" t="s">
        <v>235</v>
      </c>
      <c r="C112" s="317"/>
      <c r="D112" s="317"/>
      <c r="E112" s="318"/>
      <c r="F112" s="423">
        <f>Inmunizaciones!D126</f>
        <v>0</v>
      </c>
      <c r="G112" s="195" t="s">
        <v>176</v>
      </c>
      <c r="H112" s="754" t="s">
        <v>98</v>
      </c>
      <c r="I112" s="755"/>
      <c r="J112" s="756"/>
      <c r="K112" s="219">
        <f>Inmunizaciones!C85</f>
        <v>0</v>
      </c>
      <c r="L112" s="219">
        <f>Inmunizaciones!D85</f>
        <v>0</v>
      </c>
      <c r="M112" s="219">
        <f>Inmunizaciones!E85</f>
        <v>0</v>
      </c>
      <c r="N112" s="381"/>
      <c r="O112" s="380">
        <f t="shared" si="4"/>
        <v>0</v>
      </c>
      <c r="P112" s="86"/>
      <c r="Q112" s="382" t="s">
        <v>315</v>
      </c>
      <c r="R112" s="108">
        <f>Inmunizaciones!C193</f>
        <v>0</v>
      </c>
      <c r="S112" s="108">
        <f>Inmunizaciones!D193</f>
        <v>0</v>
      </c>
      <c r="T112" s="383"/>
      <c r="U112" s="86"/>
    </row>
    <row r="113" spans="1:21" x14ac:dyDescent="0.2">
      <c r="A113" s="86"/>
      <c r="B113" s="189" t="s">
        <v>236</v>
      </c>
      <c r="C113" s="190"/>
      <c r="D113" s="191"/>
      <c r="E113" s="191"/>
      <c r="F113" s="423">
        <f>Inmunizaciones!D127</f>
        <v>0</v>
      </c>
      <c r="G113" s="195" t="s">
        <v>176</v>
      </c>
      <c r="H113" s="754" t="s">
        <v>271</v>
      </c>
      <c r="I113" s="755"/>
      <c r="J113" s="756"/>
      <c r="K113" s="219">
        <f>Inmunizaciones!C86</f>
        <v>0</v>
      </c>
      <c r="L113" s="219">
        <f>Inmunizaciones!D86</f>
        <v>0</v>
      </c>
      <c r="M113" s="219">
        <f>Inmunizaciones!E86</f>
        <v>0</v>
      </c>
      <c r="N113" s="381"/>
      <c r="O113" s="380">
        <f t="shared" si="4"/>
        <v>0</v>
      </c>
      <c r="P113" s="86"/>
      <c r="Q113" s="384" t="s">
        <v>316</v>
      </c>
      <c r="R113" s="108">
        <f>Inmunizaciones!C194</f>
        <v>0</v>
      </c>
      <c r="S113" s="108">
        <f>Inmunizaciones!D194</f>
        <v>0</v>
      </c>
      <c r="T113" s="470">
        <f>Inmunizaciones!E194</f>
        <v>0</v>
      </c>
      <c r="U113" s="86"/>
    </row>
    <row r="114" spans="1:21" x14ac:dyDescent="0.2">
      <c r="A114" s="86"/>
      <c r="B114" s="206" t="s">
        <v>237</v>
      </c>
      <c r="C114" s="190"/>
      <c r="D114" s="191"/>
      <c r="E114" s="191"/>
      <c r="F114" s="423">
        <f>Inmunizaciones!D128</f>
        <v>0</v>
      </c>
      <c r="G114" s="195" t="s">
        <v>176</v>
      </c>
      <c r="H114" s="747" t="s">
        <v>45</v>
      </c>
      <c r="I114" s="748"/>
      <c r="J114" s="749"/>
      <c r="K114" s="219">
        <f>Inmunizaciones!C87</f>
        <v>0</v>
      </c>
      <c r="L114" s="219">
        <f>Inmunizaciones!D87</f>
        <v>0</v>
      </c>
      <c r="M114" s="219">
        <f>Inmunizaciones!E87</f>
        <v>0</v>
      </c>
      <c r="N114" s="381"/>
      <c r="O114" s="380">
        <f t="shared" si="4"/>
        <v>0</v>
      </c>
      <c r="P114" s="385" t="s">
        <v>176</v>
      </c>
      <c r="Q114" s="386" t="s">
        <v>317</v>
      </c>
      <c r="R114" s="387" t="s">
        <v>318</v>
      </c>
      <c r="S114" s="387" t="s">
        <v>319</v>
      </c>
      <c r="T114" s="388" t="s">
        <v>320</v>
      </c>
      <c r="U114" s="86"/>
    </row>
    <row r="115" spans="1:21" ht="13.5" thickBot="1" x14ac:dyDescent="0.25">
      <c r="A115" s="86"/>
      <c r="B115" s="413" t="s">
        <v>321</v>
      </c>
      <c r="C115" s="404"/>
      <c r="D115" s="405"/>
      <c r="E115" s="405"/>
      <c r="F115" s="423">
        <f>Inmunizaciones!D130</f>
        <v>0</v>
      </c>
      <c r="G115" s="195" t="s">
        <v>176</v>
      </c>
      <c r="H115" s="747" t="s">
        <v>321</v>
      </c>
      <c r="I115" s="748"/>
      <c r="J115" s="749"/>
      <c r="K115" s="108">
        <f>Inmunizaciones!C90</f>
        <v>0</v>
      </c>
      <c r="L115" s="108">
        <f>Inmunizaciones!D90</f>
        <v>0</v>
      </c>
      <c r="M115" s="108">
        <f>Inmunizaciones!E90</f>
        <v>0</v>
      </c>
      <c r="N115" s="381"/>
      <c r="O115" s="380">
        <f t="shared" si="4"/>
        <v>0</v>
      </c>
      <c r="P115" s="385" t="s">
        <v>176</v>
      </c>
      <c r="Q115" s="390" t="s">
        <v>322</v>
      </c>
      <c r="R115" s="280">
        <f>Inmunizaciones!C196</f>
        <v>0</v>
      </c>
      <c r="S115" s="280">
        <f>Inmunizaciones!D196</f>
        <v>0</v>
      </c>
      <c r="T115" s="282">
        <f>Inmunizaciones!E196</f>
        <v>0</v>
      </c>
      <c r="U115" s="86"/>
    </row>
    <row r="116" spans="1:21" ht="15" thickBot="1" x14ac:dyDescent="0.25">
      <c r="A116" s="86"/>
      <c r="B116" s="414" t="s">
        <v>323</v>
      </c>
      <c r="C116" s="406"/>
      <c r="D116" s="406"/>
      <c r="E116" s="407"/>
      <c r="F116" s="423">
        <f>Inmunizaciones!D131</f>
        <v>0</v>
      </c>
      <c r="G116" s="195" t="s">
        <v>176</v>
      </c>
      <c r="H116" s="747" t="s">
        <v>323</v>
      </c>
      <c r="I116" s="748"/>
      <c r="J116" s="749"/>
      <c r="K116" s="108">
        <f>Inmunizaciones!C91</f>
        <v>0</v>
      </c>
      <c r="L116" s="108">
        <f>Inmunizaciones!D91</f>
        <v>0</v>
      </c>
      <c r="M116" s="108">
        <f>Inmunizaciones!E91</f>
        <v>0</v>
      </c>
      <c r="N116" s="381"/>
      <c r="O116" s="380">
        <f t="shared" si="4"/>
        <v>0</v>
      </c>
      <c r="P116" s="385" t="s">
        <v>176</v>
      </c>
      <c r="Q116" s="91" t="s">
        <v>324</v>
      </c>
      <c r="R116" s="86"/>
      <c r="S116" s="410">
        <v>9</v>
      </c>
      <c r="T116" s="86"/>
      <c r="U116" s="86"/>
    </row>
    <row r="117" spans="1:21" ht="13.5" thickBot="1" x14ac:dyDescent="0.25">
      <c r="A117" s="86"/>
      <c r="B117" s="319" t="s">
        <v>80</v>
      </c>
      <c r="C117" s="369"/>
      <c r="D117" s="369"/>
      <c r="E117" s="369"/>
      <c r="F117" s="221">
        <f>Inmunizaciones!D129</f>
        <v>0</v>
      </c>
      <c r="G117" s="195" t="s">
        <v>176</v>
      </c>
      <c r="H117" s="320" t="s">
        <v>80</v>
      </c>
      <c r="I117" s="321"/>
      <c r="J117" s="321"/>
      <c r="K117" s="462">
        <f>Inmunizaciones!C88</f>
        <v>0</v>
      </c>
      <c r="L117" s="462">
        <f>Inmunizaciones!D88</f>
        <v>0</v>
      </c>
      <c r="M117" s="462">
        <f>Inmunizaciones!E88</f>
        <v>0</v>
      </c>
      <c r="N117" s="381"/>
      <c r="O117" s="380">
        <f>K117+L117+M117</f>
        <v>0</v>
      </c>
      <c r="P117" s="385" t="s">
        <v>176</v>
      </c>
      <c r="Q117" s="750" t="s">
        <v>269</v>
      </c>
      <c r="R117" s="751"/>
      <c r="S117" s="751"/>
      <c r="T117" s="166" t="s">
        <v>10</v>
      </c>
      <c r="U117" s="86"/>
    </row>
    <row r="118" spans="1:21" ht="12.75" customHeight="1" thickBot="1" x14ac:dyDescent="0.25">
      <c r="A118" s="86"/>
      <c r="B118" s="86"/>
      <c r="C118" s="214"/>
      <c r="D118" s="86"/>
      <c r="E118" s="86"/>
      <c r="F118" s="322"/>
      <c r="G118" s="195"/>
      <c r="H118" s="747" t="s">
        <v>125</v>
      </c>
      <c r="I118" s="748"/>
      <c r="J118" s="749"/>
      <c r="K118" s="484">
        <f>Inmunizaciones!H82</f>
        <v>0</v>
      </c>
      <c r="L118" s="484">
        <f>Inmunizaciones!I82</f>
        <v>0</v>
      </c>
      <c r="M118" s="484">
        <f>Inmunizaciones!J82</f>
        <v>0</v>
      </c>
      <c r="N118" s="381"/>
      <c r="O118" s="380">
        <f>K118+L118+M118</f>
        <v>0</v>
      </c>
      <c r="P118" s="385" t="s">
        <v>176</v>
      </c>
      <c r="Q118" s="490" t="s">
        <v>124</v>
      </c>
      <c r="R118" s="766" t="s">
        <v>223</v>
      </c>
      <c r="S118" s="766"/>
      <c r="T118" s="491">
        <f>Inmunizaciones!M31</f>
        <v>0</v>
      </c>
      <c r="U118" s="86"/>
    </row>
    <row r="119" spans="1:21" x14ac:dyDescent="0.2">
      <c r="A119" s="86"/>
      <c r="B119" s="213"/>
      <c r="C119" s="214"/>
      <c r="D119" s="86"/>
      <c r="E119" s="86"/>
      <c r="F119" s="215"/>
      <c r="G119" s="91"/>
      <c r="H119" s="763" t="s">
        <v>325</v>
      </c>
      <c r="I119" s="764"/>
      <c r="J119" s="765"/>
      <c r="K119" s="488">
        <f>Inmunizaciones!C89</f>
        <v>0</v>
      </c>
      <c r="L119" s="488">
        <f>Inmunizaciones!D89</f>
        <v>0</v>
      </c>
      <c r="M119" s="488">
        <f>Inmunizaciones!E89</f>
        <v>0</v>
      </c>
      <c r="N119" s="488">
        <f>Inmunizaciones!F89</f>
        <v>0</v>
      </c>
      <c r="O119" s="489">
        <f>K119+L119+M119+N119</f>
        <v>0</v>
      </c>
      <c r="P119" s="378"/>
      <c r="Q119" s="490" t="s">
        <v>69</v>
      </c>
      <c r="R119" s="766"/>
      <c r="S119" s="766"/>
      <c r="T119" s="491">
        <f>Inmunizaciones!M32</f>
        <v>0</v>
      </c>
      <c r="U119" s="86"/>
    </row>
    <row r="120" spans="1:21" x14ac:dyDescent="0.2">
      <c r="A120" s="86"/>
      <c r="B120" s="391"/>
      <c r="C120" s="91" t="s">
        <v>170</v>
      </c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378"/>
      <c r="Q120" s="490" t="s">
        <v>70</v>
      </c>
      <c r="R120" s="766"/>
      <c r="S120" s="766"/>
      <c r="T120" s="491">
        <f>Inmunizaciones!M33</f>
        <v>0</v>
      </c>
      <c r="U120" s="86"/>
    </row>
    <row r="121" spans="1:21" x14ac:dyDescent="0.2">
      <c r="A121" s="86"/>
      <c r="B121" s="205"/>
      <c r="C121" s="91" t="s">
        <v>171</v>
      </c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490" t="s">
        <v>71</v>
      </c>
      <c r="R121" s="766"/>
      <c r="S121" s="766"/>
      <c r="T121" s="491">
        <f>Inmunizaciones!M34</f>
        <v>0</v>
      </c>
      <c r="U121" s="86"/>
    </row>
    <row r="122" spans="1:21" x14ac:dyDescent="0.2">
      <c r="A122" s="86"/>
      <c r="B122" s="196" t="s">
        <v>175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490" t="s">
        <v>214</v>
      </c>
      <c r="R122" s="766"/>
      <c r="S122" s="766"/>
      <c r="T122" s="491">
        <f>Inmunizaciones!M35</f>
        <v>0</v>
      </c>
      <c r="U122" s="86"/>
    </row>
    <row r="123" spans="1:21" x14ac:dyDescent="0.2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490" t="s">
        <v>124</v>
      </c>
      <c r="R123" s="766" t="s">
        <v>224</v>
      </c>
      <c r="S123" s="766"/>
      <c r="T123" s="491">
        <f>Inmunizaciones!M36</f>
        <v>0</v>
      </c>
      <c r="U123" s="86"/>
    </row>
    <row r="124" spans="1:21" x14ac:dyDescent="0.2">
      <c r="Q124" s="490" t="s">
        <v>69</v>
      </c>
      <c r="R124" s="766"/>
      <c r="S124" s="766"/>
      <c r="T124" s="491">
        <f>Inmunizaciones!M37</f>
        <v>0</v>
      </c>
    </row>
    <row r="125" spans="1:21" x14ac:dyDescent="0.2">
      <c r="Q125" s="490" t="s">
        <v>70</v>
      </c>
      <c r="R125" s="766"/>
      <c r="S125" s="766"/>
      <c r="T125" s="491">
        <f>Inmunizaciones!M38</f>
        <v>0</v>
      </c>
    </row>
    <row r="126" spans="1:21" x14ac:dyDescent="0.2">
      <c r="Q126" s="490" t="s">
        <v>71</v>
      </c>
      <c r="R126" s="766"/>
      <c r="S126" s="766"/>
      <c r="T126" s="491">
        <f>Inmunizaciones!M39</f>
        <v>0</v>
      </c>
    </row>
    <row r="127" spans="1:21" ht="13.5" thickBot="1" x14ac:dyDescent="0.25">
      <c r="Q127" s="492" t="s">
        <v>214</v>
      </c>
      <c r="R127" s="767"/>
      <c r="S127" s="767"/>
      <c r="T127" s="493">
        <f>Inmunizaciones!M40</f>
        <v>0</v>
      </c>
    </row>
    <row r="128" spans="1:21" x14ac:dyDescent="0.2">
      <c r="Q128" s="757" t="s">
        <v>271</v>
      </c>
      <c r="R128" s="758"/>
      <c r="S128" s="758"/>
      <c r="T128" s="489">
        <f>Inmunizaciones!M41</f>
        <v>0</v>
      </c>
    </row>
    <row r="129" spans="17:20" x14ac:dyDescent="0.2">
      <c r="Q129" s="759" t="s">
        <v>326</v>
      </c>
      <c r="R129" s="760"/>
      <c r="S129" s="760"/>
      <c r="T129" s="389">
        <f>Inmunizaciones!M42</f>
        <v>0</v>
      </c>
    </row>
    <row r="130" spans="17:20" x14ac:dyDescent="0.2">
      <c r="Q130" s="761" t="s">
        <v>327</v>
      </c>
      <c r="R130" s="762"/>
      <c r="S130" s="762"/>
      <c r="T130" s="389">
        <f>Inmunizaciones!M43</f>
        <v>0</v>
      </c>
    </row>
    <row r="131" spans="17:20" ht="13.5" thickBot="1" x14ac:dyDescent="0.25">
      <c r="Q131" s="816" t="s">
        <v>45</v>
      </c>
      <c r="R131" s="817"/>
      <c r="S131" s="817"/>
      <c r="T131" s="392">
        <f>Inmunizaciones!M44</f>
        <v>0</v>
      </c>
    </row>
  </sheetData>
  <mergeCells count="120">
    <mergeCell ref="Q131:S131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F23:G23"/>
    <mergeCell ref="E25:G25"/>
    <mergeCell ref="B26:G27"/>
    <mergeCell ref="H26:K26"/>
    <mergeCell ref="L26:N26"/>
    <mergeCell ref="B20:D20"/>
    <mergeCell ref="E20:G20"/>
    <mergeCell ref="B21:D21"/>
    <mergeCell ref="E21:G21"/>
    <mergeCell ref="B22:D22"/>
    <mergeCell ref="E22:G22"/>
    <mergeCell ref="B44:F44"/>
    <mergeCell ref="B47:F48"/>
    <mergeCell ref="G47:J47"/>
    <mergeCell ref="B2:T2"/>
    <mergeCell ref="E6:G6"/>
    <mergeCell ref="B16:D16"/>
    <mergeCell ref="E16:G16"/>
    <mergeCell ref="B17:D19"/>
    <mergeCell ref="F17:G17"/>
    <mergeCell ref="F18:G18"/>
    <mergeCell ref="F19:G19"/>
    <mergeCell ref="B12:D12"/>
    <mergeCell ref="E12:G12"/>
    <mergeCell ref="B13:D13"/>
    <mergeCell ref="E13:G13"/>
    <mergeCell ref="B14:D15"/>
    <mergeCell ref="F14:G14"/>
    <mergeCell ref="F15:G15"/>
    <mergeCell ref="K47:M47"/>
    <mergeCell ref="N47:Q47"/>
    <mergeCell ref="R47:T47"/>
    <mergeCell ref="B28:C31"/>
    <mergeCell ref="Q28:S30"/>
    <mergeCell ref="B32:C32"/>
    <mergeCell ref="B33:C35"/>
    <mergeCell ref="B36:C43"/>
    <mergeCell ref="D38:E39"/>
    <mergeCell ref="D40:F40"/>
    <mergeCell ref="D41:E43"/>
    <mergeCell ref="B63:F63"/>
    <mergeCell ref="D64:F64"/>
    <mergeCell ref="B66:F67"/>
    <mergeCell ref="G66:J66"/>
    <mergeCell ref="K66:M66"/>
    <mergeCell ref="N67:N68"/>
    <mergeCell ref="B53:C62"/>
    <mergeCell ref="D54:E55"/>
    <mergeCell ref="D56:F56"/>
    <mergeCell ref="D57:E59"/>
    <mergeCell ref="D60:F60"/>
    <mergeCell ref="D61:F61"/>
    <mergeCell ref="O67:R67"/>
    <mergeCell ref="S67:T67"/>
    <mergeCell ref="B71:C80"/>
    <mergeCell ref="D72:E73"/>
    <mergeCell ref="D74:F74"/>
    <mergeCell ref="D75:E77"/>
    <mergeCell ref="N77:N78"/>
    <mergeCell ref="O77:Q77"/>
    <mergeCell ref="S77:T77"/>
    <mergeCell ref="D78:F78"/>
    <mergeCell ref="D79:F79"/>
    <mergeCell ref="D80:F80"/>
    <mergeCell ref="B81:F81"/>
    <mergeCell ref="N86:N87"/>
    <mergeCell ref="O86:R86"/>
    <mergeCell ref="S86:T86"/>
    <mergeCell ref="B87:E88"/>
    <mergeCell ref="F87:F88"/>
    <mergeCell ref="H87:K88"/>
    <mergeCell ref="L87:L88"/>
    <mergeCell ref="B110:E111"/>
    <mergeCell ref="F110:F111"/>
    <mergeCell ref="H110:J110"/>
    <mergeCell ref="Q110:Q111"/>
    <mergeCell ref="R110:T110"/>
    <mergeCell ref="H111:J111"/>
    <mergeCell ref="R93:R95"/>
    <mergeCell ref="S93:S95"/>
    <mergeCell ref="T93:T95"/>
    <mergeCell ref="B94:C98"/>
    <mergeCell ref="R98:T99"/>
    <mergeCell ref="N100:O100"/>
    <mergeCell ref="R100:S100"/>
    <mergeCell ref="T100:T101"/>
    <mergeCell ref="R101:S101"/>
    <mergeCell ref="B89:C93"/>
    <mergeCell ref="H89:I93"/>
    <mergeCell ref="N93:N95"/>
    <mergeCell ref="O93:O95"/>
    <mergeCell ref="P93:P95"/>
    <mergeCell ref="Q93:Q95"/>
    <mergeCell ref="H112:J112"/>
    <mergeCell ref="H113:J113"/>
    <mergeCell ref="H114:J114"/>
    <mergeCell ref="H115:J115"/>
    <mergeCell ref="H116:J116"/>
    <mergeCell ref="Q117:S117"/>
    <mergeCell ref="H107:J108"/>
    <mergeCell ref="K107:O107"/>
    <mergeCell ref="H109:J109"/>
    <mergeCell ref="Q109:T109"/>
    <mergeCell ref="Q128:S128"/>
    <mergeCell ref="Q129:S129"/>
    <mergeCell ref="Q130:S130"/>
    <mergeCell ref="H119:J119"/>
    <mergeCell ref="H118:J118"/>
    <mergeCell ref="R118:S122"/>
    <mergeCell ref="R123:S127"/>
  </mergeCells>
  <pageMargins left="0.7" right="0.7" top="0.75" bottom="0.75" header="0.3" footer="0.3"/>
  <pageSetup paperSize="9" scale="62" orientation="portrait" r:id="rId1"/>
  <rowBreaks count="1" manualBreakCount="1">
    <brk id="84" max="20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Inmunizaciones</vt:lpstr>
      <vt:lpstr>Informe Operacional</vt:lpstr>
      <vt:lpstr>INF. OPER. 2019</vt:lpstr>
      <vt:lpstr>'INF. OPER. 2019'!Área_de_impresión</vt:lpstr>
      <vt:lpstr>'Informe Operacional'!Área_de_impresión</vt:lpstr>
    </vt:vector>
  </TitlesOfParts>
  <Company>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MICKY</dc:creator>
  <cp:lastModifiedBy>ESTADISTICA</cp:lastModifiedBy>
  <cp:lastPrinted>2019-03-06T15:54:00Z</cp:lastPrinted>
  <dcterms:created xsi:type="dcterms:W3CDTF">1999-06-21T16:16:19Z</dcterms:created>
  <dcterms:modified xsi:type="dcterms:W3CDTF">2021-07-15T15:25:31Z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