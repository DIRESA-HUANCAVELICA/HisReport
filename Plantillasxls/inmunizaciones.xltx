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isReport2025\Plantillasxls\"/>
    </mc:Choice>
  </mc:AlternateContent>
  <xr:revisionPtr revIDLastSave="0" documentId="13_ncr:1_{536ECE4E-428C-403F-B52D-30C78F82F27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munizaciones" sheetId="6" r:id="rId1"/>
    <sheet name="Informe Operacional" sheetId="13" r:id="rId2"/>
  </sheets>
  <definedNames>
    <definedName name="_xlnm.Print_Area" localSheetId="1">'Informe Operacional'!$A$1:$U$123</definedName>
  </definedNames>
  <calcPr calcId="181029"/>
  <fileRecoveryPr autoRecover="0"/>
</workbook>
</file>

<file path=xl/calcChain.xml><?xml version="1.0" encoding="utf-8"?>
<calcChain xmlns="http://schemas.openxmlformats.org/spreadsheetml/2006/main">
  <c r="Q63" i="13" l="1"/>
  <c r="J64" i="13"/>
  <c r="J63" i="13"/>
  <c r="O64" i="13"/>
  <c r="Q64" i="13" s="1"/>
  <c r="O63" i="13"/>
  <c r="H64" i="13"/>
  <c r="H63" i="13"/>
  <c r="G61" i="13"/>
  <c r="J61" i="13" s="1"/>
  <c r="H33" i="13"/>
  <c r="K33" i="13" s="1"/>
  <c r="I34" i="13"/>
  <c r="K34" i="13" s="1"/>
  <c r="I73" i="13"/>
  <c r="P54" i="13"/>
  <c r="I54" i="13"/>
  <c r="J39" i="13"/>
  <c r="J14" i="13"/>
  <c r="O97" i="13"/>
  <c r="O96" i="13"/>
  <c r="O95" i="13"/>
  <c r="R95" i="13" s="1"/>
  <c r="Q94" i="13"/>
  <c r="P94" i="13"/>
  <c r="O94" i="13"/>
  <c r="Q93" i="13"/>
  <c r="P93" i="13"/>
  <c r="O93" i="13"/>
  <c r="Q92" i="13"/>
  <c r="P92" i="13"/>
  <c r="O92" i="13"/>
  <c r="Q91" i="13"/>
  <c r="P91" i="13"/>
  <c r="O91" i="13"/>
  <c r="Q89" i="13"/>
  <c r="P89" i="13"/>
  <c r="O89" i="13"/>
  <c r="R84" i="13"/>
  <c r="Q84" i="13"/>
  <c r="P84" i="13"/>
  <c r="O84" i="13"/>
  <c r="R83" i="13"/>
  <c r="Q83" i="13"/>
  <c r="P83" i="13"/>
  <c r="O83" i="13"/>
  <c r="R82" i="13"/>
  <c r="Q82" i="13"/>
  <c r="P82" i="13"/>
  <c r="O82" i="13"/>
  <c r="R81" i="13"/>
  <c r="Q81" i="13"/>
  <c r="P81" i="13"/>
  <c r="O81" i="13"/>
  <c r="Q70" i="13"/>
  <c r="P70" i="13"/>
  <c r="O70" i="13"/>
  <c r="T44" i="13"/>
  <c r="T43" i="13"/>
  <c r="T42" i="13"/>
  <c r="Q44" i="13"/>
  <c r="Q43" i="13"/>
  <c r="S44" i="13"/>
  <c r="R44" i="13"/>
  <c r="S43" i="13"/>
  <c r="R43" i="13"/>
  <c r="S42" i="13"/>
  <c r="R42" i="13"/>
  <c r="Q42" i="13"/>
  <c r="B5" i="13"/>
  <c r="B4" i="13"/>
  <c r="B3" i="13"/>
  <c r="T132" i="13"/>
  <c r="T131" i="13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L119" i="13"/>
  <c r="M119" i="13"/>
  <c r="K119" i="13"/>
  <c r="P90" i="13"/>
  <c r="Q90" i="13"/>
  <c r="O90" i="13"/>
  <c r="S116" i="13"/>
  <c r="T116" i="13"/>
  <c r="R116" i="13"/>
  <c r="T114" i="13"/>
  <c r="R114" i="13"/>
  <c r="S114" i="13"/>
  <c r="S113" i="13"/>
  <c r="R113" i="13"/>
  <c r="T104" i="13"/>
  <c r="T105" i="13"/>
  <c r="T106" i="13"/>
  <c r="T107" i="13"/>
  <c r="T103" i="13"/>
  <c r="L116" i="13"/>
  <c r="M116" i="13"/>
  <c r="L117" i="13"/>
  <c r="M117" i="13"/>
  <c r="K117" i="13"/>
  <c r="K116" i="13"/>
  <c r="L94" i="13"/>
  <c r="L96" i="13"/>
  <c r="L97" i="13"/>
  <c r="L98" i="13"/>
  <c r="L99" i="13"/>
  <c r="L100" i="13"/>
  <c r="L101" i="13"/>
  <c r="L102" i="13"/>
  <c r="L95" i="13"/>
  <c r="L91" i="13"/>
  <c r="L92" i="13"/>
  <c r="L93" i="13"/>
  <c r="L90" i="13"/>
  <c r="N120" i="13"/>
  <c r="L120" i="13"/>
  <c r="M120" i="13"/>
  <c r="K120" i="13"/>
  <c r="L118" i="13"/>
  <c r="M118" i="13"/>
  <c r="K118" i="13"/>
  <c r="K115" i="13"/>
  <c r="L115" i="13"/>
  <c r="M115" i="13"/>
  <c r="L110" i="13"/>
  <c r="M110" i="13"/>
  <c r="L111" i="13"/>
  <c r="M111" i="13"/>
  <c r="L112" i="13"/>
  <c r="M112" i="13"/>
  <c r="L113" i="13"/>
  <c r="M113" i="13"/>
  <c r="L114" i="13"/>
  <c r="M114" i="13"/>
  <c r="K111" i="13"/>
  <c r="K112" i="13"/>
  <c r="K113" i="13"/>
  <c r="K114" i="13"/>
  <c r="K110" i="13"/>
  <c r="P106" i="13"/>
  <c r="P103" i="13"/>
  <c r="P104" i="13"/>
  <c r="P105" i="13"/>
  <c r="P102" i="13"/>
  <c r="F117" i="13"/>
  <c r="F116" i="13"/>
  <c r="F118" i="13"/>
  <c r="F114" i="13"/>
  <c r="F115" i="13"/>
  <c r="F113" i="13"/>
  <c r="F111" i="13"/>
  <c r="F107" i="13"/>
  <c r="F108" i="13"/>
  <c r="F109" i="13"/>
  <c r="F110" i="13"/>
  <c r="F105" i="13"/>
  <c r="F106" i="13"/>
  <c r="F104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90" i="13"/>
  <c r="R80" i="13"/>
  <c r="P71" i="13"/>
  <c r="Q71" i="13"/>
  <c r="P72" i="13"/>
  <c r="Q72" i="13"/>
  <c r="P73" i="13"/>
  <c r="Q73" i="13"/>
  <c r="P74" i="13"/>
  <c r="Q74" i="13"/>
  <c r="P75" i="13"/>
  <c r="Q75" i="13"/>
  <c r="P76" i="13"/>
  <c r="Q76" i="13"/>
  <c r="O72" i="13"/>
  <c r="O73" i="13"/>
  <c r="O74" i="13"/>
  <c r="O75" i="13"/>
  <c r="O76" i="13"/>
  <c r="O71" i="13"/>
  <c r="P80" i="13"/>
  <c r="Q80" i="13"/>
  <c r="O80" i="13"/>
  <c r="G80" i="13"/>
  <c r="J80" i="13" s="1"/>
  <c r="H83" i="13"/>
  <c r="J83" i="13" s="1"/>
  <c r="H82" i="13"/>
  <c r="J82" i="13" s="1"/>
  <c r="G81" i="13"/>
  <c r="J81" i="13" s="1"/>
  <c r="G79" i="13"/>
  <c r="H76" i="13"/>
  <c r="H77" i="13"/>
  <c r="H78" i="13"/>
  <c r="H79" i="13"/>
  <c r="G75" i="13"/>
  <c r="H75" i="13"/>
  <c r="I75" i="13"/>
  <c r="I76" i="13"/>
  <c r="I77" i="13"/>
  <c r="I78" i="13"/>
  <c r="I74" i="13"/>
  <c r="J74" i="13" s="1"/>
  <c r="H73" i="13"/>
  <c r="G70" i="13"/>
  <c r="J70" i="13" s="1"/>
  <c r="G71" i="13"/>
  <c r="J71" i="13" s="1"/>
  <c r="G72" i="13"/>
  <c r="J72" i="13" s="1"/>
  <c r="G73" i="13"/>
  <c r="G69" i="13"/>
  <c r="J69" i="13" s="1"/>
  <c r="N61" i="13"/>
  <c r="Q61" i="13" s="1"/>
  <c r="N62" i="13"/>
  <c r="Q62" i="13" s="1"/>
  <c r="N60" i="13"/>
  <c r="O57" i="13"/>
  <c r="O58" i="13"/>
  <c r="O59" i="13"/>
  <c r="O60" i="13"/>
  <c r="N56" i="13"/>
  <c r="O56" i="13"/>
  <c r="P56" i="13"/>
  <c r="P57" i="13"/>
  <c r="P58" i="13"/>
  <c r="P59" i="13"/>
  <c r="P55" i="13"/>
  <c r="Q55" i="13" s="1"/>
  <c r="O54" i="13"/>
  <c r="N54" i="13"/>
  <c r="N53" i="13"/>
  <c r="Q53" i="13" s="1"/>
  <c r="N51" i="13"/>
  <c r="Q51" i="13" s="1"/>
  <c r="N52" i="13"/>
  <c r="Q52" i="13" s="1"/>
  <c r="N50" i="13"/>
  <c r="Q50" i="13" s="1"/>
  <c r="G62" i="13"/>
  <c r="J62" i="13" s="1"/>
  <c r="H60" i="13"/>
  <c r="G60" i="13"/>
  <c r="H57" i="13"/>
  <c r="H58" i="13"/>
  <c r="H59" i="13"/>
  <c r="G56" i="13"/>
  <c r="H56" i="13"/>
  <c r="I56" i="13"/>
  <c r="I57" i="13"/>
  <c r="I58" i="13"/>
  <c r="I59" i="13"/>
  <c r="I55" i="13"/>
  <c r="J55" i="13" s="1"/>
  <c r="H54" i="13"/>
  <c r="G54" i="13"/>
  <c r="G53" i="13"/>
  <c r="J53" i="13" s="1"/>
  <c r="G51" i="13"/>
  <c r="J51" i="13" s="1"/>
  <c r="G52" i="13"/>
  <c r="J52" i="13" s="1"/>
  <c r="G50" i="13"/>
  <c r="J50" i="13" s="1"/>
  <c r="H30" i="13"/>
  <c r="K30" i="13" s="1"/>
  <c r="I38" i="13"/>
  <c r="H38" i="13"/>
  <c r="I37" i="13"/>
  <c r="H37" i="13"/>
  <c r="H45" i="13"/>
  <c r="K45" i="13" s="1"/>
  <c r="I43" i="13"/>
  <c r="J43" i="13"/>
  <c r="I44" i="13"/>
  <c r="J44" i="13"/>
  <c r="J42" i="13"/>
  <c r="I42" i="13"/>
  <c r="I41" i="13"/>
  <c r="J41" i="13"/>
  <c r="H41" i="13"/>
  <c r="J40" i="13"/>
  <c r="K40" i="13" s="1"/>
  <c r="I39" i="13"/>
  <c r="H39" i="13"/>
  <c r="H36" i="13"/>
  <c r="K36" i="13" s="1"/>
  <c r="H35" i="13"/>
  <c r="K35" i="13" s="1"/>
  <c r="H32" i="13"/>
  <c r="K32" i="13" s="1"/>
  <c r="H31" i="13"/>
  <c r="K31" i="13" s="1"/>
  <c r="H29" i="13"/>
  <c r="K29" i="13" s="1"/>
  <c r="J28" i="13"/>
  <c r="K28" i="13" s="1"/>
  <c r="J23" i="13"/>
  <c r="H20" i="13"/>
  <c r="H21" i="13"/>
  <c r="H22" i="13"/>
  <c r="H23" i="13"/>
  <c r="I17" i="13"/>
  <c r="I18" i="13"/>
  <c r="I19" i="13"/>
  <c r="I20" i="13"/>
  <c r="I21" i="13"/>
  <c r="I22" i="13"/>
  <c r="I23" i="13"/>
  <c r="H16" i="13"/>
  <c r="I16" i="13"/>
  <c r="J16" i="13"/>
  <c r="J17" i="13"/>
  <c r="J18" i="13"/>
  <c r="J19" i="13"/>
  <c r="J15" i="13"/>
  <c r="K15" i="13" s="1"/>
  <c r="I14" i="13"/>
  <c r="H10" i="13"/>
  <c r="K10" i="13" s="1"/>
  <c r="H11" i="13"/>
  <c r="K11" i="13" s="1"/>
  <c r="H12" i="13"/>
  <c r="K12" i="13" s="1"/>
  <c r="H13" i="13"/>
  <c r="K13" i="13" s="1"/>
  <c r="H14" i="13"/>
  <c r="H9" i="13"/>
  <c r="K9" i="13" s="1"/>
  <c r="J78" i="13" l="1"/>
  <c r="J76" i="13"/>
  <c r="R89" i="13"/>
  <c r="R70" i="13"/>
  <c r="J60" i="13"/>
  <c r="R93" i="13"/>
  <c r="R92" i="13"/>
  <c r="R94" i="13"/>
  <c r="K44" i="13"/>
  <c r="K14" i="13"/>
  <c r="J58" i="13"/>
  <c r="Q54" i="13"/>
  <c r="R74" i="13"/>
  <c r="K42" i="13"/>
  <c r="R76" i="13"/>
  <c r="Q59" i="13"/>
  <c r="O111" i="13"/>
  <c r="K21" i="13"/>
  <c r="O116" i="13"/>
  <c r="Q56" i="13"/>
  <c r="J54" i="13"/>
  <c r="J73" i="13"/>
  <c r="R90" i="13"/>
  <c r="K39" i="13"/>
  <c r="O114" i="13"/>
  <c r="K18" i="13"/>
  <c r="K17" i="13"/>
  <c r="K41" i="13"/>
  <c r="R91" i="13"/>
  <c r="Q60" i="13"/>
  <c r="K16" i="13"/>
  <c r="J79" i="13"/>
  <c r="J77" i="13"/>
  <c r="R71" i="13"/>
  <c r="O120" i="13"/>
  <c r="O119" i="13"/>
  <c r="K20" i="13"/>
  <c r="K19" i="13"/>
  <c r="O110" i="13"/>
  <c r="O115" i="13"/>
  <c r="O118" i="13"/>
  <c r="K43" i="13"/>
  <c r="J59" i="13"/>
  <c r="K23" i="13"/>
  <c r="K37" i="13"/>
  <c r="R72" i="13"/>
  <c r="O117" i="13"/>
  <c r="K38" i="13"/>
  <c r="J56" i="13"/>
  <c r="Q58" i="13"/>
  <c r="J75" i="13"/>
  <c r="R75" i="13"/>
  <c r="J57" i="13"/>
  <c r="K22" i="13"/>
  <c r="R73" i="13"/>
  <c r="O113" i="13"/>
  <c r="Q57" i="13"/>
  <c r="O112" i="13"/>
</calcChain>
</file>

<file path=xl/sharedStrings.xml><?xml version="1.0" encoding="utf-8"?>
<sst xmlns="http://schemas.openxmlformats.org/spreadsheetml/2006/main" count="814" uniqueCount="344">
  <si>
    <t>1ra. dósis</t>
  </si>
  <si>
    <t>2da. dósis</t>
  </si>
  <si>
    <t>3ra. dósis</t>
  </si>
  <si>
    <t>EDAD</t>
  </si>
  <si>
    <t>BCG</t>
  </si>
  <si>
    <t>Antipolio</t>
  </si>
  <si>
    <t>2da.dósis</t>
  </si>
  <si>
    <t>1ra.dósis</t>
  </si>
  <si>
    <t>Total</t>
  </si>
  <si>
    <t>Vacuna Antiamarilica</t>
  </si>
  <si>
    <t>DOSIS APLICADAS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</si>
  <si>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</si>
  <si>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</si>
  <si>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</si>
  <si>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</si>
  <si>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</si>
  <si>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</si>
  <si>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</si>
  <si>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</si>
  <si>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</si>
  <si>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</si>
  <si>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</si>
  <si>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</si>
  <si>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</si>
  <si>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</si>
  <si>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</si>
  <si>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</si>
  <si>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</si>
  <si>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</si>
  <si>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</si>
  <si>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</si>
  <si>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</si>
  <si>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</si>
  <si>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</si>
  <si>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</si>
  <si>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</si>
  <si>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</si>
  <si>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</si>
  <si>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</si>
  <si>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</si>
  <si>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Antihepatitis Viral B (HVB)</t>
  </si>
  <si>
    <t>Niños de 2 años</t>
  </si>
  <si>
    <t>Niños de 3 años</t>
  </si>
  <si>
    <t>Niños de 4 años</t>
  </si>
  <si>
    <t>24 Horas</t>
  </si>
  <si>
    <t>28 Días</t>
  </si>
  <si>
    <t>Fuera de Periodo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</si>
  <si>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</si>
  <si>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</si>
  <si>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</si>
  <si>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</si>
  <si>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</si>
  <si>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</si>
  <si>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</si>
  <si>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</si>
  <si>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</si>
  <si>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</si>
  <si>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</si>
  <si>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</si>
  <si>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</si>
  <si>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</si>
  <si>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</si>
  <si>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</si>
  <si>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</si>
  <si>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</si>
  <si>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</si>
  <si>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</si>
  <si>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</si>
  <si>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</si>
  <si>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</si>
  <si>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</si>
  <si>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</si>
  <si>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</si>
  <si>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</si>
  <si>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</si>
  <si>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</si>
  <si>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</si>
  <si>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</si>
  <si>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</si>
  <si>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</si>
  <si>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</si>
  <si>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</si>
  <si>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</si>
  <si>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</si>
  <si>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</si>
  <si>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</si>
  <si>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</si>
  <si>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</si>
  <si>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</si>
  <si>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</si>
  <si>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</si>
  <si>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</si>
  <si>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</si>
  <si>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</si>
  <si>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</si>
  <si>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</si>
  <si>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</si>
  <si>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</si>
  <si>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</si>
  <si>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</si>
  <si>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</si>
  <si>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</si>
  <si>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</si>
  <si>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</si>
  <si>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</si>
  <si>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</si>
  <si>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</si>
  <si>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</si>
  <si>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</si>
  <si>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</si>
  <si>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</si>
  <si>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</si>
  <si>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</si>
  <si>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</si>
  <si>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</si>
  <si>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</si>
  <si>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</si>
  <si>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</si>
  <si>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</si>
  <si>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</si>
  <si>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</si>
  <si>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12 a 23 M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</si>
  <si>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</si>
  <si>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</si>
  <si>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</si>
  <si>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</si>
  <si>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</si>
  <si>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</si>
  <si>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</si>
  <si>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</si>
  <si>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</si>
  <si>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</si>
  <si>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</si>
  <si>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</si>
  <si>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</si>
  <si>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</si>
  <si>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</si>
  <si>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</si>
  <si>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</si>
  <si>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</si>
  <si>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</si>
  <si>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</si>
  <si>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</si>
  <si>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</si>
  <si>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</si>
  <si>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</si>
  <si>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</si>
  <si>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</si>
  <si>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</si>
  <si>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</si>
  <si>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</si>
  <si>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</si>
  <si>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</si>
  <si>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</si>
  <si>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</si>
  <si>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</si>
  <si>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</si>
  <si>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</si>
  <si>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</si>
  <si>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50 - 59 años</t>
  </si>
  <si>
    <t>Mayores de 60 años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</si>
  <si>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</si>
  <si>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</si>
  <si>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</si>
  <si>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</si>
  <si>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</si>
  <si>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</si>
  <si>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</si>
  <si>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</si>
  <si>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</si>
  <si>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</si>
  <si>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</si>
  <si>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</si>
  <si>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</si>
  <si>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</si>
  <si>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</si>
  <si>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</si>
  <si>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</si>
  <si>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</si>
  <si>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</si>
  <si>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</si>
  <si>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</si>
  <si>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</si>
  <si>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</si>
  <si>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</si>
  <si>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</si>
  <si>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</si>
  <si>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</si>
  <si>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</si>
  <si>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</si>
  <si>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</si>
  <si>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</si>
  <si>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</si>
  <si>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</si>
  <si>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</si>
  <si>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</si>
  <si>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</si>
  <si>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</si>
  <si>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</si>
  <si>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</si>
  <si>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</si>
  <si>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</si>
  <si>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</si>
  <si>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</si>
  <si>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>01 Año</t>
  </si>
  <si>
    <t>Dosis única</t>
  </si>
  <si>
    <t>1er.</t>
  </si>
  <si>
    <t>Influenza sin Comorbilidad</t>
  </si>
  <si>
    <t>2do.</t>
  </si>
  <si>
    <t>Grupos de Edad</t>
  </si>
  <si>
    <t>CON 
Comorbilidad</t>
  </si>
  <si>
    <t>60 a + años</t>
  </si>
  <si>
    <t>50 a 59 años</t>
  </si>
  <si>
    <t xml:space="preserve"> Personal de Salud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</si>
  <si>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</si>
  <si>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</si>
  <si>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</si>
  <si>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</si>
  <si>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</si>
  <si>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</si>
  <si>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</si>
  <si>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</si>
  <si>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</si>
  <si>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Policia Nacional</t>
  </si>
  <si>
    <t>Bombe-ros</t>
  </si>
  <si>
    <t>Estudiant Ciencia S.</t>
  </si>
  <si>
    <t>N.- Antipolio Oral</t>
  </si>
  <si>
    <t>Población que viaja a zonas endémicas de polio salvaje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</si>
  <si>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</si>
  <si>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</si>
  <si>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</si>
  <si>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</si>
  <si>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</si>
  <si>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</si>
  <si>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</si>
  <si>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</si>
  <si>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H2.- GESTANTES (TDAP)</t>
  </si>
  <si>
    <t>dT</t>
  </si>
  <si>
    <t>Unica</t>
  </si>
  <si>
    <t>Varicela (Contacto  C. índice)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</si>
  <si>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</si>
  <si>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</si>
  <si>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</si>
  <si>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</si>
  <si>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</si>
  <si>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</si>
  <si>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</si>
  <si>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</si>
  <si>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</si>
  <si>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</si>
  <si>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</si>
  <si>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</si>
  <si>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</si>
  <si>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</si>
  <si>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</si>
  <si>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</si>
  <si>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</si>
  <si>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</si>
  <si>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</si>
  <si>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</si>
  <si>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</si>
  <si>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</si>
  <si>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60 a mas años</t>
  </si>
  <si>
    <t>VIH</t>
  </si>
  <si>
    <t>50 a mas años</t>
  </si>
  <si>
    <t>Reporte O: Varicela - Población susceptible (contacto caso índice)</t>
  </si>
  <si>
    <t>GRUPOS DE EDAD</t>
  </si>
  <si>
    <t>90746</t>
  </si>
  <si>
    <t>OM</t>
  </si>
  <si>
    <t>TIPO DE VACUNA</t>
  </si>
  <si>
    <t>Dósis Unica</t>
  </si>
  <si>
    <t>paperas en mayores de 5 años</t>
  </si>
  <si>
    <t>dTpa</t>
  </si>
  <si>
    <t>NIVEL:</t>
  </si>
  <si>
    <t>FECHA DE IMPRESION:</t>
  </si>
  <si>
    <t>51</t>
  </si>
  <si>
    <t>90669, 90670</t>
  </si>
  <si>
    <t>Z2781 - 90714</t>
  </si>
  <si>
    <t>90657/90658</t>
  </si>
  <si>
    <t>90650 - 90649</t>
  </si>
  <si>
    <t>Femenino</t>
  </si>
  <si>
    <t>Masculino</t>
  </si>
  <si>
    <t>Hepatitis A</t>
  </si>
  <si>
    <t>90633.01</t>
  </si>
  <si>
    <t>De 6 a 11 meses</t>
  </si>
  <si>
    <t>De 1 a 4 años</t>
  </si>
  <si>
    <t>De 5 a 11 años</t>
  </si>
  <si>
    <t>Mayor de 12 años</t>
  </si>
  <si>
    <t>Dosis Adicional</t>
  </si>
  <si>
    <t>Dosis Unica</t>
  </si>
  <si>
    <t>05 - 09 años</t>
  </si>
  <si>
    <t>07 - 11 años</t>
  </si>
  <si>
    <t>50 - 60 años</t>
  </si>
  <si>
    <t>05 - 09 a</t>
  </si>
  <si>
    <t>10 - 11 a</t>
  </si>
  <si>
    <t>12 - 17 a</t>
  </si>
  <si>
    <t>18 - 29 a</t>
  </si>
  <si>
    <t>30 - 49 a</t>
  </si>
  <si>
    <t>50 - 59 a</t>
  </si>
  <si>
    <t>60 a+ a</t>
  </si>
  <si>
    <t>07 - 11 a</t>
  </si>
  <si>
    <t>50 - 60 a</t>
  </si>
  <si>
    <t>05 - 09a</t>
  </si>
  <si>
    <t>60 a +  años</t>
  </si>
  <si>
    <t>Varicela (Contacto indice)</t>
  </si>
  <si>
    <t>Reporte H1: Vacuna DT en M.E.F. NO GESTANTE</t>
  </si>
  <si>
    <t>Reporte H2: Vacuna DT en M.E.F. GESTANTE</t>
  </si>
  <si>
    <t>Reporte J: Vacuna Influenza Estacional en otros Grupos</t>
  </si>
  <si>
    <t>Reporte K: Sarampion - Rubeola</t>
  </si>
  <si>
    <t>Reporte L: Vacuna contra la Hepatitis B HVB</t>
  </si>
  <si>
    <t>Reporte M: Vacunas Antiamarílica (Población No Vacunada o que viaja a Zona Endémica)</t>
  </si>
  <si>
    <t>Reporte N: Vacuna Anti-Polio</t>
  </si>
  <si>
    <r>
      <t xml:space="preserve">Persona viviendo con VIH </t>
    </r>
    <r>
      <rPr>
        <sz val="7"/>
        <rFont val="Arial"/>
        <family val="2"/>
      </rPr>
      <t>(5-59a)</t>
    </r>
  </si>
  <si>
    <r>
      <t>Pac. esplénicos y oncohematológicos</t>
    </r>
    <r>
      <rPr>
        <sz val="7"/>
        <rFont val="Arial"/>
        <family val="2"/>
      </rPr>
      <t xml:space="preserve"> (5-59a)</t>
    </r>
  </si>
  <si>
    <t>Reporte P: Neumococo</t>
  </si>
  <si>
    <t>Reporte Q: VPH</t>
  </si>
  <si>
    <t>Reporte X: Vacunacion de la Hepatitis B, dosis adulta de usos intramuscular (esquema de 3 dosis 16-59 años)</t>
  </si>
  <si>
    <t>1ra. Dosis</t>
  </si>
  <si>
    <t>2da. Dosis</t>
  </si>
  <si>
    <t>3ra. Dosis</t>
  </si>
  <si>
    <t>SPR - 2da. Dosis</t>
  </si>
  <si>
    <t>SPR - 1ra. Dosis</t>
  </si>
  <si>
    <t>Antiamarilica</t>
  </si>
  <si>
    <t>90648</t>
  </si>
  <si>
    <t>90657,90658</t>
  </si>
  <si>
    <t>90702</t>
  </si>
  <si>
    <t>90714</t>
  </si>
  <si>
    <t>90714, 90715</t>
  </si>
  <si>
    <t>Reporte A: Vacuna Administrada en MENORES DE 01 AÑO</t>
  </si>
  <si>
    <t>Reporte B: Vacuna Administrada en niños DE 01 AÑO</t>
  </si>
  <si>
    <t>Reporte C: Vacuna Administrada en Niños DE 02 - 04 AÑOS</t>
  </si>
  <si>
    <t>Reporte Y: Vacunacion SPR (PAPERAS EN 5 A MAS AÑOS)</t>
  </si>
  <si>
    <t>Ref APO - IPV</t>
  </si>
  <si>
    <t>Reporte I: Vacunas DT en Varones en riesgo</t>
  </si>
  <si>
    <t>&lt; 09 años</t>
  </si>
  <si>
    <t>09 - 13 años</t>
  </si>
  <si>
    <t>14 a + años</t>
  </si>
  <si>
    <t>Reporte Z: Vacuna contra COVID</t>
  </si>
  <si>
    <t>90669,90670</t>
  </si>
  <si>
    <t>4ta. y Dosis  Adicional</t>
  </si>
  <si>
    <t>&lt;1</t>
  </si>
  <si>
    <t>EDAD EN AÑOS</t>
  </si>
  <si>
    <t>Reporte AA: Vacuna Administrada en Barrido SPR - APO</t>
  </si>
  <si>
    <t>Influenza (no completaron esquema)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</si>
</sst>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3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11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sz val="8"/>
      <color rgb="FFFF0000"/>
      <name val="Arial"/>
      <family val="2"/>
    </font>
    <font>
      <b/>
      <sz val="8"/>
      <color rgb="FF7030A0"/>
      <name val="Arial"/>
      <family val="2"/>
    </font>
    <font>
      <b/>
      <sz val="8"/>
      <name val="Calibri"/>
      <family val="2"/>
      <scheme val="minor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sz val="8"/>
      <color rgb="FFFF0000"/>
      <name val="Tahoma"/>
      <family val="2"/>
    </font>
    <font>
      <b/>
      <sz val="10"/>
      <name val="Calibri"/>
      <family val="2"/>
      <scheme val="minor"/>
    </font>
    <font>
      <b/>
      <sz val="10"/>
      <name val="Arial"/>
      <family val="2"/>
    </font>
    <font>
      <b/>
      <sz val="8"/>
      <color rgb="FFFF0000"/>
      <name val="Tahoma"/>
      <family val="2"/>
    </font>
    <font>
      <b/>
      <i/>
      <sz val="8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166" fontId="10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</cellStyleXfs>
  <cellXfs count="633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4" fillId="0" borderId="2" xfId="0" applyFont="1" applyBorder="1" applyAlignment="1">
      <alignment horizontal="center" vertical="center"/>
    </xf>
    <xf numFmtId="49" fontId="4" fillId="3" borderId="3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49" fontId="4" fillId="3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11" fillId="4" borderId="5" xfId="6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vertical="center"/>
    </xf>
    <xf numFmtId="16" fontId="7" fillId="4" borderId="5" xfId="0" applyNumberFormat="1" applyFont="1" applyFill="1" applyBorder="1" applyAlignment="1">
      <alignment horizontal="center" vertical="center"/>
    </xf>
    <xf numFmtId="1" fontId="19" fillId="0" borderId="0" xfId="9" applyNumberFormat="1" applyFont="1" applyAlignment="1">
      <alignment vertical="center"/>
    </xf>
    <xf numFmtId="1" fontId="20" fillId="0" borderId="0" xfId="9" applyNumberFormat="1" applyFont="1" applyAlignment="1">
      <alignment vertical="center"/>
    </xf>
    <xf numFmtId="0" fontId="4" fillId="0" borderId="6" xfId="6" applyFont="1" applyBorder="1" applyAlignment="1">
      <alignment vertical="center" wrapText="1"/>
    </xf>
    <xf numFmtId="1" fontId="4" fillId="0" borderId="6" xfId="6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4" fillId="7" borderId="9" xfId="0" applyFont="1" applyFill="1" applyBorder="1" applyAlignment="1">
      <alignment vertical="center"/>
    </xf>
    <xf numFmtId="0" fontId="4" fillId="7" borderId="10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vertical="center"/>
    </xf>
    <xf numFmtId="0" fontId="4" fillId="0" borderId="7" xfId="6" applyFont="1" applyBorder="1" applyAlignment="1">
      <alignment vertical="center" wrapText="1"/>
    </xf>
    <xf numFmtId="1" fontId="4" fillId="0" borderId="7" xfId="6" applyNumberFormat="1" applyFont="1" applyBorder="1" applyAlignment="1">
      <alignment horizontal="center" vertical="center"/>
    </xf>
    <xf numFmtId="0" fontId="4" fillId="0" borderId="16" xfId="6" applyFont="1" applyBorder="1" applyAlignment="1">
      <alignment vertical="center" wrapText="1"/>
    </xf>
    <xf numFmtId="1" fontId="4" fillId="0" borderId="16" xfId="6" applyNumberFormat="1" applyFont="1" applyBorder="1" applyAlignment="1">
      <alignment horizontal="center" vertical="center"/>
    </xf>
    <xf numFmtId="49" fontId="4" fillId="0" borderId="17" xfId="6" applyNumberFormat="1" applyFont="1" applyBorder="1" applyAlignment="1">
      <alignment horizontal="left" vertical="center" wrapText="1" indent="1"/>
    </xf>
    <xf numFmtId="1" fontId="4" fillId="0" borderId="17" xfId="6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left" vertical="center" indent="1"/>
    </xf>
    <xf numFmtId="0" fontId="4" fillId="0" borderId="19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center" inden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left" vertical="center" indent="1"/>
    </xf>
    <xf numFmtId="0" fontId="4" fillId="0" borderId="2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16" xfId="0" applyFont="1" applyBorder="1" applyAlignment="1">
      <alignment vertical="center"/>
    </xf>
    <xf numFmtId="0" fontId="4" fillId="0" borderId="17" xfId="0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 indent="1"/>
    </xf>
    <xf numFmtId="0" fontId="21" fillId="0" borderId="0" xfId="9" applyFont="1" applyAlignment="1">
      <alignment horizontal="center" vertical="center"/>
    </xf>
    <xf numFmtId="0" fontId="2" fillId="0" borderId="0" xfId="9" applyFont="1" applyAlignment="1">
      <alignment vertical="center"/>
    </xf>
    <xf numFmtId="0" fontId="14" fillId="0" borderId="0" xfId="9" applyFont="1" applyAlignment="1">
      <alignment horizontal="right" vertical="center" indent="1"/>
    </xf>
    <xf numFmtId="0" fontId="13" fillId="0" borderId="0" xfId="9" applyFont="1" applyAlignment="1">
      <alignment vertical="center"/>
    </xf>
    <xf numFmtId="0" fontId="22" fillId="0" borderId="0" xfId="9" applyFont="1" applyAlignment="1">
      <alignment horizontal="center" vertical="center"/>
    </xf>
    <xf numFmtId="0" fontId="14" fillId="0" borderId="0" xfId="9" applyFont="1" applyAlignment="1">
      <alignment vertical="center"/>
    </xf>
    <xf numFmtId="0" fontId="14" fillId="0" borderId="0" xfId="9" applyFont="1" applyAlignment="1">
      <alignment horizontal="right" vertical="center"/>
    </xf>
    <xf numFmtId="0" fontId="14" fillId="0" borderId="3" xfId="9" applyFont="1" applyBorder="1" applyAlignment="1">
      <alignment vertical="center"/>
    </xf>
    <xf numFmtId="1" fontId="14" fillId="0" borderId="0" xfId="9" applyNumberFormat="1" applyFont="1" applyAlignment="1">
      <alignment vertical="center"/>
    </xf>
    <xf numFmtId="0" fontId="13" fillId="0" borderId="2" xfId="9" applyFont="1" applyBorder="1" applyAlignment="1">
      <alignment horizontal="center" vertical="center"/>
    </xf>
    <xf numFmtId="0" fontId="13" fillId="0" borderId="24" xfId="9" applyFont="1" applyBorder="1" applyAlignment="1">
      <alignment horizontal="center" vertical="center"/>
    </xf>
    <xf numFmtId="0" fontId="13" fillId="0" borderId="5" xfId="9" applyFont="1" applyBorder="1" applyAlignment="1">
      <alignment horizontal="center" vertical="center"/>
    </xf>
    <xf numFmtId="0" fontId="13" fillId="0" borderId="25" xfId="9" applyFont="1" applyBorder="1" applyAlignment="1">
      <alignment horizontal="center" vertical="center"/>
    </xf>
    <xf numFmtId="0" fontId="22" fillId="0" borderId="0" xfId="9" applyFont="1" applyAlignment="1">
      <alignment vertical="center"/>
    </xf>
    <xf numFmtId="0" fontId="2" fillId="0" borderId="0" xfId="9" applyFont="1" applyAlignment="1">
      <alignment horizontal="center" vertical="center"/>
    </xf>
    <xf numFmtId="0" fontId="2" fillId="0" borderId="5" xfId="9" applyFont="1" applyBorder="1" applyAlignment="1">
      <alignment horizontal="center" vertical="center"/>
    </xf>
    <xf numFmtId="0" fontId="2" fillId="0" borderId="3" xfId="9" applyFont="1" applyBorder="1" applyAlignment="1">
      <alignment horizontal="center" vertical="center"/>
    </xf>
    <xf numFmtId="0" fontId="2" fillId="0" borderId="2" xfId="9" applyFont="1" applyBorder="1" applyAlignment="1">
      <alignment horizontal="center" vertical="center"/>
    </xf>
    <xf numFmtId="0" fontId="2" fillId="0" borderId="30" xfId="9" applyFont="1" applyBorder="1" applyAlignment="1">
      <alignment horizontal="center" vertical="center"/>
    </xf>
    <xf numFmtId="0" fontId="15" fillId="0" borderId="0" xfId="9" applyFont="1" applyAlignment="1">
      <alignment vertical="center"/>
    </xf>
    <xf numFmtId="2" fontId="2" fillId="0" borderId="0" xfId="9" applyNumberFormat="1" applyFont="1" applyAlignment="1">
      <alignment vertical="center"/>
    </xf>
    <xf numFmtId="0" fontId="13" fillId="0" borderId="34" xfId="9" applyFont="1" applyBorder="1" applyAlignment="1">
      <alignment horizontal="center" vertical="center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5" xfId="9" applyNumberFormat="1" applyFont="1" applyBorder="1" applyAlignment="1">
      <alignment vertical="center"/>
    </xf>
    <xf numFmtId="3" fontId="15" fillId="0" borderId="25" xfId="9" applyNumberFormat="1" applyFont="1" applyBorder="1" applyAlignment="1">
      <alignment vertical="center"/>
    </xf>
    <xf numFmtId="0" fontId="23" fillId="0" borderId="0" xfId="9" applyFont="1" applyAlignment="1">
      <alignment horizontal="center" vertical="center" wrapText="1"/>
    </xf>
    <xf numFmtId="3" fontId="15" fillId="0" borderId="29" xfId="9" applyNumberFormat="1" applyFont="1" applyBorder="1" applyAlignment="1">
      <alignment vertical="center"/>
    </xf>
    <xf numFmtId="1" fontId="2" fillId="0" borderId="4" xfId="9" applyNumberFormat="1" applyFont="1" applyBorder="1" applyAlignment="1">
      <alignment vertical="center"/>
    </xf>
    <xf numFmtId="1" fontId="2" fillId="0" borderId="35" xfId="9" applyNumberFormat="1" applyFont="1" applyBorder="1" applyAlignment="1">
      <alignment vertical="center"/>
    </xf>
    <xf numFmtId="1" fontId="2" fillId="0" borderId="29" xfId="9" applyNumberFormat="1" applyFont="1" applyBorder="1" applyAlignment="1">
      <alignment vertical="center"/>
    </xf>
    <xf numFmtId="49" fontId="2" fillId="0" borderId="0" xfId="9" applyNumberFormat="1" applyFont="1" applyAlignment="1">
      <alignment vertical="center"/>
    </xf>
    <xf numFmtId="1" fontId="2" fillId="0" borderId="39" xfId="9" applyNumberFormat="1" applyFont="1" applyBorder="1" applyAlignment="1">
      <alignment vertical="center"/>
    </xf>
    <xf numFmtId="3" fontId="15" fillId="0" borderId="31" xfId="9" applyNumberFormat="1" applyFont="1" applyBorder="1" applyAlignment="1">
      <alignment vertical="center"/>
    </xf>
    <xf numFmtId="1" fontId="13" fillId="0" borderId="0" xfId="9" applyNumberFormat="1" applyFont="1" applyAlignment="1">
      <alignment vertical="center"/>
    </xf>
    <xf numFmtId="1" fontId="2" fillId="0" borderId="0" xfId="9" applyNumberFormat="1" applyFont="1" applyAlignment="1">
      <alignment vertical="center"/>
    </xf>
    <xf numFmtId="0" fontId="13" fillId="0" borderId="0" xfId="9" applyFont="1" applyAlignment="1">
      <alignment horizontal="right" vertical="center"/>
    </xf>
    <xf numFmtId="0" fontId="13" fillId="0" borderId="43" xfId="9" applyFont="1" applyBorder="1" applyAlignment="1">
      <alignment horizontal="center" vertical="center"/>
    </xf>
    <xf numFmtId="49" fontId="2" fillId="0" borderId="44" xfId="9" applyNumberFormat="1" applyFont="1" applyBorder="1" applyAlignment="1">
      <alignment vertical="center"/>
    </xf>
    <xf numFmtId="49" fontId="2" fillId="0" borderId="35" xfId="9" applyNumberFormat="1" applyFont="1" applyBorder="1" applyAlignment="1">
      <alignment horizontal="left" vertical="center" indent="1"/>
    </xf>
    <xf numFmtId="3" fontId="15" fillId="0" borderId="5" xfId="9" applyNumberFormat="1" applyFont="1" applyBorder="1" applyAlignment="1">
      <alignment vertical="center"/>
    </xf>
    <xf numFmtId="3" fontId="15" fillId="0" borderId="32" xfId="9" applyNumberFormat="1" applyFont="1" applyBorder="1" applyAlignment="1">
      <alignment vertical="center"/>
    </xf>
    <xf numFmtId="4" fontId="15" fillId="0" borderId="36" xfId="9" applyNumberFormat="1" applyFont="1" applyBorder="1" applyAlignment="1">
      <alignment vertical="center"/>
    </xf>
    <xf numFmtId="0" fontId="13" fillId="0" borderId="46" xfId="9" applyFont="1" applyBorder="1" applyAlignment="1">
      <alignment horizontal="center" vertical="center"/>
    </xf>
    <xf numFmtId="0" fontId="13" fillId="0" borderId="47" xfId="9" applyFont="1" applyBorder="1" applyAlignment="1">
      <alignment horizontal="center" vertical="center"/>
    </xf>
    <xf numFmtId="4" fontId="15" fillId="0" borderId="34" xfId="9" applyNumberFormat="1" applyFont="1" applyBorder="1" applyAlignment="1">
      <alignment vertical="center"/>
    </xf>
    <xf numFmtId="49" fontId="2" fillId="0" borderId="48" xfId="9" applyNumberFormat="1" applyFont="1" applyBorder="1" applyAlignment="1">
      <alignment vertical="center"/>
    </xf>
    <xf numFmtId="49" fontId="2" fillId="0" borderId="30" xfId="9" applyNumberFormat="1" applyFont="1" applyBorder="1" applyAlignment="1">
      <alignment vertical="center"/>
    </xf>
    <xf numFmtId="0" fontId="13" fillId="0" borderId="49" xfId="9" applyFont="1" applyBorder="1" applyAlignment="1">
      <alignment horizontal="center" vertical="center"/>
    </xf>
    <xf numFmtId="4" fontId="15" fillId="0" borderId="42" xfId="9" applyNumberFormat="1" applyFont="1" applyBorder="1" applyAlignment="1">
      <alignment vertical="center"/>
    </xf>
    <xf numFmtId="0" fontId="22" fillId="0" borderId="0" xfId="9" applyFont="1" applyAlignment="1">
      <alignment horizontal="center"/>
    </xf>
    <xf numFmtId="0" fontId="22" fillId="0" borderId="0" xfId="9" applyFont="1" applyAlignment="1">
      <alignment horizontal="right"/>
    </xf>
    <xf numFmtId="1" fontId="13" fillId="0" borderId="4" xfId="9" applyNumberFormat="1" applyFont="1" applyBorder="1" applyAlignment="1">
      <alignment horizontal="left" vertical="center" indent="1"/>
    </xf>
    <xf numFmtId="0" fontId="2" fillId="0" borderId="29" xfId="9" applyFont="1" applyBorder="1" applyAlignment="1">
      <alignment vertical="center"/>
    </xf>
    <xf numFmtId="0" fontId="13" fillId="0" borderId="29" xfId="9" applyFont="1" applyBorder="1" applyAlignment="1">
      <alignment vertical="center"/>
    </xf>
    <xf numFmtId="1" fontId="13" fillId="0" borderId="50" xfId="9" applyNumberFormat="1" applyFont="1" applyBorder="1" applyAlignment="1">
      <alignment horizontal="left" vertical="center" indent="1"/>
    </xf>
    <xf numFmtId="0" fontId="13" fillId="0" borderId="40" xfId="9" applyFont="1" applyBorder="1" applyAlignment="1">
      <alignment vertical="center"/>
    </xf>
    <xf numFmtId="0" fontId="16" fillId="0" borderId="44" xfId="9" applyFont="1" applyBorder="1" applyAlignment="1">
      <alignment vertical="center"/>
    </xf>
    <xf numFmtId="1" fontId="17" fillId="0" borderId="35" xfId="9" applyNumberFormat="1" applyFont="1" applyBorder="1" applyAlignment="1">
      <alignment vertical="center"/>
    </xf>
    <xf numFmtId="0" fontId="16" fillId="0" borderId="29" xfId="9" applyFont="1" applyBorder="1" applyAlignment="1">
      <alignment vertical="center"/>
    </xf>
    <xf numFmtId="1" fontId="21" fillId="0" borderId="0" xfId="9" applyNumberFormat="1" applyFont="1" applyAlignment="1">
      <alignment vertical="center"/>
    </xf>
    <xf numFmtId="0" fontId="13" fillId="0" borderId="38" xfId="9" applyFont="1" applyBorder="1" applyAlignment="1">
      <alignment vertical="center" textRotation="90" wrapText="1"/>
    </xf>
    <xf numFmtId="0" fontId="2" fillId="0" borderId="40" xfId="9" applyFont="1" applyBorder="1" applyAlignment="1">
      <alignment vertical="center"/>
    </xf>
    <xf numFmtId="1" fontId="16" fillId="0" borderId="44" xfId="9" applyNumberFormat="1" applyFont="1" applyBorder="1" applyAlignment="1">
      <alignment horizontal="left" vertical="center" indent="1"/>
    </xf>
    <xf numFmtId="0" fontId="2" fillId="0" borderId="35" xfId="9" applyFont="1" applyBorder="1" applyAlignment="1">
      <alignment vertical="center" textRotation="90" wrapText="1"/>
    </xf>
    <xf numFmtId="0" fontId="2" fillId="0" borderId="35" xfId="9" applyFont="1" applyBorder="1" applyAlignment="1">
      <alignment vertical="center"/>
    </xf>
    <xf numFmtId="0" fontId="16" fillId="0" borderId="48" xfId="9" applyFont="1" applyBorder="1" applyAlignment="1">
      <alignment vertical="center"/>
    </xf>
    <xf numFmtId="1" fontId="17" fillId="0" borderId="30" xfId="9" applyNumberFormat="1" applyFont="1" applyBorder="1" applyAlignment="1">
      <alignment vertical="center"/>
    </xf>
    <xf numFmtId="0" fontId="16" fillId="0" borderId="32" xfId="9" applyFont="1" applyBorder="1" applyAlignment="1">
      <alignment vertical="center"/>
    </xf>
    <xf numFmtId="0" fontId="21" fillId="0" borderId="0" xfId="9" applyFont="1" applyAlignment="1">
      <alignment vertical="center"/>
    </xf>
    <xf numFmtId="1" fontId="24" fillId="0" borderId="0" xfId="9" applyNumberFormat="1" applyFont="1" applyAlignment="1">
      <alignment vertical="center"/>
    </xf>
    <xf numFmtId="0" fontId="13" fillId="0" borderId="44" xfId="9" applyFont="1" applyBorder="1" applyAlignment="1">
      <alignment horizontal="left" vertical="center" indent="1"/>
    </xf>
    <xf numFmtId="0" fontId="21" fillId="0" borderId="0" xfId="9" applyFont="1" applyAlignment="1">
      <alignment horizontal="left" vertical="center"/>
    </xf>
    <xf numFmtId="0" fontId="13" fillId="0" borderId="51" xfId="9" applyFont="1" applyBorder="1" applyAlignment="1">
      <alignment horizontal="left" vertical="center" indent="1"/>
    </xf>
    <xf numFmtId="0" fontId="2" fillId="0" borderId="5" xfId="9" applyFont="1" applyBorder="1" applyAlignment="1">
      <alignment vertical="center"/>
    </xf>
    <xf numFmtId="1" fontId="16" fillId="0" borderId="51" xfId="9" applyNumberFormat="1" applyFont="1" applyBorder="1" applyAlignment="1">
      <alignment horizontal="left" vertical="center" indent="1"/>
    </xf>
    <xf numFmtId="1" fontId="24" fillId="0" borderId="0" xfId="9" applyNumberFormat="1" applyFont="1" applyAlignment="1">
      <alignment horizontal="left" vertical="center" indent="1"/>
    </xf>
    <xf numFmtId="0" fontId="2" fillId="0" borderId="0" xfId="9" applyFont="1" applyAlignment="1">
      <alignment vertical="center" textRotation="90" wrapText="1"/>
    </xf>
    <xf numFmtId="3" fontId="13" fillId="0" borderId="0" xfId="9" applyNumberFormat="1" applyFont="1" applyAlignment="1">
      <alignment vertical="center"/>
    </xf>
    <xf numFmtId="3" fontId="2" fillId="0" borderId="53" xfId="9" applyNumberFormat="1" applyFont="1" applyBorder="1" applyAlignment="1">
      <alignment horizontal="center" vertical="center"/>
    </xf>
    <xf numFmtId="3" fontId="2" fillId="0" borderId="5" xfId="9" applyNumberFormat="1" applyFont="1" applyBorder="1" applyAlignment="1">
      <alignment horizontal="center" vertical="center"/>
    </xf>
    <xf numFmtId="3" fontId="2" fillId="0" borderId="31" xfId="9" applyNumberFormat="1" applyFont="1" applyBorder="1" applyAlignment="1">
      <alignment horizontal="center" vertical="center"/>
    </xf>
    <xf numFmtId="3" fontId="2" fillId="0" borderId="42" xfId="9" applyNumberFormat="1" applyFont="1" applyBorder="1" applyAlignment="1">
      <alignment horizontal="center" vertical="center"/>
    </xf>
    <xf numFmtId="0" fontId="2" fillId="0" borderId="4" xfId="9" applyFont="1" applyBorder="1" applyAlignment="1">
      <alignment horizontal="center" vertical="center"/>
    </xf>
    <xf numFmtId="0" fontId="2" fillId="0" borderId="50" xfId="9" applyFont="1" applyBorder="1" applyAlignment="1">
      <alignment horizontal="center" vertical="center"/>
    </xf>
    <xf numFmtId="1" fontId="2" fillId="0" borderId="35" xfId="9" applyNumberFormat="1" applyFont="1" applyBorder="1" applyAlignment="1">
      <alignment horizontal="center" vertical="center"/>
    </xf>
    <xf numFmtId="1" fontId="2" fillId="0" borderId="4" xfId="9" applyNumberFormat="1" applyFont="1" applyBorder="1" applyAlignment="1">
      <alignment horizontal="left" vertical="center" indent="1"/>
    </xf>
    <xf numFmtId="3" fontId="13" fillId="0" borderId="53" xfId="9" applyNumberFormat="1" applyFont="1" applyBorder="1" applyAlignment="1">
      <alignment horizontal="center" vertical="center"/>
    </xf>
    <xf numFmtId="167" fontId="2" fillId="0" borderId="5" xfId="5" applyNumberFormat="1" applyFont="1" applyBorder="1" applyAlignment="1">
      <alignment horizontal="center" vertical="center"/>
    </xf>
    <xf numFmtId="167" fontId="2" fillId="0" borderId="31" xfId="5" applyNumberFormat="1" applyFont="1" applyBorder="1" applyAlignment="1">
      <alignment horizontal="center" vertical="center"/>
    </xf>
    <xf numFmtId="3" fontId="2" fillId="0" borderId="2" xfId="9" applyNumberFormat="1" applyFont="1" applyBorder="1" applyAlignment="1">
      <alignment horizontal="center" vertical="center"/>
    </xf>
    <xf numFmtId="3" fontId="15" fillId="2" borderId="5" xfId="9" applyNumberFormat="1" applyFont="1" applyFill="1" applyBorder="1" applyAlignment="1">
      <alignment horizontal="center" vertical="center"/>
    </xf>
    <xf numFmtId="3" fontId="2" fillId="0" borderId="56" xfId="9" applyNumberFormat="1" applyFont="1" applyBorder="1" applyAlignment="1">
      <alignment horizontal="center" vertical="center"/>
    </xf>
    <xf numFmtId="3" fontId="15" fillId="0" borderId="31" xfId="9" applyNumberFormat="1" applyFont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2" fillId="0" borderId="31" xfId="9" applyFont="1" applyBorder="1" applyAlignment="1">
      <alignment horizontal="center" vertical="center"/>
    </xf>
    <xf numFmtId="0" fontId="2" fillId="0" borderId="42" xfId="9" applyFont="1" applyBorder="1" applyAlignment="1">
      <alignment horizontal="center" vertical="center"/>
    </xf>
    <xf numFmtId="49" fontId="2" fillId="0" borderId="35" xfId="9" applyNumberFormat="1" applyFont="1" applyBorder="1" applyAlignment="1">
      <alignment horizontal="center" vertical="center"/>
    </xf>
    <xf numFmtId="49" fontId="2" fillId="0" borderId="37" xfId="9" applyNumberFormat="1" applyFont="1" applyBorder="1" applyAlignment="1">
      <alignment horizontal="left" vertical="center" indent="1"/>
    </xf>
    <xf numFmtId="49" fontId="2" fillId="0" borderId="5" xfId="9" applyNumberFormat="1" applyFont="1" applyBorder="1" applyAlignment="1">
      <alignment horizontal="center" vertical="center"/>
    </xf>
    <xf numFmtId="49" fontId="2" fillId="0" borderId="35" xfId="9" applyNumberFormat="1" applyFont="1" applyBorder="1" applyAlignment="1">
      <alignment vertical="center" wrapText="1"/>
    </xf>
    <xf numFmtId="49" fontId="2" fillId="0" borderId="29" xfId="9" applyNumberFormat="1" applyFont="1" applyBorder="1" applyAlignment="1">
      <alignment vertical="center" wrapText="1"/>
    </xf>
    <xf numFmtId="1" fontId="2" fillId="0" borderId="35" xfId="9" applyNumberFormat="1" applyFont="1" applyBorder="1" applyAlignment="1">
      <alignment horizontal="center" vertical="center" wrapText="1"/>
    </xf>
    <xf numFmtId="1" fontId="2" fillId="0" borderId="5" xfId="9" applyNumberFormat="1" applyFont="1" applyBorder="1" applyAlignment="1">
      <alignment horizontal="center" vertical="center" wrapText="1"/>
    </xf>
    <xf numFmtId="1" fontId="2" fillId="0" borderId="5" xfId="9" applyNumberFormat="1" applyFont="1" applyBorder="1" applyAlignment="1">
      <alignment horizontal="center" vertical="center"/>
    </xf>
    <xf numFmtId="1" fontId="2" fillId="0" borderId="24" xfId="9" applyNumberFormat="1" applyFont="1" applyBorder="1" applyAlignment="1">
      <alignment horizontal="left" vertical="center" indent="1"/>
    </xf>
    <xf numFmtId="1" fontId="2" fillId="0" borderId="39" xfId="9" applyNumberFormat="1" applyFont="1" applyBorder="1" applyAlignment="1">
      <alignment horizontal="center" vertical="center"/>
    </xf>
    <xf numFmtId="1" fontId="2" fillId="0" borderId="2" xfId="9" applyNumberFormat="1" applyFont="1" applyBorder="1" applyAlignment="1">
      <alignment horizontal="center" vertical="center"/>
    </xf>
    <xf numFmtId="1" fontId="2" fillId="0" borderId="5" xfId="9" applyNumberFormat="1" applyFont="1" applyBorder="1" applyAlignment="1">
      <alignment vertical="center"/>
    </xf>
    <xf numFmtId="1" fontId="2" fillId="0" borderId="37" xfId="9" applyNumberFormat="1" applyFont="1" applyBorder="1" applyAlignment="1">
      <alignment horizontal="left" vertical="center" indent="1"/>
    </xf>
    <xf numFmtId="1" fontId="2" fillId="0" borderId="0" xfId="9" applyNumberFormat="1" applyFont="1" applyAlignment="1">
      <alignment horizontal="center" vertical="center"/>
    </xf>
    <xf numFmtId="1" fontId="2" fillId="0" borderId="25" xfId="9" applyNumberFormat="1" applyFont="1" applyBorder="1" applyAlignment="1">
      <alignment horizontal="center" vertical="center"/>
    </xf>
    <xf numFmtId="49" fontId="2" fillId="0" borderId="31" xfId="9" applyNumberFormat="1" applyFont="1" applyBorder="1" applyAlignment="1">
      <alignment horizontal="center" vertical="center"/>
    </xf>
    <xf numFmtId="49" fontId="2" fillId="0" borderId="39" xfId="9" applyNumberFormat="1" applyFont="1" applyBorder="1" applyAlignment="1">
      <alignment vertical="center"/>
    </xf>
    <xf numFmtId="1" fontId="16" fillId="0" borderId="35" xfId="9" applyNumberFormat="1" applyFont="1" applyBorder="1" applyAlignment="1">
      <alignment vertical="center" wrapText="1"/>
    </xf>
    <xf numFmtId="1" fontId="16" fillId="0" borderId="29" xfId="9" applyNumberFormat="1" applyFont="1" applyBorder="1" applyAlignment="1">
      <alignment vertical="center" wrapText="1"/>
    </xf>
    <xf numFmtId="1" fontId="16" fillId="0" borderId="58" xfId="9" applyNumberFormat="1" applyFont="1" applyBorder="1" applyAlignment="1">
      <alignment horizontal="left" vertical="center" indent="1"/>
    </xf>
    <xf numFmtId="0" fontId="16" fillId="0" borderId="59" xfId="9" applyFont="1" applyBorder="1" applyAlignment="1">
      <alignment horizontal="left" vertical="center" indent="1"/>
    </xf>
    <xf numFmtId="0" fontId="16" fillId="0" borderId="3" xfId="9" applyFont="1" applyBorder="1" applyAlignment="1">
      <alignment horizontal="left" vertical="center" indent="1"/>
    </xf>
    <xf numFmtId="3" fontId="2" fillId="0" borderId="0" xfId="9" applyNumberFormat="1" applyFont="1" applyAlignment="1">
      <alignment vertical="center"/>
    </xf>
    <xf numFmtId="0" fontId="2" fillId="0" borderId="37" xfId="9" applyFont="1" applyBorder="1" applyAlignment="1">
      <alignment horizontal="center" vertical="center"/>
    </xf>
    <xf numFmtId="0" fontId="13" fillId="0" borderId="58" xfId="9" applyFont="1" applyBorder="1" applyAlignment="1">
      <alignment vertical="center"/>
    </xf>
    <xf numFmtId="0" fontId="2" fillId="0" borderId="61" xfId="9" applyFont="1" applyBorder="1" applyAlignment="1">
      <alignment vertical="center"/>
    </xf>
    <xf numFmtId="0" fontId="13" fillId="0" borderId="61" xfId="9" applyFont="1" applyBorder="1" applyAlignment="1">
      <alignment horizontal="right" vertical="center"/>
    </xf>
    <xf numFmtId="0" fontId="14" fillId="0" borderId="31" xfId="9" applyFont="1" applyBorder="1" applyAlignment="1">
      <alignment vertical="center"/>
    </xf>
    <xf numFmtId="0" fontId="2" fillId="0" borderId="62" xfId="9" applyFont="1" applyBorder="1" applyAlignment="1">
      <alignment vertical="center"/>
    </xf>
    <xf numFmtId="0" fontId="26" fillId="0" borderId="0" xfId="9" applyFont="1" applyAlignment="1">
      <alignment horizontal="right" vertical="center"/>
    </xf>
    <xf numFmtId="0" fontId="13" fillId="0" borderId="47" xfId="9" applyFont="1" applyBorder="1" applyAlignment="1">
      <alignment horizontal="left" vertical="center" indent="1"/>
    </xf>
    <xf numFmtId="0" fontId="2" fillId="9" borderId="34" xfId="9" applyFont="1" applyFill="1" applyBorder="1" applyAlignment="1">
      <alignment vertical="center"/>
    </xf>
    <xf numFmtId="0" fontId="14" fillId="0" borderId="59" xfId="9" applyFont="1" applyBorder="1" applyAlignment="1">
      <alignment horizontal="left" vertical="center" indent="1"/>
    </xf>
    <xf numFmtId="0" fontId="26" fillId="0" borderId="0" xfId="9" applyFont="1" applyAlignment="1">
      <alignment vertical="center"/>
    </xf>
    <xf numFmtId="0" fontId="13" fillId="7" borderId="47" xfId="9" applyFont="1" applyFill="1" applyBorder="1" applyAlignment="1">
      <alignment horizontal="center" vertical="center"/>
    </xf>
    <xf numFmtId="0" fontId="13" fillId="7" borderId="5" xfId="9" applyFont="1" applyFill="1" applyBorder="1" applyAlignment="1">
      <alignment horizontal="center" vertical="center"/>
    </xf>
    <xf numFmtId="0" fontId="13" fillId="7" borderId="34" xfId="9" applyFont="1" applyFill="1" applyBorder="1" applyAlignment="1">
      <alignment horizontal="center" vertical="center"/>
    </xf>
    <xf numFmtId="0" fontId="13" fillId="0" borderId="49" xfId="9" applyFont="1" applyBorder="1" applyAlignment="1">
      <alignment horizontal="left" vertical="center" indent="1"/>
    </xf>
    <xf numFmtId="0" fontId="25" fillId="0" borderId="3" xfId="0" applyFont="1" applyBorder="1" applyAlignment="1">
      <alignment horizontal="left" vertical="top" wrapText="1"/>
    </xf>
    <xf numFmtId="0" fontId="2" fillId="10" borderId="35" xfId="9" applyFont="1" applyFill="1" applyBorder="1" applyAlignment="1">
      <alignment vertical="center" textRotation="90" wrapText="1"/>
    </xf>
    <xf numFmtId="0" fontId="2" fillId="10" borderId="35" xfId="9" applyFont="1" applyFill="1" applyBorder="1" applyAlignment="1">
      <alignment vertical="center"/>
    </xf>
    <xf numFmtId="0" fontId="16" fillId="10" borderId="35" xfId="9" applyFont="1" applyFill="1" applyBorder="1" applyAlignment="1">
      <alignment horizontal="left" vertical="center" indent="1"/>
    </xf>
    <xf numFmtId="0" fontId="2" fillId="10" borderId="35" xfId="9" applyFont="1" applyFill="1" applyBorder="1" applyAlignment="1">
      <alignment horizontal="left" vertical="center" indent="1"/>
    </xf>
    <xf numFmtId="0" fontId="27" fillId="0" borderId="0" xfId="9" applyFont="1" applyAlignment="1">
      <alignment horizontal="center" vertical="center"/>
    </xf>
    <xf numFmtId="1" fontId="28" fillId="10" borderId="44" xfId="9" applyNumberFormat="1" applyFont="1" applyFill="1" applyBorder="1" applyAlignment="1">
      <alignment horizontal="left" vertical="center" indent="1"/>
    </xf>
    <xf numFmtId="0" fontId="28" fillId="10" borderId="44" xfId="9" applyFont="1" applyFill="1" applyBorder="1" applyAlignment="1">
      <alignment horizontal="left" vertical="center" indent="1"/>
    </xf>
    <xf numFmtId="3" fontId="2" fillId="0" borderId="34" xfId="9" applyNumberFormat="1" applyFont="1" applyBorder="1" applyAlignment="1">
      <alignment horizontal="center" vertical="center"/>
    </xf>
    <xf numFmtId="0" fontId="13" fillId="0" borderId="63" xfId="9" applyFont="1" applyBorder="1" applyAlignment="1">
      <alignment horizontal="center" vertical="center"/>
    </xf>
    <xf numFmtId="0" fontId="14" fillId="10" borderId="54" xfId="9" applyFont="1" applyFill="1" applyBorder="1" applyAlignment="1">
      <alignment horizontal="center" vertical="center"/>
    </xf>
    <xf numFmtId="0" fontId="13" fillId="10" borderId="5" xfId="9" applyFont="1" applyFill="1" applyBorder="1" applyAlignment="1">
      <alignment horizontal="center" vertical="center"/>
    </xf>
    <xf numFmtId="1" fontId="2" fillId="0" borderId="3" xfId="9" applyNumberFormat="1" applyFont="1" applyBorder="1" applyAlignment="1">
      <alignment horizontal="center" vertical="center"/>
    </xf>
    <xf numFmtId="0" fontId="2" fillId="0" borderId="47" xfId="9" applyFont="1" applyBorder="1" applyAlignment="1">
      <alignment horizontal="left" vertical="center" indent="1"/>
    </xf>
    <xf numFmtId="0" fontId="15" fillId="0" borderId="59" xfId="9" applyFont="1" applyBorder="1" applyAlignment="1">
      <alignment horizontal="left" vertical="center" indent="1"/>
    </xf>
    <xf numFmtId="0" fontId="2" fillId="0" borderId="49" xfId="9" applyFont="1" applyBorder="1" applyAlignment="1">
      <alignment horizontal="left" vertical="center" indent="1"/>
    </xf>
    <xf numFmtId="0" fontId="2" fillId="0" borderId="34" xfId="9" applyFont="1" applyBorder="1" applyAlignment="1">
      <alignment horizontal="center" vertical="center"/>
    </xf>
    <xf numFmtId="0" fontId="2" fillId="0" borderId="53" xfId="9" applyFont="1" applyBorder="1" applyAlignment="1">
      <alignment horizontal="center" vertical="center"/>
    </xf>
    <xf numFmtId="0" fontId="4" fillId="7" borderId="20" xfId="0" applyFont="1" applyFill="1" applyBorder="1" applyAlignment="1">
      <alignment vertical="center"/>
    </xf>
    <xf numFmtId="0" fontId="7" fillId="12" borderId="5" xfId="0" applyFont="1" applyFill="1" applyBorder="1" applyAlignment="1">
      <alignment vertical="center"/>
    </xf>
    <xf numFmtId="0" fontId="4" fillId="12" borderId="29" xfId="0" applyFont="1" applyFill="1" applyBorder="1" applyAlignment="1">
      <alignment horizontal="center" vertical="center"/>
    </xf>
    <xf numFmtId="0" fontId="4" fillId="13" borderId="20" xfId="0" applyFont="1" applyFill="1" applyBorder="1" applyAlignment="1">
      <alignment vertical="center"/>
    </xf>
    <xf numFmtId="0" fontId="4" fillId="0" borderId="47" xfId="0" applyFont="1" applyBorder="1" applyAlignment="1">
      <alignment vertical="center"/>
    </xf>
    <xf numFmtId="0" fontId="4" fillId="0" borderId="59" xfId="0" applyFont="1" applyBorder="1" applyAlignment="1">
      <alignment vertical="center"/>
    </xf>
    <xf numFmtId="0" fontId="30" fillId="0" borderId="0" xfId="7" applyFont="1" applyAlignment="1">
      <alignment vertical="center"/>
    </xf>
    <xf numFmtId="0" fontId="4" fillId="12" borderId="5" xfId="0" applyFont="1" applyFill="1" applyBorder="1" applyAlignment="1">
      <alignment horizontal="center" vertical="center"/>
    </xf>
    <xf numFmtId="0" fontId="4" fillId="15" borderId="5" xfId="0" applyFont="1" applyFill="1" applyBorder="1" applyAlignment="1">
      <alignment horizontal="center" vertical="center"/>
    </xf>
    <xf numFmtId="0" fontId="7" fillId="15" borderId="5" xfId="0" applyFont="1" applyFill="1" applyBorder="1" applyAlignment="1">
      <alignment horizontal="center" vertical="center"/>
    </xf>
    <xf numFmtId="0" fontId="13" fillId="0" borderId="5" xfId="9" applyFont="1" applyBorder="1" applyAlignment="1">
      <alignment horizontal="left" vertical="center" indent="1"/>
    </xf>
    <xf numFmtId="0" fontId="4" fillId="16" borderId="5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7" fillId="12" borderId="78" xfId="0" applyFont="1" applyFill="1" applyBorder="1" applyAlignment="1">
      <alignment vertical="center"/>
    </xf>
    <xf numFmtId="0" fontId="13" fillId="0" borderId="31" xfId="9" applyFont="1" applyBorder="1" applyAlignment="1">
      <alignment horizontal="center" vertical="center"/>
    </xf>
    <xf numFmtId="0" fontId="31" fillId="0" borderId="46" xfId="0" applyFont="1" applyBorder="1"/>
    <xf numFmtId="0" fontId="2" fillId="0" borderId="0" xfId="9" applyFont="1" applyAlignment="1">
      <alignment horizontal="left" vertical="center" indent="1"/>
    </xf>
    <xf numFmtId="3" fontId="14" fillId="0" borderId="5" xfId="9" applyNumberFormat="1" applyFont="1" applyBorder="1" applyAlignment="1">
      <alignment horizontal="center" vertical="center"/>
    </xf>
    <xf numFmtId="3" fontId="13" fillId="0" borderId="34" xfId="9" applyNumberFormat="1" applyFont="1" applyBorder="1" applyAlignment="1">
      <alignment horizontal="center" vertical="center"/>
    </xf>
    <xf numFmtId="3" fontId="13" fillId="0" borderId="42" xfId="9" applyNumberFormat="1" applyFont="1" applyBorder="1" applyAlignment="1">
      <alignment horizontal="center" vertical="center"/>
    </xf>
    <xf numFmtId="0" fontId="2" fillId="0" borderId="48" xfId="9" applyFont="1" applyBorder="1" applyAlignment="1">
      <alignment horizontal="left" vertical="center"/>
    </xf>
    <xf numFmtId="0" fontId="13" fillId="0" borderId="32" xfId="9" applyFont="1" applyBorder="1" applyAlignment="1">
      <alignment vertical="center"/>
    </xf>
    <xf numFmtId="1" fontId="21" fillId="0" borderId="48" xfId="9" applyNumberFormat="1" applyFont="1" applyBorder="1" applyAlignment="1">
      <alignment horizontal="left" vertical="center" indent="1"/>
    </xf>
    <xf numFmtId="1" fontId="21" fillId="0" borderId="50" xfId="9" applyNumberFormat="1" applyFont="1" applyBorder="1" applyAlignment="1">
      <alignment horizontal="left" vertical="center" indent="1"/>
    </xf>
    <xf numFmtId="0" fontId="21" fillId="0" borderId="40" xfId="9" applyFont="1" applyBorder="1" applyAlignment="1">
      <alignment vertical="center"/>
    </xf>
    <xf numFmtId="3" fontId="14" fillId="0" borderId="31" xfId="9" applyNumberFormat="1" applyFont="1" applyBorder="1" applyAlignment="1">
      <alignment horizontal="center" vertical="center"/>
    </xf>
    <xf numFmtId="17" fontId="13" fillId="0" borderId="43" xfId="9" applyNumberFormat="1" applyFont="1" applyBorder="1" applyAlignment="1">
      <alignment horizontal="center" vertical="center"/>
    </xf>
    <xf numFmtId="17" fontId="13" fillId="0" borderId="47" xfId="9" applyNumberFormat="1" applyFont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4" fillId="0" borderId="79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80" xfId="0" applyFont="1" applyBorder="1" applyAlignment="1">
      <alignment vertical="center"/>
    </xf>
    <xf numFmtId="0" fontId="4" fillId="0" borderId="81" xfId="0" applyFont="1" applyBorder="1" applyAlignment="1">
      <alignment horizontal="center" vertical="center"/>
    </xf>
    <xf numFmtId="49" fontId="29" fillId="0" borderId="0" xfId="0" applyNumberFormat="1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49" fontId="4" fillId="0" borderId="8" xfId="6" applyNumberFormat="1" applyFont="1" applyBorder="1" applyAlignment="1">
      <alignment horizontal="left" vertical="center" indent="1"/>
    </xf>
    <xf numFmtId="0" fontId="2" fillId="0" borderId="0" xfId="9" applyFont="1" applyAlignment="1">
      <alignment horizontal="left" vertical="center"/>
    </xf>
    <xf numFmtId="0" fontId="13" fillId="0" borderId="79" xfId="9" applyFont="1" applyBorder="1" applyAlignment="1">
      <alignment horizontal="left" vertical="center" indent="1"/>
    </xf>
    <xf numFmtId="0" fontId="3" fillId="0" borderId="7" xfId="0" applyFont="1" applyBorder="1" applyAlignment="1">
      <alignment horizontal="center" vertical="center"/>
    </xf>
    <xf numFmtId="0" fontId="2" fillId="0" borderId="20" xfId="9" applyFont="1" applyBorder="1" applyAlignment="1">
      <alignment horizontal="left" vertical="center" indent="1"/>
    </xf>
    <xf numFmtId="0" fontId="2" fillId="0" borderId="22" xfId="9" applyFont="1" applyBorder="1" applyAlignment="1">
      <alignment horizontal="left" vertical="center" indent="1"/>
    </xf>
    <xf numFmtId="0" fontId="13" fillId="0" borderId="82" xfId="9" applyFont="1" applyBorder="1" applyAlignment="1">
      <alignment horizontal="left" vertical="center" indent="1"/>
    </xf>
    <xf numFmtId="0" fontId="4" fillId="0" borderId="13" xfId="0" applyFont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4" fillId="6" borderId="89" xfId="0" applyFont="1" applyFill="1" applyBorder="1" applyAlignment="1">
      <alignment horizontal="center" vertical="center"/>
    </xf>
    <xf numFmtId="0" fontId="4" fillId="6" borderId="90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32" fillId="0" borderId="0" xfId="0" applyFont="1" applyAlignment="1">
      <alignment vertical="center"/>
    </xf>
    <xf numFmtId="0" fontId="26" fillId="0" borderId="0" xfId="0" applyFont="1"/>
    <xf numFmtId="0" fontId="7" fillId="11" borderId="0" xfId="0" applyFont="1" applyFill="1" applyAlignment="1">
      <alignment vertical="center"/>
    </xf>
    <xf numFmtId="0" fontId="4" fillId="0" borderId="21" xfId="0" applyFont="1" applyBorder="1" applyAlignment="1">
      <alignment horizontal="center" vertical="center" wrapText="1"/>
    </xf>
    <xf numFmtId="0" fontId="4" fillId="0" borderId="22" xfId="0" applyFont="1" applyBorder="1" applyAlignment="1">
      <alignment vertical="center"/>
    </xf>
    <xf numFmtId="0" fontId="4" fillId="0" borderId="8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13" borderId="6" xfId="0" applyFont="1" applyFill="1" applyBorder="1" applyAlignment="1">
      <alignment vertical="center"/>
    </xf>
    <xf numFmtId="0" fontId="4" fillId="13" borderId="7" xfId="0" applyFont="1" applyFill="1" applyBorder="1" applyAlignment="1">
      <alignment vertical="center"/>
    </xf>
    <xf numFmtId="0" fontId="4" fillId="13" borderId="8" xfId="0" applyFont="1" applyFill="1" applyBorder="1" applyAlignment="1">
      <alignment vertical="center"/>
    </xf>
    <xf numFmtId="0" fontId="4" fillId="0" borderId="91" xfId="0" applyFont="1" applyBorder="1" applyAlignment="1">
      <alignment horizontal="center" vertical="center"/>
    </xf>
    <xf numFmtId="0" fontId="4" fillId="6" borderId="92" xfId="0" applyFont="1" applyFill="1" applyBorder="1" applyAlignment="1">
      <alignment horizontal="center" vertical="center"/>
    </xf>
    <xf numFmtId="0" fontId="4" fillId="6" borderId="93" xfId="0" applyFont="1" applyFill="1" applyBorder="1" applyAlignment="1">
      <alignment horizontal="center" vertical="center"/>
    </xf>
    <xf numFmtId="0" fontId="4" fillId="0" borderId="94" xfId="0" applyFont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90" xfId="0" applyFont="1" applyFill="1" applyBorder="1" applyAlignment="1">
      <alignment horizontal="center" vertical="center"/>
    </xf>
    <xf numFmtId="1" fontId="4" fillId="6" borderId="6" xfId="6" applyNumberFormat="1" applyFont="1" applyFill="1" applyBorder="1" applyAlignment="1">
      <alignment horizontal="center" vertical="center"/>
    </xf>
    <xf numFmtId="1" fontId="4" fillId="6" borderId="7" xfId="6" applyNumberFormat="1" applyFont="1" applyFill="1" applyBorder="1" applyAlignment="1">
      <alignment horizontal="center" vertical="center"/>
    </xf>
    <xf numFmtId="1" fontId="4" fillId="6" borderId="16" xfId="6" applyNumberFormat="1" applyFont="1" applyFill="1" applyBorder="1" applyAlignment="1">
      <alignment horizontal="center" vertical="center"/>
    </xf>
    <xf numFmtId="49" fontId="4" fillId="0" borderId="7" xfId="6" applyNumberFormat="1" applyFont="1" applyBorder="1" applyAlignment="1">
      <alignment horizontal="left" vertical="center" wrapText="1" indent="1"/>
    </xf>
    <xf numFmtId="49" fontId="4" fillId="0" borderId="7" xfId="6" applyNumberFormat="1" applyFont="1" applyBorder="1" applyAlignment="1">
      <alignment horizontal="left" vertical="center" indent="1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vertical="center"/>
    </xf>
    <xf numFmtId="0" fontId="33" fillId="2" borderId="0" xfId="0" applyFont="1" applyFill="1" applyAlignment="1">
      <alignment vertical="center"/>
    </xf>
    <xf numFmtId="0" fontId="4" fillId="0" borderId="9" xfId="0" applyFont="1" applyBorder="1" applyAlignment="1">
      <alignment horizontal="center" vertical="center" wrapText="1"/>
    </xf>
    <xf numFmtId="0" fontId="4" fillId="4" borderId="29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49" fontId="2" fillId="0" borderId="4" xfId="9" applyNumberFormat="1" applyFont="1" applyBorder="1" applyAlignment="1">
      <alignment horizontal="left" vertical="center" indent="1"/>
    </xf>
    <xf numFmtId="3" fontId="2" fillId="0" borderId="5" xfId="9" applyNumberFormat="1" applyFont="1" applyBorder="1" applyAlignment="1">
      <alignment horizontal="center" vertical="center"/>
    </xf>
    <xf numFmtId="3" fontId="2" fillId="0" borderId="31" xfId="9" applyNumberFormat="1" applyFont="1" applyBorder="1" applyAlignment="1">
      <alignment horizontal="center" vertical="center"/>
    </xf>
    <xf numFmtId="49" fontId="2" fillId="0" borderId="44" xfId="9" applyNumberFormat="1" applyFont="1" applyBorder="1" applyAlignment="1">
      <alignment horizontal="left" vertical="center"/>
    </xf>
    <xf numFmtId="49" fontId="2" fillId="0" borderId="35" xfId="9" applyNumberFormat="1" applyFont="1" applyBorder="1" applyAlignment="1">
      <alignment horizontal="left" vertical="center"/>
    </xf>
    <xf numFmtId="49" fontId="2" fillId="0" borderId="29" xfId="9" applyNumberFormat="1" applyFont="1" applyBorder="1" applyAlignment="1">
      <alignment horizontal="left" vertical="center"/>
    </xf>
    <xf numFmtId="0" fontId="7" fillId="12" borderId="3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4" fillId="12" borderId="4" xfId="0" applyFont="1" applyFill="1" applyBorder="1" applyAlignment="1">
      <alignment horizontal="center" vertical="center"/>
    </xf>
    <xf numFmtId="0" fontId="4" fillId="12" borderId="35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7" fillId="4" borderId="3" xfId="6" applyFont="1" applyFill="1" applyBorder="1" applyAlignment="1">
      <alignment horizontal="center" vertical="center" wrapText="1"/>
    </xf>
    <xf numFmtId="0" fontId="7" fillId="4" borderId="2" xfId="6" applyFont="1" applyFill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 vertical="center"/>
    </xf>
    <xf numFmtId="0" fontId="7" fillId="4" borderId="65" xfId="0" applyFont="1" applyFill="1" applyBorder="1" applyAlignment="1">
      <alignment horizontal="center" vertical="center"/>
    </xf>
    <xf numFmtId="0" fontId="7" fillId="4" borderId="64" xfId="0" applyFont="1" applyFill="1" applyBorder="1" applyAlignment="1">
      <alignment horizontal="center" vertical="center"/>
    </xf>
    <xf numFmtId="0" fontId="7" fillId="4" borderId="5" xfId="6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/>
    </xf>
    <xf numFmtId="0" fontId="7" fillId="4" borderId="35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 wrapText="1"/>
    </xf>
    <xf numFmtId="0" fontId="7" fillId="4" borderId="29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7" fillId="4" borderId="88" xfId="0" applyFont="1" applyFill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7" fillId="4" borderId="50" xfId="0" applyFont="1" applyFill="1" applyBorder="1" applyAlignment="1">
      <alignment horizontal="center" vertical="center"/>
    </xf>
    <xf numFmtId="0" fontId="7" fillId="4" borderId="52" xfId="0" applyFont="1" applyFill="1" applyBorder="1" applyAlignment="1">
      <alignment horizontal="center" vertical="center"/>
    </xf>
    <xf numFmtId="0" fontId="7" fillId="4" borderId="40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0" fontId="7" fillId="4" borderId="39" xfId="0" applyFont="1" applyFill="1" applyBorder="1" applyAlignment="1">
      <alignment horizontal="center" vertical="center"/>
    </xf>
    <xf numFmtId="0" fontId="7" fillId="4" borderId="25" xfId="0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4" fillId="0" borderId="15" xfId="0" applyFont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center"/>
    </xf>
    <xf numFmtId="0" fontId="4" fillId="0" borderId="79" xfId="0" applyFont="1" applyBorder="1" applyAlignment="1">
      <alignment horizontal="left" vertical="center"/>
    </xf>
    <xf numFmtId="0" fontId="4" fillId="0" borderId="92" xfId="0" applyFont="1" applyBorder="1" applyAlignment="1">
      <alignment vertical="center"/>
    </xf>
    <xf numFmtId="0" fontId="4" fillId="0" borderId="93" xfId="0" applyFont="1" applyBorder="1" applyAlignment="1">
      <alignment vertical="center"/>
    </xf>
    <xf numFmtId="0" fontId="4" fillId="0" borderId="79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4" fillId="0" borderId="11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7" fillId="4" borderId="5" xfId="0" applyFont="1" applyFill="1" applyBorder="1" applyAlignment="1">
      <alignment horizontal="center" vertical="center" wrapText="1"/>
    </xf>
    <xf numFmtId="0" fontId="4" fillId="0" borderId="91" xfId="0" applyFont="1" applyBorder="1" applyAlignment="1">
      <alignment vertical="center"/>
    </xf>
    <xf numFmtId="0" fontId="13" fillId="0" borderId="44" xfId="9" applyFont="1" applyBorder="1" applyAlignment="1">
      <alignment horizontal="left" vertical="center" indent="1"/>
    </xf>
    <xf numFmtId="0" fontId="13" fillId="0" borderId="35" xfId="9" applyFont="1" applyBorder="1" applyAlignment="1">
      <alignment horizontal="left" vertical="center" indent="1"/>
    </xf>
    <xf numFmtId="0" fontId="13" fillId="0" borderId="29" xfId="9" applyFont="1" applyBorder="1" applyAlignment="1">
      <alignment horizontal="left" vertical="center" indent="1"/>
    </xf>
    <xf numFmtId="0" fontId="13" fillId="10" borderId="60" xfId="9" applyFont="1" applyFill="1" applyBorder="1" applyAlignment="1">
      <alignment horizontal="left" vertical="center"/>
    </xf>
    <xf numFmtId="0" fontId="13" fillId="10" borderId="45" xfId="9" applyFont="1" applyFill="1" applyBorder="1" applyAlignment="1">
      <alignment horizontal="left" vertical="center"/>
    </xf>
    <xf numFmtId="1" fontId="16" fillId="10" borderId="47" xfId="9" applyNumberFormat="1" applyFont="1" applyFill="1" applyBorder="1" applyAlignment="1">
      <alignment horizontal="left" vertical="center"/>
    </xf>
    <xf numFmtId="1" fontId="16" fillId="10" borderId="5" xfId="9" applyNumberFormat="1" applyFont="1" applyFill="1" applyBorder="1" applyAlignment="1">
      <alignment horizontal="left" vertical="center"/>
    </xf>
    <xf numFmtId="0" fontId="16" fillId="10" borderId="47" xfId="9" applyFont="1" applyFill="1" applyBorder="1" applyAlignment="1">
      <alignment horizontal="left" vertical="center"/>
    </xf>
    <xf numFmtId="0" fontId="16" fillId="10" borderId="5" xfId="9" applyFont="1" applyFill="1" applyBorder="1" applyAlignment="1">
      <alignment horizontal="left" vertical="center"/>
    </xf>
    <xf numFmtId="0" fontId="17" fillId="10" borderId="76" xfId="9" applyFont="1" applyFill="1" applyBorder="1" applyAlignment="1">
      <alignment horizontal="center" vertical="center" wrapText="1"/>
    </xf>
    <xf numFmtId="0" fontId="17" fillId="10" borderId="71" xfId="9" applyFont="1" applyFill="1" applyBorder="1" applyAlignment="1">
      <alignment horizontal="center" vertical="center" wrapText="1"/>
    </xf>
    <xf numFmtId="0" fontId="17" fillId="10" borderId="54" xfId="9" applyFont="1" applyFill="1" applyBorder="1" applyAlignment="1">
      <alignment horizontal="center" vertical="center" wrapText="1"/>
    </xf>
    <xf numFmtId="0" fontId="16" fillId="0" borderId="44" xfId="9" applyFont="1" applyBorder="1" applyAlignment="1">
      <alignment horizontal="left" vertical="center" indent="1"/>
    </xf>
    <xf numFmtId="0" fontId="16" fillId="0" borderId="35" xfId="9" applyFont="1" applyBorder="1" applyAlignment="1">
      <alignment horizontal="left" vertical="center" indent="1"/>
    </xf>
    <xf numFmtId="0" fontId="16" fillId="0" borderId="29" xfId="9" applyFont="1" applyBorder="1" applyAlignment="1">
      <alignment horizontal="left" vertical="center" indent="1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3" fillId="0" borderId="60" xfId="9" applyFont="1" applyBorder="1" applyAlignment="1">
      <alignment horizontal="center" vertical="center"/>
    </xf>
    <xf numFmtId="0" fontId="13" fillId="0" borderId="45" xfId="9" applyFont="1" applyBorder="1" applyAlignment="1">
      <alignment horizontal="center" vertical="center"/>
    </xf>
    <xf numFmtId="1" fontId="16" fillId="0" borderId="51" xfId="9" applyNumberFormat="1" applyFont="1" applyBorder="1" applyAlignment="1">
      <alignment horizontal="left" vertical="center" wrapText="1" indent="1"/>
    </xf>
    <xf numFmtId="1" fontId="16" fillId="0" borderId="52" xfId="9" applyNumberFormat="1" applyFont="1" applyBorder="1" applyAlignment="1">
      <alignment horizontal="left" vertical="center" wrapText="1" indent="1"/>
    </xf>
    <xf numFmtId="1" fontId="16" fillId="0" borderId="40" xfId="9" applyNumberFormat="1" applyFont="1" applyBorder="1" applyAlignment="1">
      <alignment horizontal="left" vertical="center" wrapText="1" indent="1"/>
    </xf>
    <xf numFmtId="1" fontId="16" fillId="0" borderId="74" xfId="9" applyNumberFormat="1" applyFont="1" applyBorder="1" applyAlignment="1">
      <alignment horizontal="left" vertical="center" wrapText="1" indent="1"/>
    </xf>
    <xf numFmtId="1" fontId="16" fillId="0" borderId="0" xfId="9" applyNumberFormat="1" applyFont="1" applyAlignment="1">
      <alignment horizontal="left" vertical="center" wrapText="1" indent="1"/>
    </xf>
    <xf numFmtId="1" fontId="16" fillId="0" borderId="38" xfId="9" applyNumberFormat="1" applyFont="1" applyBorder="1" applyAlignment="1">
      <alignment horizontal="left" vertical="center" wrapText="1" indent="1"/>
    </xf>
    <xf numFmtId="3" fontId="2" fillId="0" borderId="53" xfId="9" applyNumberFormat="1" applyFont="1" applyBorder="1" applyAlignment="1">
      <alignment horizontal="center" vertical="center"/>
    </xf>
    <xf numFmtId="3" fontId="2" fillId="0" borderId="77" xfId="9" applyNumberFormat="1" applyFont="1" applyBorder="1" applyAlignment="1">
      <alignment horizontal="center" vertical="center"/>
    </xf>
    <xf numFmtId="0" fontId="13" fillId="0" borderId="60" xfId="9" applyFont="1" applyBorder="1" applyAlignment="1">
      <alignment horizontal="center" vertical="center" wrapText="1"/>
    </xf>
    <xf numFmtId="0" fontId="13" fillId="0" borderId="47" xfId="9" applyFont="1" applyBorder="1" applyAlignment="1">
      <alignment horizontal="center" vertical="center" wrapText="1"/>
    </xf>
    <xf numFmtId="0" fontId="14" fillId="0" borderId="45" xfId="9" applyFont="1" applyBorder="1" applyAlignment="1">
      <alignment horizontal="center" vertical="center"/>
    </xf>
    <xf numFmtId="0" fontId="14" fillId="0" borderId="46" xfId="9" applyFont="1" applyBorder="1" applyAlignment="1">
      <alignment horizontal="center" vertical="center"/>
    </xf>
    <xf numFmtId="0" fontId="13" fillId="0" borderId="75" xfId="9" applyFont="1" applyBorder="1" applyAlignment="1">
      <alignment horizontal="center" vertical="center" wrapText="1"/>
    </xf>
    <xf numFmtId="0" fontId="13" fillId="0" borderId="43" xfId="9" applyFont="1" applyBorder="1" applyAlignment="1">
      <alignment horizontal="center" vertical="center" wrapText="1"/>
    </xf>
    <xf numFmtId="0" fontId="14" fillId="0" borderId="71" xfId="9" applyFont="1" applyBorder="1" applyAlignment="1">
      <alignment horizontal="center" vertical="center"/>
    </xf>
    <xf numFmtId="0" fontId="14" fillId="0" borderId="54" xfId="9" applyFont="1" applyBorder="1" applyAlignment="1">
      <alignment horizontal="center" vertical="center"/>
    </xf>
    <xf numFmtId="0" fontId="13" fillId="0" borderId="70" xfId="9" applyFont="1" applyBorder="1" applyAlignment="1">
      <alignment horizontal="center" vertical="center"/>
    </xf>
    <xf numFmtId="0" fontId="13" fillId="0" borderId="72" xfId="9" applyFont="1" applyBorder="1" applyAlignment="1">
      <alignment horizontal="center" vertical="center"/>
    </xf>
    <xf numFmtId="0" fontId="13" fillId="0" borderId="66" xfId="9" applyFont="1" applyBorder="1" applyAlignment="1">
      <alignment horizontal="center" vertical="center"/>
    </xf>
    <xf numFmtId="0" fontId="13" fillId="0" borderId="67" xfId="9" applyFont="1" applyBorder="1" applyAlignment="1">
      <alignment horizontal="center" vertical="center"/>
    </xf>
    <xf numFmtId="0" fontId="13" fillId="0" borderId="68" xfId="9" applyFont="1" applyBorder="1" applyAlignment="1">
      <alignment horizontal="center" vertical="center"/>
    </xf>
    <xf numFmtId="0" fontId="13" fillId="0" borderId="69" xfId="9" applyFont="1" applyBorder="1" applyAlignment="1">
      <alignment horizontal="center" vertical="center"/>
    </xf>
    <xf numFmtId="0" fontId="13" fillId="0" borderId="39" xfId="9" applyFont="1" applyBorder="1" applyAlignment="1">
      <alignment horizontal="center" vertical="center"/>
    </xf>
    <xf numFmtId="0" fontId="13" fillId="0" borderId="25" xfId="9" applyFont="1" applyBorder="1" applyAlignment="1">
      <alignment horizontal="center" vertical="center"/>
    </xf>
    <xf numFmtId="0" fontId="13" fillId="0" borderId="63" xfId="9" applyFont="1" applyBorder="1" applyAlignment="1">
      <alignment horizontal="center" vertical="center"/>
    </xf>
    <xf numFmtId="0" fontId="13" fillId="0" borderId="73" xfId="9" applyFont="1" applyBorder="1" applyAlignment="1">
      <alignment horizontal="center" vertical="center"/>
    </xf>
    <xf numFmtId="0" fontId="13" fillId="0" borderId="74" xfId="9" applyFont="1" applyBorder="1" applyAlignment="1">
      <alignment horizontal="center" vertical="center"/>
    </xf>
    <xf numFmtId="0" fontId="13" fillId="0" borderId="0" xfId="9" applyFont="1" applyAlignment="1">
      <alignment horizontal="center" vertical="center"/>
    </xf>
    <xf numFmtId="0" fontId="13" fillId="0" borderId="38" xfId="9" applyFont="1" applyBorder="1" applyAlignment="1">
      <alignment horizontal="center" vertical="center"/>
    </xf>
    <xf numFmtId="0" fontId="2" fillId="0" borderId="51" xfId="9" applyFont="1" applyBorder="1" applyAlignment="1">
      <alignment horizontal="center" vertical="center" textRotation="90" wrapText="1"/>
    </xf>
    <xf numFmtId="0" fontId="2" fillId="0" borderId="40" xfId="9" applyFont="1" applyBorder="1" applyAlignment="1">
      <alignment horizontal="center" vertical="center" textRotation="90" wrapText="1"/>
    </xf>
    <xf numFmtId="0" fontId="2" fillId="0" borderId="74" xfId="9" applyFont="1" applyBorder="1" applyAlignment="1">
      <alignment horizontal="center" vertical="center" textRotation="90" wrapText="1"/>
    </xf>
    <xf numFmtId="0" fontId="2" fillId="0" borderId="38" xfId="9" applyFont="1" applyBorder="1" applyAlignment="1">
      <alignment horizontal="center" vertical="center" textRotation="90" wrapText="1"/>
    </xf>
    <xf numFmtId="0" fontId="2" fillId="0" borderId="69" xfId="9" applyFont="1" applyBorder="1" applyAlignment="1">
      <alignment horizontal="center" vertical="center" textRotation="90" wrapText="1"/>
    </xf>
    <xf numFmtId="0" fontId="2" fillId="0" borderId="25" xfId="9" applyFont="1" applyBorder="1" applyAlignment="1">
      <alignment horizontal="center" vertical="center" textRotation="90" wrapText="1"/>
    </xf>
    <xf numFmtId="0" fontId="17" fillId="0" borderId="47" xfId="9" applyFont="1" applyBorder="1" applyAlignment="1">
      <alignment horizontal="left" vertical="top" wrapText="1" indent="1"/>
    </xf>
    <xf numFmtId="0" fontId="17" fillId="0" borderId="49" xfId="9" applyFont="1" applyBorder="1" applyAlignment="1">
      <alignment horizontal="left" vertical="top" wrapText="1" indent="1"/>
    </xf>
    <xf numFmtId="3" fontId="2" fillId="0" borderId="5" xfId="9" applyNumberFormat="1" applyFont="1" applyBorder="1" applyAlignment="1">
      <alignment horizontal="center" vertical="center"/>
    </xf>
    <xf numFmtId="3" fontId="2" fillId="0" borderId="31" xfId="9" applyNumberFormat="1" applyFont="1" applyBorder="1" applyAlignment="1">
      <alignment horizontal="center" vertical="center"/>
    </xf>
    <xf numFmtId="3" fontId="2" fillId="9" borderId="5" xfId="9" applyNumberFormat="1" applyFont="1" applyFill="1" applyBorder="1" applyAlignment="1">
      <alignment horizontal="center" vertical="center"/>
    </xf>
    <xf numFmtId="3" fontId="2" fillId="9" borderId="31" xfId="9" applyNumberFormat="1" applyFont="1" applyFill="1" applyBorder="1" applyAlignment="1">
      <alignment horizontal="center" vertical="center"/>
    </xf>
    <xf numFmtId="0" fontId="13" fillId="0" borderId="47" xfId="9" applyFont="1" applyBorder="1" applyAlignment="1">
      <alignment horizontal="center" vertical="center"/>
    </xf>
    <xf numFmtId="0" fontId="13" fillId="0" borderId="5" xfId="9" applyFont="1" applyBorder="1" applyAlignment="1">
      <alignment horizontal="center" vertical="center"/>
    </xf>
    <xf numFmtId="0" fontId="2" fillId="0" borderId="0" xfId="9" applyFont="1" applyAlignment="1">
      <alignment horizontal="left" vertical="top" wrapText="1"/>
    </xf>
    <xf numFmtId="3" fontId="13" fillId="0" borderId="5" xfId="9" applyNumberFormat="1" applyFont="1" applyBorder="1" applyAlignment="1">
      <alignment horizontal="center" vertical="center"/>
    </xf>
    <xf numFmtId="3" fontId="13" fillId="0" borderId="31" xfId="9" applyNumberFormat="1" applyFont="1" applyBorder="1" applyAlignment="1">
      <alignment horizontal="center" vertical="center"/>
    </xf>
    <xf numFmtId="3" fontId="2" fillId="0" borderId="34" xfId="9" applyNumberFormat="1" applyFont="1" applyBorder="1" applyAlignment="1">
      <alignment horizontal="center" vertical="center"/>
    </xf>
    <xf numFmtId="3" fontId="2" fillId="0" borderId="42" xfId="9" applyNumberFormat="1" applyFont="1" applyBorder="1" applyAlignment="1">
      <alignment horizontal="center" vertical="center"/>
    </xf>
    <xf numFmtId="0" fontId="2" fillId="0" borderId="47" xfId="9" applyFont="1" applyBorder="1" applyAlignment="1">
      <alignment horizontal="center" vertical="center" textRotation="90" wrapText="1"/>
    </xf>
    <xf numFmtId="0" fontId="2" fillId="0" borderId="5" xfId="9" applyFont="1" applyBorder="1" applyAlignment="1">
      <alignment horizontal="center" vertical="center" textRotation="90" wrapText="1"/>
    </xf>
    <xf numFmtId="0" fontId="13" fillId="0" borderId="0" xfId="9" applyFont="1" applyAlignment="1">
      <alignment vertical="top" wrapText="1"/>
    </xf>
    <xf numFmtId="0" fontId="13" fillId="0" borderId="61" xfId="9" applyFont="1" applyBorder="1" applyAlignment="1">
      <alignment vertical="top" wrapText="1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5" xfId="9" applyNumberFormat="1" applyFont="1" applyBorder="1" applyAlignment="1">
      <alignment horizontal="left" vertical="center" indent="1"/>
    </xf>
    <xf numFmtId="49" fontId="2" fillId="0" borderId="29" xfId="9" applyNumberFormat="1" applyFont="1" applyBorder="1" applyAlignment="1">
      <alignment horizontal="left" vertical="center" indent="1"/>
    </xf>
    <xf numFmtId="49" fontId="2" fillId="0" borderId="5" xfId="9" applyNumberFormat="1" applyFont="1" applyBorder="1" applyAlignment="1">
      <alignment horizontal="left" vertical="center" wrapText="1" indent="1"/>
    </xf>
    <xf numFmtId="49" fontId="2" fillId="0" borderId="67" xfId="9" applyNumberFormat="1" applyFont="1" applyBorder="1" applyAlignment="1">
      <alignment horizontal="left" vertical="center" indent="1"/>
    </xf>
    <xf numFmtId="0" fontId="14" fillId="0" borderId="70" xfId="9" applyFont="1" applyBorder="1" applyAlignment="1">
      <alignment horizontal="center" vertical="center"/>
    </xf>
    <xf numFmtId="0" fontId="2" fillId="0" borderId="50" xfId="9" applyFont="1" applyBorder="1" applyAlignment="1">
      <alignment horizontal="left" vertical="center" indent="1"/>
    </xf>
    <xf numFmtId="0" fontId="2" fillId="0" borderId="40" xfId="9" applyFont="1" applyBorder="1" applyAlignment="1">
      <alignment horizontal="left" vertical="center" indent="1"/>
    </xf>
    <xf numFmtId="0" fontId="2" fillId="0" borderId="24" xfId="9" applyFont="1" applyBorder="1" applyAlignment="1">
      <alignment horizontal="left" vertical="center" indent="1"/>
    </xf>
    <xf numFmtId="0" fontId="2" fillId="0" borderId="25" xfId="9" applyFont="1" applyBorder="1" applyAlignment="1">
      <alignment horizontal="left" vertical="center" indent="1"/>
    </xf>
    <xf numFmtId="0" fontId="2" fillId="14" borderId="4" xfId="9" applyFont="1" applyFill="1" applyBorder="1" applyAlignment="1">
      <alignment horizontal="left" vertical="center" indent="1"/>
    </xf>
    <xf numFmtId="0" fontId="2" fillId="14" borderId="35" xfId="9" applyFont="1" applyFill="1" applyBorder="1" applyAlignment="1">
      <alignment horizontal="left" vertical="center" indent="1"/>
    </xf>
    <xf numFmtId="0" fontId="2" fillId="14" borderId="29" xfId="9" applyFont="1" applyFill="1" applyBorder="1" applyAlignment="1">
      <alignment horizontal="left" vertical="center" indent="1"/>
    </xf>
    <xf numFmtId="0" fontId="2" fillId="17" borderId="50" xfId="9" applyFont="1" applyFill="1" applyBorder="1" applyAlignment="1">
      <alignment horizontal="left" vertical="center" wrapText="1" indent="1"/>
    </xf>
    <xf numFmtId="0" fontId="2" fillId="17" borderId="40" xfId="9" applyFont="1" applyFill="1" applyBorder="1" applyAlignment="1">
      <alignment horizontal="left" vertical="center" wrapText="1" indent="1"/>
    </xf>
    <xf numFmtId="0" fontId="2" fillId="17" borderId="37" xfId="9" applyFont="1" applyFill="1" applyBorder="1" applyAlignment="1">
      <alignment horizontal="left" vertical="center" wrapText="1" indent="1"/>
    </xf>
    <xf numFmtId="0" fontId="2" fillId="17" borderId="38" xfId="9" applyFont="1" applyFill="1" applyBorder="1" applyAlignment="1">
      <alignment horizontal="left" vertical="center" wrapText="1" indent="1"/>
    </xf>
    <xf numFmtId="0" fontId="2" fillId="17" borderId="24" xfId="9" applyFont="1" applyFill="1" applyBorder="1" applyAlignment="1">
      <alignment horizontal="left" vertical="center" wrapText="1" indent="1"/>
    </xf>
    <xf numFmtId="0" fontId="2" fillId="17" borderId="25" xfId="9" applyFont="1" applyFill="1" applyBorder="1" applyAlignment="1">
      <alignment horizontal="left" vertical="center" wrapText="1" indent="1"/>
    </xf>
    <xf numFmtId="0" fontId="14" fillId="9" borderId="70" xfId="9" applyFont="1" applyFill="1" applyBorder="1" applyAlignment="1">
      <alignment horizontal="center" vertical="center"/>
    </xf>
    <xf numFmtId="0" fontId="14" fillId="9" borderId="71" xfId="9" applyFont="1" applyFill="1" applyBorder="1" applyAlignment="1">
      <alignment horizontal="center" vertical="center"/>
    </xf>
    <xf numFmtId="0" fontId="14" fillId="9" borderId="54" xfId="9" applyFont="1" applyFill="1" applyBorder="1" applyAlignment="1">
      <alignment horizontal="center" vertical="center"/>
    </xf>
    <xf numFmtId="0" fontId="2" fillId="0" borderId="50" xfId="9" applyFont="1" applyBorder="1" applyAlignment="1">
      <alignment horizontal="left" vertical="center" wrapText="1" indent="1"/>
    </xf>
    <xf numFmtId="0" fontId="2" fillId="0" borderId="52" xfId="9" applyFont="1" applyBorder="1" applyAlignment="1">
      <alignment horizontal="left" vertical="center" wrapText="1" indent="1"/>
    </xf>
    <xf numFmtId="0" fontId="2" fillId="0" borderId="40" xfId="9" applyFont="1" applyBorder="1" applyAlignment="1">
      <alignment horizontal="left" vertical="center" wrapText="1" indent="1"/>
    </xf>
    <xf numFmtId="0" fontId="13" fillId="0" borderId="71" xfId="9" applyFont="1" applyBorder="1" applyAlignment="1">
      <alignment horizontal="center" vertical="center"/>
    </xf>
    <xf numFmtId="0" fontId="2" fillId="0" borderId="51" xfId="9" applyFont="1" applyBorder="1" applyAlignment="1">
      <alignment horizontal="center" vertical="center" textRotation="90"/>
    </xf>
    <xf numFmtId="0" fontId="2" fillId="0" borderId="40" xfId="9" applyFont="1" applyBorder="1" applyAlignment="1">
      <alignment horizontal="center" vertical="center" textRotation="90"/>
    </xf>
    <xf numFmtId="0" fontId="2" fillId="0" borderId="74" xfId="9" applyFont="1" applyBorder="1" applyAlignment="1">
      <alignment horizontal="center" vertical="center" textRotation="90"/>
    </xf>
    <xf numFmtId="0" fontId="2" fillId="0" borderId="38" xfId="9" applyFont="1" applyBorder="1" applyAlignment="1">
      <alignment horizontal="center" vertical="center" textRotation="90"/>
    </xf>
    <xf numFmtId="0" fontId="2" fillId="0" borderId="69" xfId="9" applyFont="1" applyBorder="1" applyAlignment="1">
      <alignment horizontal="center" vertical="center" textRotation="90"/>
    </xf>
    <xf numFmtId="0" fontId="2" fillId="0" borderId="25" xfId="9" applyFont="1" applyBorder="1" applyAlignment="1">
      <alignment horizontal="center" vertical="center" textRotation="90"/>
    </xf>
    <xf numFmtId="0" fontId="23" fillId="0" borderId="50" xfId="9" applyFont="1" applyBorder="1" applyAlignment="1">
      <alignment horizontal="center" vertical="center" wrapText="1"/>
    </xf>
    <xf numFmtId="0" fontId="23" fillId="0" borderId="52" xfId="9" applyFont="1" applyBorder="1" applyAlignment="1">
      <alignment horizontal="center" vertical="center" wrapText="1"/>
    </xf>
    <xf numFmtId="0" fontId="23" fillId="0" borderId="40" xfId="9" applyFont="1" applyBorder="1" applyAlignment="1">
      <alignment horizontal="center" vertical="center" wrapText="1"/>
    </xf>
    <xf numFmtId="0" fontId="23" fillId="0" borderId="37" xfId="9" applyFont="1" applyBorder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3" fillId="0" borderId="38" xfId="9" applyFont="1" applyBorder="1" applyAlignment="1">
      <alignment horizontal="center" vertical="center" wrapText="1"/>
    </xf>
    <xf numFmtId="0" fontId="23" fillId="0" borderId="24" xfId="9" applyFont="1" applyBorder="1" applyAlignment="1">
      <alignment horizontal="center" vertical="center" wrapText="1"/>
    </xf>
    <xf numFmtId="0" fontId="23" fillId="0" borderId="39" xfId="9" applyFont="1" applyBorder="1" applyAlignment="1">
      <alignment horizontal="center" vertical="center" wrapText="1"/>
    </xf>
    <xf numFmtId="0" fontId="23" fillId="0" borderId="25" xfId="9" applyFont="1" applyBorder="1" applyAlignment="1">
      <alignment horizontal="center" vertical="center" wrapText="1"/>
    </xf>
    <xf numFmtId="0" fontId="2" fillId="0" borderId="0" xfId="9" applyFont="1" applyAlignment="1">
      <alignment horizontal="center" vertical="center" textRotation="90" wrapText="1"/>
    </xf>
    <xf numFmtId="0" fontId="2" fillId="0" borderId="39" xfId="9" applyFont="1" applyBorder="1" applyAlignment="1">
      <alignment horizontal="center" vertical="center" textRotation="90" wrapText="1"/>
    </xf>
    <xf numFmtId="0" fontId="2" fillId="0" borderId="52" xfId="9" applyFont="1" applyBorder="1" applyAlignment="1">
      <alignment horizontal="left" vertical="center" indent="1"/>
    </xf>
    <xf numFmtId="0" fontId="2" fillId="0" borderId="39" xfId="9" applyFont="1" applyBorder="1" applyAlignment="1">
      <alignment horizontal="left" vertical="center" indent="1"/>
    </xf>
    <xf numFmtId="0" fontId="2" fillId="17" borderId="52" xfId="9" applyFont="1" applyFill="1" applyBorder="1" applyAlignment="1">
      <alignment horizontal="left" vertical="center" wrapText="1" indent="1"/>
    </xf>
    <xf numFmtId="0" fontId="2" fillId="17" borderId="0" xfId="9" applyFont="1" applyFill="1" applyAlignment="1">
      <alignment horizontal="left" vertical="center" wrapText="1" indent="1"/>
    </xf>
    <xf numFmtId="0" fontId="2" fillId="17" borderId="39" xfId="9" applyFont="1" applyFill="1" applyBorder="1" applyAlignment="1">
      <alignment horizontal="left" vertical="center" wrapText="1" indent="1"/>
    </xf>
    <xf numFmtId="0" fontId="2" fillId="0" borderId="35" xfId="9" applyFont="1" applyBorder="1" applyAlignment="1">
      <alignment horizontal="left" vertical="center" wrapText="1" indent="1"/>
    </xf>
    <xf numFmtId="0" fontId="2" fillId="0" borderId="29" xfId="9" applyFont="1" applyBorder="1" applyAlignment="1">
      <alignment horizontal="left" vertical="center" wrapText="1" indent="1"/>
    </xf>
    <xf numFmtId="49" fontId="2" fillId="0" borderId="5" xfId="9" applyNumberFormat="1" applyFont="1" applyBorder="1" applyAlignment="1">
      <alignment horizontal="left" vertical="center" indent="1"/>
    </xf>
    <xf numFmtId="0" fontId="31" fillId="0" borderId="45" xfId="0" applyFont="1" applyBorder="1" applyAlignment="1">
      <alignment horizontal="center"/>
    </xf>
    <xf numFmtId="0" fontId="12" fillId="0" borderId="0" xfId="9" applyFont="1" applyAlignment="1">
      <alignment horizontal="left" vertical="center" indent="22"/>
    </xf>
    <xf numFmtId="0" fontId="22" fillId="0" borderId="61" xfId="9" applyFont="1" applyBorder="1" applyAlignment="1">
      <alignment horizontal="center" vertical="center"/>
    </xf>
    <xf numFmtId="0" fontId="2" fillId="14" borderId="44" xfId="9" applyFont="1" applyFill="1" applyBorder="1" applyAlignment="1">
      <alignment horizontal="left" vertical="center" indent="1"/>
    </xf>
    <xf numFmtId="0" fontId="2" fillId="0" borderId="4" xfId="9" applyFont="1" applyBorder="1" applyAlignment="1">
      <alignment horizontal="center" vertical="center"/>
    </xf>
    <xf numFmtId="0" fontId="2" fillId="0" borderId="35" xfId="9" applyFont="1" applyBorder="1" applyAlignment="1">
      <alignment horizontal="center" vertical="center"/>
    </xf>
    <xf numFmtId="0" fontId="2" fillId="0" borderId="29" xfId="9" applyFont="1" applyBorder="1" applyAlignment="1">
      <alignment horizontal="center" vertical="center"/>
    </xf>
    <xf numFmtId="0" fontId="2" fillId="0" borderId="51" xfId="9" applyFont="1" applyBorder="1" applyAlignment="1">
      <alignment horizontal="left" vertical="center" wrapText="1" indent="1"/>
    </xf>
    <xf numFmtId="0" fontId="2" fillId="0" borderId="74" xfId="9" applyFont="1" applyBorder="1" applyAlignment="1">
      <alignment horizontal="left" vertical="center" wrapText="1" indent="1"/>
    </xf>
    <xf numFmtId="0" fontId="2" fillId="0" borderId="0" xfId="9" applyFont="1" applyAlignment="1">
      <alignment horizontal="left" vertical="center" wrapText="1" indent="1"/>
    </xf>
    <xf numFmtId="0" fontId="2" fillId="0" borderId="38" xfId="9" applyFont="1" applyBorder="1" applyAlignment="1">
      <alignment horizontal="left" vertical="center" wrapText="1" indent="1"/>
    </xf>
    <xf numFmtId="0" fontId="2" fillId="0" borderId="69" xfId="9" applyFont="1" applyBorder="1" applyAlignment="1">
      <alignment horizontal="left" vertical="center" wrapText="1" indent="1"/>
    </xf>
    <xf numFmtId="0" fontId="2" fillId="0" borderId="39" xfId="9" applyFont="1" applyBorder="1" applyAlignment="1">
      <alignment horizontal="left" vertical="center" wrapText="1" indent="1"/>
    </xf>
    <xf numFmtId="0" fontId="2" fillId="0" borderId="25" xfId="9" applyFont="1" applyBorder="1" applyAlignment="1">
      <alignment horizontal="left" vertical="center" wrapText="1" indent="1"/>
    </xf>
    <xf numFmtId="0" fontId="2" fillId="0" borderId="50" xfId="9" applyFont="1" applyBorder="1" applyAlignment="1">
      <alignment horizontal="center" vertical="center"/>
    </xf>
    <xf numFmtId="0" fontId="2" fillId="0" borderId="40" xfId="9" applyFont="1" applyBorder="1" applyAlignment="1">
      <alignment horizontal="center" vertical="center"/>
    </xf>
    <xf numFmtId="0" fontId="2" fillId="0" borderId="51" xfId="9" applyFont="1" applyBorder="1" applyAlignment="1">
      <alignment horizontal="left" vertical="center" indent="1"/>
    </xf>
    <xf numFmtId="0" fontId="2" fillId="0" borderId="44" xfId="9" applyFont="1" applyBorder="1" applyAlignment="1">
      <alignment horizontal="left" vertical="center" indent="1"/>
    </xf>
    <xf numFmtId="0" fontId="2" fillId="0" borderId="35" xfId="9" applyFont="1" applyBorder="1" applyAlignment="1">
      <alignment horizontal="left" vertical="center" indent="1"/>
    </xf>
    <xf numFmtId="0" fontId="2" fillId="0" borderId="29" xfId="9" applyFont="1" applyBorder="1" applyAlignment="1">
      <alignment horizontal="left" vertical="center" indent="1"/>
    </xf>
    <xf numFmtId="1" fontId="16" fillId="10" borderId="49" xfId="9" applyNumberFormat="1" applyFont="1" applyFill="1" applyBorder="1" applyAlignment="1">
      <alignment horizontal="left" vertical="center"/>
    </xf>
    <xf numFmtId="1" fontId="16" fillId="10" borderId="31" xfId="9" applyNumberFormat="1" applyFont="1" applyFill="1" applyBorder="1" applyAlignment="1">
      <alignment horizontal="left" vertical="center"/>
    </xf>
    <xf numFmtId="0" fontId="13" fillId="0" borderId="54" xfId="9" applyFont="1" applyBorder="1" applyAlignment="1">
      <alignment horizontal="center" vertical="center"/>
    </xf>
    <xf numFmtId="0" fontId="13" fillId="0" borderId="63" xfId="9" applyFont="1" applyBorder="1" applyAlignment="1">
      <alignment horizontal="center" vertical="center" wrapText="1"/>
    </xf>
    <xf numFmtId="0" fontId="13" fillId="0" borderId="73" xfId="9" applyFont="1" applyBorder="1" applyAlignment="1">
      <alignment horizontal="center" vertical="center" wrapText="1"/>
    </xf>
    <xf numFmtId="0" fontId="2" fillId="0" borderId="74" xfId="9" applyFont="1" applyBorder="1" applyAlignment="1">
      <alignment horizontal="left" vertical="center" indent="1"/>
    </xf>
    <xf numFmtId="0" fontId="2" fillId="0" borderId="0" xfId="9" applyFont="1" applyAlignment="1">
      <alignment horizontal="left" vertical="center" indent="1"/>
    </xf>
    <xf numFmtId="0" fontId="2" fillId="0" borderId="38" xfId="9" applyFont="1" applyBorder="1" applyAlignment="1">
      <alignment horizontal="left" vertical="center" indent="1"/>
    </xf>
    <xf numFmtId="0" fontId="2" fillId="0" borderId="69" xfId="9" applyFont="1" applyBorder="1" applyAlignment="1">
      <alignment horizontal="left" vertical="center" indent="1"/>
    </xf>
    <xf numFmtId="0" fontId="2" fillId="14" borderId="4" xfId="10" applyFont="1" applyFill="1" applyBorder="1" applyAlignment="1">
      <alignment horizontal="center" vertical="center"/>
    </xf>
    <xf numFmtId="0" fontId="2" fillId="14" borderId="35" xfId="10" applyFont="1" applyFill="1" applyBorder="1" applyAlignment="1">
      <alignment horizontal="center" vertical="center"/>
    </xf>
    <xf numFmtId="0" fontId="2" fillId="14" borderId="29" xfId="10" applyFont="1" applyFill="1" applyBorder="1" applyAlignment="1">
      <alignment horizontal="center" vertical="center"/>
    </xf>
    <xf numFmtId="0" fontId="2" fillId="0" borderId="48" xfId="9" applyFont="1" applyBorder="1" applyAlignment="1">
      <alignment horizontal="left" vertical="center" indent="1"/>
    </xf>
    <xf numFmtId="0" fontId="2" fillId="0" borderId="30" xfId="9" applyFont="1" applyBorder="1" applyAlignment="1">
      <alignment horizontal="left" vertical="center" indent="1"/>
    </xf>
    <xf numFmtId="0" fontId="2" fillId="0" borderId="32" xfId="9" applyFont="1" applyBorder="1" applyAlignment="1">
      <alignment horizontal="left" vertical="center" indent="1"/>
    </xf>
    <xf numFmtId="0" fontId="14" fillId="0" borderId="76" xfId="9" applyFont="1" applyBorder="1" applyAlignment="1">
      <alignment horizontal="center" vertical="center"/>
    </xf>
    <xf numFmtId="0" fontId="2" fillId="6" borderId="4" xfId="9" applyFont="1" applyFill="1" applyBorder="1" applyAlignment="1">
      <alignment horizontal="center" vertical="center"/>
    </xf>
    <xf numFmtId="0" fontId="2" fillId="6" borderId="35" xfId="9" applyFont="1" applyFill="1" applyBorder="1" applyAlignment="1">
      <alignment horizontal="center" vertical="center"/>
    </xf>
    <xf numFmtId="0" fontId="2" fillId="6" borderId="29" xfId="9" applyFont="1" applyFill="1" applyBorder="1" applyAlignment="1">
      <alignment horizontal="center" vertical="center"/>
    </xf>
    <xf numFmtId="0" fontId="2" fillId="0" borderId="48" xfId="9" applyFont="1" applyBorder="1" applyAlignment="1">
      <alignment horizontal="left" vertical="center" wrapText="1"/>
    </xf>
    <xf numFmtId="0" fontId="2" fillId="0" borderId="30" xfId="9" applyFont="1" applyBorder="1" applyAlignment="1">
      <alignment horizontal="left" vertical="center" wrapText="1"/>
    </xf>
    <xf numFmtId="0" fontId="2" fillId="0" borderId="55" xfId="9" applyFont="1" applyBorder="1" applyAlignment="1">
      <alignment horizontal="center" vertical="center"/>
    </xf>
    <xf numFmtId="0" fontId="2" fillId="0" borderId="32" xfId="9" applyFont="1" applyBorder="1" applyAlignment="1">
      <alignment horizontal="center" vertical="center"/>
    </xf>
    <xf numFmtId="167" fontId="15" fillId="3" borderId="50" xfId="5" applyNumberFormat="1" applyFont="1" applyFill="1" applyBorder="1" applyAlignment="1">
      <alignment horizontal="center" vertical="center"/>
    </xf>
    <xf numFmtId="167" fontId="15" fillId="3" borderId="40" xfId="5" applyNumberFormat="1" applyFont="1" applyFill="1" applyBorder="1" applyAlignment="1">
      <alignment horizontal="center" vertical="center"/>
    </xf>
    <xf numFmtId="167" fontId="14" fillId="0" borderId="2" xfId="5" applyNumberFormat="1" applyFont="1" applyBorder="1" applyAlignment="1">
      <alignment horizontal="center" vertical="center"/>
    </xf>
    <xf numFmtId="167" fontId="15" fillId="0" borderId="2" xfId="5" applyNumberFormat="1" applyFont="1" applyBorder="1" applyAlignment="1">
      <alignment horizontal="center" vertical="center"/>
    </xf>
    <xf numFmtId="167" fontId="15" fillId="0" borderId="25" xfId="5" applyNumberFormat="1" applyFont="1" applyBorder="1" applyAlignment="1">
      <alignment horizontal="center" vertical="center"/>
    </xf>
    <xf numFmtId="168" fontId="15" fillId="0" borderId="2" xfId="5" applyNumberFormat="1" applyFont="1" applyBorder="1" applyAlignment="1">
      <alignment horizontal="center" vertical="center"/>
    </xf>
    <xf numFmtId="169" fontId="15" fillId="3" borderId="26" xfId="5" applyNumberFormat="1" applyFont="1" applyFill="1" applyBorder="1" applyAlignment="1">
      <alignment horizontal="center" vertical="center"/>
    </xf>
    <xf numFmtId="167" fontId="15" fillId="3" borderId="37" xfId="5" applyNumberFormat="1" applyFont="1" applyFill="1" applyBorder="1" applyAlignment="1">
      <alignment horizontal="center" vertical="center"/>
    </xf>
    <xf numFmtId="167" fontId="15" fillId="3" borderId="38" xfId="5" applyNumberFormat="1" applyFont="1" applyFill="1" applyBorder="1" applyAlignment="1">
      <alignment horizontal="center" vertical="center"/>
    </xf>
    <xf numFmtId="169" fontId="2" fillId="0" borderId="27" xfId="5" applyNumberFormat="1" applyFont="1" applyBorder="1" applyAlignment="1">
      <alignment horizontal="center" vertical="center"/>
    </xf>
    <xf numFmtId="167" fontId="2" fillId="6" borderId="50" xfId="5" applyNumberFormat="1" applyFont="1" applyFill="1" applyBorder="1" applyAlignment="1">
      <alignment horizontal="center" vertical="center"/>
    </xf>
    <xf numFmtId="167" fontId="2" fillId="6" borderId="29" xfId="5" applyNumberFormat="1" applyFont="1" applyFill="1" applyBorder="1" applyAlignment="1">
      <alignment horizontal="center" vertical="center"/>
    </xf>
    <xf numFmtId="169" fontId="2" fillId="0" borderId="28" xfId="5" applyNumberFormat="1" applyFont="1" applyBorder="1" applyAlignment="1">
      <alignment horizontal="center" vertical="center"/>
    </xf>
    <xf numFmtId="167" fontId="2" fillId="3" borderId="3" xfId="5" applyNumberFormat="1" applyFont="1" applyFill="1" applyBorder="1" applyAlignment="1">
      <alignment horizontal="center" vertical="center"/>
    </xf>
    <xf numFmtId="167" fontId="14" fillId="0" borderId="5" xfId="5" applyNumberFormat="1" applyFont="1" applyBorder="1" applyAlignment="1">
      <alignment horizontal="center" vertical="center"/>
    </xf>
    <xf numFmtId="167" fontId="15" fillId="0" borderId="5" xfId="5" applyNumberFormat="1" applyFont="1" applyBorder="1" applyAlignment="1">
      <alignment horizontal="center" vertical="center"/>
    </xf>
    <xf numFmtId="167" fontId="15" fillId="0" borderId="29" xfId="5" applyNumberFormat="1" applyFont="1" applyBorder="1" applyAlignment="1">
      <alignment horizontal="center" vertical="center"/>
    </xf>
    <xf numFmtId="168" fontId="15" fillId="0" borderId="5" xfId="5" applyNumberFormat="1" applyFont="1" applyBorder="1" applyAlignment="1">
      <alignment horizontal="center" vertical="center"/>
    </xf>
    <xf numFmtId="167" fontId="2" fillId="3" borderId="1" xfId="5" applyNumberFormat="1" applyFont="1" applyFill="1" applyBorder="1" applyAlignment="1">
      <alignment horizontal="center" vertical="center"/>
    </xf>
    <xf numFmtId="167" fontId="2" fillId="3" borderId="2" xfId="5" applyNumberFormat="1" applyFont="1" applyFill="1" applyBorder="1" applyAlignment="1">
      <alignment horizontal="center" vertical="center"/>
    </xf>
    <xf numFmtId="167" fontId="2" fillId="3" borderId="50" xfId="5" applyNumberFormat="1" applyFont="1" applyFill="1" applyBorder="1" applyAlignment="1">
      <alignment horizontal="center" vertical="center"/>
    </xf>
    <xf numFmtId="167" fontId="2" fillId="3" borderId="37" xfId="5" applyNumberFormat="1" applyFont="1" applyFill="1" applyBorder="1" applyAlignment="1">
      <alignment horizontal="center" vertical="center"/>
    </xf>
    <xf numFmtId="167" fontId="14" fillId="0" borderId="31" xfId="5" applyNumberFormat="1" applyFont="1" applyBorder="1" applyAlignment="1">
      <alignment horizontal="center" vertical="center"/>
    </xf>
    <xf numFmtId="167" fontId="15" fillId="0" borderId="31" xfId="5" applyNumberFormat="1" applyFont="1" applyBorder="1" applyAlignment="1">
      <alignment horizontal="center" vertical="center"/>
    </xf>
    <xf numFmtId="167" fontId="15" fillId="0" borderId="32" xfId="5" applyNumberFormat="1" applyFont="1" applyBorder="1" applyAlignment="1">
      <alignment horizontal="center" vertical="center"/>
    </xf>
    <xf numFmtId="168" fontId="15" fillId="0" borderId="31" xfId="5" applyNumberFormat="1" applyFont="1" applyBorder="1" applyAlignment="1">
      <alignment horizontal="center" vertical="center"/>
    </xf>
    <xf numFmtId="169" fontId="2" fillId="0" borderId="33" xfId="5" applyNumberFormat="1" applyFont="1" applyBorder="1" applyAlignment="1">
      <alignment horizontal="center" vertical="center"/>
    </xf>
    <xf numFmtId="3" fontId="2" fillId="6" borderId="4" xfId="9" applyNumberFormat="1" applyFont="1" applyFill="1" applyBorder="1" applyAlignment="1">
      <alignment horizontal="center" vertical="center"/>
    </xf>
    <xf numFmtId="3" fontId="2" fillId="6" borderId="40" xfId="9" applyNumberFormat="1" applyFont="1" applyFill="1" applyBorder="1" applyAlignment="1">
      <alignment horizontal="center" vertical="center"/>
    </xf>
    <xf numFmtId="3" fontId="14" fillId="0" borderId="25" xfId="9" applyNumberFormat="1" applyFont="1" applyBorder="1" applyAlignment="1">
      <alignment horizontal="center" vertical="center"/>
    </xf>
    <xf numFmtId="3" fontId="15" fillId="0" borderId="25" xfId="9" applyNumberFormat="1" applyFont="1" applyBorder="1" applyAlignment="1">
      <alignment horizontal="center" vertical="center"/>
    </xf>
    <xf numFmtId="2" fontId="15" fillId="0" borderId="36" xfId="9" applyNumberFormat="1" applyFont="1" applyBorder="1" applyAlignment="1">
      <alignment horizontal="center" vertical="center"/>
    </xf>
    <xf numFmtId="3" fontId="2" fillId="6" borderId="37" xfId="9" applyNumberFormat="1" applyFont="1" applyFill="1" applyBorder="1" applyAlignment="1">
      <alignment horizontal="center" vertical="center"/>
    </xf>
    <xf numFmtId="3" fontId="2" fillId="6" borderId="38" xfId="9" applyNumberFormat="1" applyFont="1" applyFill="1" applyBorder="1" applyAlignment="1">
      <alignment horizontal="center" vertical="center"/>
    </xf>
    <xf numFmtId="3" fontId="13" fillId="0" borderId="25" xfId="9" applyNumberFormat="1" applyFont="1" applyBorder="1" applyAlignment="1">
      <alignment horizontal="center" vertical="center"/>
    </xf>
    <xf numFmtId="3" fontId="14" fillId="0" borderId="29" xfId="9" applyNumberFormat="1" applyFont="1" applyBorder="1" applyAlignment="1">
      <alignment horizontal="center" vertical="center"/>
    </xf>
    <xf numFmtId="3" fontId="15" fillId="0" borderId="29" xfId="9" applyNumberFormat="1" applyFont="1" applyBorder="1" applyAlignment="1">
      <alignment horizontal="center" vertical="center"/>
    </xf>
    <xf numFmtId="2" fontId="15" fillId="0" borderId="27" xfId="9" applyNumberFormat="1" applyFont="1" applyBorder="1" applyAlignment="1">
      <alignment horizontal="center" vertical="center"/>
    </xf>
    <xf numFmtId="3" fontId="2" fillId="6" borderId="5" xfId="9" applyNumberFormat="1" applyFont="1" applyFill="1" applyBorder="1" applyAlignment="1">
      <alignment horizontal="center" vertical="center"/>
    </xf>
    <xf numFmtId="3" fontId="2" fillId="6" borderId="50" xfId="9" applyNumberFormat="1" applyFont="1" applyFill="1" applyBorder="1" applyAlignment="1">
      <alignment horizontal="center" vertical="center"/>
    </xf>
    <xf numFmtId="3" fontId="2" fillId="6" borderId="29" xfId="9" applyNumberFormat="1" applyFont="1" applyFill="1" applyBorder="1" applyAlignment="1">
      <alignment horizontal="center" vertical="center"/>
    </xf>
    <xf numFmtId="3" fontId="2" fillId="3" borderId="3" xfId="9" applyNumberFormat="1" applyFont="1" applyFill="1" applyBorder="1" applyAlignment="1">
      <alignment horizontal="center" vertical="center"/>
    </xf>
    <xf numFmtId="3" fontId="2" fillId="3" borderId="1" xfId="9" applyNumberFormat="1" applyFont="1" applyFill="1" applyBorder="1" applyAlignment="1">
      <alignment horizontal="center" vertical="center"/>
    </xf>
    <xf numFmtId="3" fontId="14" fillId="0" borderId="40" xfId="9" applyNumberFormat="1" applyFont="1" applyBorder="1" applyAlignment="1">
      <alignment horizontal="center" vertical="center"/>
    </xf>
    <xf numFmtId="3" fontId="15" fillId="0" borderId="40" xfId="9" applyNumberFormat="1" applyFont="1" applyBorder="1" applyAlignment="1">
      <alignment horizontal="center" vertical="center"/>
    </xf>
    <xf numFmtId="2" fontId="15" fillId="0" borderId="41" xfId="9" applyNumberFormat="1" applyFont="1" applyBorder="1" applyAlignment="1">
      <alignment horizontal="center" vertical="center"/>
    </xf>
    <xf numFmtId="3" fontId="2" fillId="8" borderId="55" xfId="9" applyNumberFormat="1" applyFont="1" applyFill="1" applyBorder="1" applyAlignment="1">
      <alignment horizontal="center" vertical="center"/>
    </xf>
    <xf numFmtId="3" fontId="2" fillId="8" borderId="32" xfId="9" applyNumberFormat="1" applyFont="1" applyFill="1" applyBorder="1" applyAlignment="1">
      <alignment horizontal="center" vertical="center"/>
    </xf>
    <xf numFmtId="2" fontId="15" fillId="0" borderId="42" xfId="9" applyNumberFormat="1" applyFont="1" applyBorder="1" applyAlignment="1">
      <alignment horizontal="center" vertical="center"/>
    </xf>
    <xf numFmtId="3" fontId="2" fillId="8" borderId="3" xfId="9" applyNumberFormat="1" applyFont="1" applyFill="1" applyBorder="1" applyAlignment="1">
      <alignment horizontal="center" vertical="center"/>
    </xf>
    <xf numFmtId="3" fontId="14" fillId="0" borderId="38" xfId="9" applyNumberFormat="1" applyFont="1" applyBorder="1" applyAlignment="1">
      <alignment horizontal="center" vertical="center"/>
    </xf>
    <xf numFmtId="3" fontId="15" fillId="0" borderId="38" xfId="9" applyNumberFormat="1" applyFont="1" applyBorder="1" applyAlignment="1">
      <alignment horizontal="center" vertical="center"/>
    </xf>
    <xf numFmtId="2" fontId="15" fillId="0" borderId="26" xfId="9" applyNumberFormat="1" applyFont="1" applyBorder="1" applyAlignment="1">
      <alignment horizontal="center" vertical="center"/>
    </xf>
    <xf numFmtId="3" fontId="15" fillId="0" borderId="5" xfId="9" applyNumberFormat="1" applyFont="1" applyBorder="1" applyAlignment="1">
      <alignment horizontal="center" vertical="center"/>
    </xf>
    <xf numFmtId="3" fontId="14" fillId="0" borderId="3" xfId="9" applyNumberFormat="1" applyFont="1" applyBorder="1" applyAlignment="1">
      <alignment horizontal="center" vertical="center"/>
    </xf>
    <xf numFmtId="3" fontId="15" fillId="0" borderId="3" xfId="9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2" fillId="9" borderId="34" xfId="9" applyFont="1" applyFill="1" applyBorder="1" applyAlignment="1">
      <alignment horizontal="center" vertical="center"/>
    </xf>
    <xf numFmtId="1" fontId="2" fillId="14" borderId="51" xfId="9" applyNumberFormat="1" applyFont="1" applyFill="1" applyBorder="1" applyAlignment="1">
      <alignment horizontal="center" vertical="center"/>
    </xf>
    <xf numFmtId="1" fontId="2" fillId="14" borderId="40" xfId="9" applyNumberFormat="1" applyFont="1" applyFill="1" applyBorder="1" applyAlignment="1">
      <alignment horizontal="center" vertical="center"/>
    </xf>
    <xf numFmtId="1" fontId="2" fillId="14" borderId="25" xfId="9" applyNumberFormat="1" applyFont="1" applyFill="1" applyBorder="1" applyAlignment="1">
      <alignment horizontal="center" vertical="center"/>
    </xf>
    <xf numFmtId="1" fontId="2" fillId="14" borderId="69" xfId="9" applyNumberFormat="1" applyFont="1" applyFill="1" applyBorder="1" applyAlignment="1">
      <alignment horizontal="center" vertical="center"/>
    </xf>
    <xf numFmtId="1" fontId="2" fillId="0" borderId="29" xfId="9" applyNumberFormat="1" applyFont="1" applyBorder="1" applyAlignment="1">
      <alignment horizontal="center" vertical="center" wrapText="1"/>
    </xf>
    <xf numFmtId="49" fontId="2" fillId="0" borderId="29" xfId="9" applyNumberFormat="1" applyFont="1" applyBorder="1" applyAlignment="1">
      <alignment horizontal="center" vertical="center"/>
    </xf>
    <xf numFmtId="49" fontId="2" fillId="0" borderId="51" xfId="9" applyNumberFormat="1" applyFont="1" applyBorder="1" applyAlignment="1">
      <alignment horizontal="left" vertical="center" wrapText="1"/>
    </xf>
    <xf numFmtId="49" fontId="2" fillId="0" borderId="52" xfId="9" applyNumberFormat="1" applyFont="1" applyBorder="1" applyAlignment="1">
      <alignment horizontal="left" vertical="center" wrapText="1"/>
    </xf>
    <xf numFmtId="49" fontId="2" fillId="0" borderId="40" xfId="9" applyNumberFormat="1" applyFont="1" applyBorder="1" applyAlignment="1">
      <alignment horizontal="left" vertical="center" wrapText="1"/>
    </xf>
    <xf numFmtId="3" fontId="2" fillId="0" borderId="3" xfId="9" applyNumberFormat="1" applyFont="1" applyBorder="1" applyAlignment="1">
      <alignment horizontal="center" vertical="center"/>
    </xf>
    <xf numFmtId="49" fontId="2" fillId="0" borderId="74" xfId="9" applyNumberFormat="1" applyFont="1" applyBorder="1" applyAlignment="1">
      <alignment horizontal="left" vertical="center" wrapText="1"/>
    </xf>
    <xf numFmtId="49" fontId="2" fillId="0" borderId="0" xfId="9" applyNumberFormat="1" applyFont="1" applyBorder="1" applyAlignment="1">
      <alignment horizontal="left" vertical="center" wrapText="1"/>
    </xf>
    <xf numFmtId="49" fontId="2" fillId="0" borderId="38" xfId="9" applyNumberFormat="1" applyFont="1" applyBorder="1" applyAlignment="1">
      <alignment horizontal="left" vertical="center" wrapText="1"/>
    </xf>
    <xf numFmtId="3" fontId="2" fillId="0" borderId="1" xfId="9" applyNumberFormat="1" applyFont="1" applyBorder="1" applyAlignment="1">
      <alignment horizontal="center" vertical="center"/>
    </xf>
    <xf numFmtId="3" fontId="14" fillId="0" borderId="1" xfId="9" applyNumberFormat="1" applyFont="1" applyBorder="1" applyAlignment="1">
      <alignment horizontal="center" vertical="center"/>
    </xf>
    <xf numFmtId="3" fontId="15" fillId="0" borderId="1" xfId="9" applyNumberFormat="1" applyFont="1" applyBorder="1" applyAlignment="1">
      <alignment horizontal="center" vertical="center"/>
    </xf>
    <xf numFmtId="49" fontId="2" fillId="0" borderId="58" xfId="9" applyNumberFormat="1" applyFont="1" applyBorder="1" applyAlignment="1">
      <alignment horizontal="left" vertical="center" wrapText="1"/>
    </xf>
    <xf numFmtId="49" fontId="2" fillId="0" borderId="61" xfId="9" applyNumberFormat="1" applyFont="1" applyBorder="1" applyAlignment="1">
      <alignment horizontal="left" vertical="center" wrapText="1"/>
    </xf>
    <xf numFmtId="49" fontId="2" fillId="0" borderId="57" xfId="9" applyNumberFormat="1" applyFont="1" applyBorder="1" applyAlignment="1">
      <alignment horizontal="left" vertical="center" wrapText="1"/>
    </xf>
    <xf numFmtId="3" fontId="14" fillId="0" borderId="56" xfId="9" applyNumberFormat="1" applyFont="1" applyBorder="1" applyAlignment="1">
      <alignment horizontal="center" vertical="center"/>
    </xf>
    <xf numFmtId="3" fontId="15" fillId="0" borderId="57" xfId="9" applyNumberFormat="1" applyFont="1" applyBorder="1" applyAlignment="1">
      <alignment horizontal="center" vertical="center"/>
    </xf>
    <xf numFmtId="2" fontId="15" fillId="0" borderId="95" xfId="9" applyNumberFormat="1" applyFont="1" applyBorder="1" applyAlignment="1">
      <alignment horizontal="center" vertical="center"/>
    </xf>
    <xf numFmtId="3" fontId="15" fillId="0" borderId="56" xfId="9" applyNumberFormat="1" applyFont="1" applyBorder="1" applyAlignment="1">
      <alignment horizontal="center" vertical="center"/>
    </xf>
    <xf numFmtId="3" fontId="2" fillId="6" borderId="57" xfId="9" applyNumberFormat="1" applyFont="1" applyFill="1" applyBorder="1" applyAlignment="1">
      <alignment horizontal="center" vertical="center"/>
    </xf>
    <xf numFmtId="3" fontId="2" fillId="3" borderId="56" xfId="9" applyNumberFormat="1" applyFont="1" applyFill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13" fillId="0" borderId="42" xfId="9" applyFont="1" applyBorder="1" applyAlignment="1">
      <alignment horizontal="center" vertical="center"/>
    </xf>
    <xf numFmtId="3" fontId="14" fillId="0" borderId="34" xfId="9" applyNumberFormat="1" applyFont="1" applyBorder="1" applyAlignment="1">
      <alignment horizontal="center" vertical="center"/>
    </xf>
    <xf numFmtId="0" fontId="2" fillId="9" borderId="3" xfId="9" applyFont="1" applyFill="1" applyBorder="1" applyAlignment="1">
      <alignment horizontal="center" vertical="center"/>
    </xf>
    <xf numFmtId="0" fontId="2" fillId="9" borderId="1" xfId="9" applyFont="1" applyFill="1" applyBorder="1" applyAlignment="1">
      <alignment horizontal="center" vertical="center"/>
    </xf>
    <xf numFmtId="0" fontId="2" fillId="0" borderId="45" xfId="9" applyFont="1" applyBorder="1" applyAlignment="1">
      <alignment horizontal="center" vertical="center"/>
    </xf>
    <xf numFmtId="4" fontId="15" fillId="0" borderId="36" xfId="9" applyNumberFormat="1" applyFont="1" applyBorder="1" applyAlignment="1">
      <alignment horizontal="center" vertical="center"/>
    </xf>
    <xf numFmtId="4" fontId="15" fillId="0" borderId="27" xfId="9" applyNumberFormat="1" applyFont="1" applyBorder="1" applyAlignment="1">
      <alignment horizontal="center" vertical="center"/>
    </xf>
    <xf numFmtId="4" fontId="15" fillId="0" borderId="34" xfId="9" applyNumberFormat="1" applyFont="1" applyBorder="1" applyAlignment="1">
      <alignment horizontal="center" vertical="center"/>
    </xf>
    <xf numFmtId="4" fontId="15" fillId="0" borderId="42" xfId="9" applyNumberFormat="1" applyFont="1" applyBorder="1" applyAlignment="1">
      <alignment horizontal="center" vertical="center"/>
    </xf>
    <xf numFmtId="3" fontId="2" fillId="6" borderId="24" xfId="9" applyNumberFormat="1" applyFont="1" applyFill="1" applyBorder="1" applyAlignment="1">
      <alignment horizontal="center" vertical="center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5" xr:uid="{00000000-0005-0000-0000-000004000000}"/>
    <cellStyle name="Normal" xfId="0" builtinId="0"/>
    <cellStyle name="Normal 2" xfId="6" xr:uid="{00000000-0005-0000-0000-000006000000}"/>
    <cellStyle name="Normal 2 2" xfId="7" xr:uid="{00000000-0005-0000-0000-000007000000}"/>
    <cellStyle name="Normal 2 2 2" xfId="8" xr:uid="{00000000-0005-0000-0000-000008000000}"/>
    <cellStyle name="Normal 2 3" xfId="9" xr:uid="{00000000-0005-0000-0000-000009000000}"/>
    <cellStyle name="Normal 3" xfId="10" xr:uid="{00000000-0005-0000-0000-00000A000000}"/>
    <cellStyle name="Normal 3 2" xfId="11" xr:uid="{00000000-0005-0000-0000-00000B000000}"/>
    <cellStyle name="Normal 3 2 2" xfId="12" xr:uid="{00000000-0005-0000-0000-00000C000000}"/>
    <cellStyle name="Normal 3 3" xfId="13" xr:uid="{00000000-0005-0000-0000-00000D000000}"/>
    <cellStyle name="Normal 4" xfId="14" xr:uid="{00000000-0005-0000-0000-00000E000000}"/>
    <cellStyle name="Normal 45" xfId="15" xr:uid="{00000000-0005-0000-0000-00000F000000}"/>
    <cellStyle name="Normal 5" xfId="16" xr:uid="{00000000-0005-0000-0000-000010000000}"/>
    <cellStyle name="Normal 6" xfId="17" xr:uid="{00000000-0005-0000-0000-000011000000}"/>
    <cellStyle name="Normal 7" xfId="18" xr:uid="{00000000-0005-0000-0000-000012000000}"/>
    <cellStyle name="Normal 8" xfId="19" xr:uid="{00000000-0005-0000-0000-000013000000}"/>
    <cellStyle name="Porcentaje 2" xfId="20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F23CECEC-1DC9-2C2A-556F-66F42DEE3A59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220980</xdr:colOff>
      <xdr:row>161</xdr:row>
      <xdr:rowOff>0</xdr:rowOff>
    </xdr:from>
    <xdr:to>
      <xdr:col>2</xdr:col>
      <xdr:colOff>281940</xdr:colOff>
      <xdr:row>162</xdr:row>
      <xdr:rowOff>779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B68EC29D-160C-2AC5-2917-65B4A7CDDCC8}"/>
            </a:ext>
          </a:extLst>
        </xdr:cNvPr>
        <xdr:cNvSpPr txBox="1">
          <a:spLocks noChangeArrowheads="1"/>
        </xdr:cNvSpPr>
      </xdr:nvSpPr>
      <xdr:spPr bwMode="auto">
        <a:xfrm>
          <a:off x="214122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27" name="Text Box 4">
          <a:extLst>
            <a:ext uri="{FF2B5EF4-FFF2-40B4-BE49-F238E27FC236}">
              <a16:creationId xmlns:a16="http://schemas.microsoft.com/office/drawing/2014/main" id="{1B235DB8-72AE-6A22-A6EB-56B14A467EDB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28" name="Text Box 5">
          <a:extLst>
            <a:ext uri="{FF2B5EF4-FFF2-40B4-BE49-F238E27FC236}">
              <a16:creationId xmlns:a16="http://schemas.microsoft.com/office/drawing/2014/main" id="{5CB13353-5A3B-E87E-A02A-0502668B5FE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76200</xdr:colOff>
      <xdr:row>162</xdr:row>
      <xdr:rowOff>779</xdr:rowOff>
    </xdr:to>
    <xdr:sp macro="" textlink="">
      <xdr:nvSpPr>
        <xdr:cNvPr id="1029" name="Text Box 6">
          <a:extLst>
            <a:ext uri="{FF2B5EF4-FFF2-40B4-BE49-F238E27FC236}">
              <a16:creationId xmlns:a16="http://schemas.microsoft.com/office/drawing/2014/main" id="{53078546-D7BE-F336-9CCC-269F34DDB4F3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161</xdr:row>
      <xdr:rowOff>0</xdr:rowOff>
    </xdr:from>
    <xdr:to>
      <xdr:col>5</xdr:col>
      <xdr:colOff>472440</xdr:colOff>
      <xdr:row>162</xdr:row>
      <xdr:rowOff>779</xdr:rowOff>
    </xdr:to>
    <xdr:sp macro="" textlink="">
      <xdr:nvSpPr>
        <xdr:cNvPr id="1030" name="Text Box 7">
          <a:extLst>
            <a:ext uri="{FF2B5EF4-FFF2-40B4-BE49-F238E27FC236}">
              <a16:creationId xmlns:a16="http://schemas.microsoft.com/office/drawing/2014/main" id="{E8306FAF-0383-3A4D-825C-98A2C788677F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31" name="Text Box 8">
          <a:extLst>
            <a:ext uri="{FF2B5EF4-FFF2-40B4-BE49-F238E27FC236}">
              <a16:creationId xmlns:a16="http://schemas.microsoft.com/office/drawing/2014/main" id="{4D5CF38A-6253-4B6B-FEC6-285B6E712DBB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121920</xdr:rowOff>
    </xdr:from>
    <xdr:to>
      <xdr:col>2</xdr:col>
      <xdr:colOff>76200</xdr:colOff>
      <xdr:row>162</xdr:row>
      <xdr:rowOff>129540</xdr:rowOff>
    </xdr:to>
    <xdr:sp macro="" textlink="">
      <xdr:nvSpPr>
        <xdr:cNvPr id="1032" name="Text Box 9">
          <a:extLst>
            <a:ext uri="{FF2B5EF4-FFF2-40B4-BE49-F238E27FC236}">
              <a16:creationId xmlns:a16="http://schemas.microsoft.com/office/drawing/2014/main" id="{4786C1BD-F3C2-8664-045A-C0C2C93B7F43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33" name="Text Box 10">
          <a:extLst>
            <a:ext uri="{FF2B5EF4-FFF2-40B4-BE49-F238E27FC236}">
              <a16:creationId xmlns:a16="http://schemas.microsoft.com/office/drawing/2014/main" id="{2A697D81-5B01-8F96-5443-5925934851A7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121920</xdr:rowOff>
    </xdr:from>
    <xdr:to>
      <xdr:col>2</xdr:col>
      <xdr:colOff>76200</xdr:colOff>
      <xdr:row>162</xdr:row>
      <xdr:rowOff>129540</xdr:rowOff>
    </xdr:to>
    <xdr:sp macro="" textlink="">
      <xdr:nvSpPr>
        <xdr:cNvPr id="1034" name="Text Box 11">
          <a:extLst>
            <a:ext uri="{FF2B5EF4-FFF2-40B4-BE49-F238E27FC236}">
              <a16:creationId xmlns:a16="http://schemas.microsoft.com/office/drawing/2014/main" id="{74D06E7A-C171-8F48-F20E-DA59B57BE477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35" name="Text Box 12">
          <a:extLst>
            <a:ext uri="{FF2B5EF4-FFF2-40B4-BE49-F238E27FC236}">
              <a16:creationId xmlns:a16="http://schemas.microsoft.com/office/drawing/2014/main" id="{0B5FDFAA-E32F-9E18-C692-A98D1FD5AF41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36" name="Text Box 14">
          <a:extLst>
            <a:ext uri="{FF2B5EF4-FFF2-40B4-BE49-F238E27FC236}">
              <a16:creationId xmlns:a16="http://schemas.microsoft.com/office/drawing/2014/main" id="{ACE9368F-F593-6AFE-A34C-07AA5288EA1D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37" name="Text Box 15">
          <a:extLst>
            <a:ext uri="{FF2B5EF4-FFF2-40B4-BE49-F238E27FC236}">
              <a16:creationId xmlns:a16="http://schemas.microsoft.com/office/drawing/2014/main" id="{139AC63C-5954-1E8B-8158-2641A5326A14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161</xdr:row>
      <xdr:rowOff>0</xdr:rowOff>
    </xdr:from>
    <xdr:to>
      <xdr:col>5</xdr:col>
      <xdr:colOff>472440</xdr:colOff>
      <xdr:row>162</xdr:row>
      <xdr:rowOff>779</xdr:rowOff>
    </xdr:to>
    <xdr:sp macro="" textlink="">
      <xdr:nvSpPr>
        <xdr:cNvPr id="1038" name="Text Box 16">
          <a:extLst>
            <a:ext uri="{FF2B5EF4-FFF2-40B4-BE49-F238E27FC236}">
              <a16:creationId xmlns:a16="http://schemas.microsoft.com/office/drawing/2014/main" id="{AFDB348E-310E-B044-283A-1708542D70D5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39" name="Text Box 17">
          <a:extLst>
            <a:ext uri="{FF2B5EF4-FFF2-40B4-BE49-F238E27FC236}">
              <a16:creationId xmlns:a16="http://schemas.microsoft.com/office/drawing/2014/main" id="{9DA20190-A537-E006-DE9D-D9E6F3684F6A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121920</xdr:rowOff>
    </xdr:from>
    <xdr:to>
      <xdr:col>2</xdr:col>
      <xdr:colOff>76200</xdr:colOff>
      <xdr:row>162</xdr:row>
      <xdr:rowOff>129540</xdr:rowOff>
    </xdr:to>
    <xdr:sp macro="" textlink="">
      <xdr:nvSpPr>
        <xdr:cNvPr id="1040" name="Text Box 18">
          <a:extLst>
            <a:ext uri="{FF2B5EF4-FFF2-40B4-BE49-F238E27FC236}">
              <a16:creationId xmlns:a16="http://schemas.microsoft.com/office/drawing/2014/main" id="{B45F9EA4-7765-7CD9-F5A9-74FD676A3D5B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41" name="Text Box 19">
          <a:extLst>
            <a:ext uri="{FF2B5EF4-FFF2-40B4-BE49-F238E27FC236}">
              <a16:creationId xmlns:a16="http://schemas.microsoft.com/office/drawing/2014/main" id="{AAAF5ACB-2CF8-AA9A-6E78-C26539DEE145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121920</xdr:rowOff>
    </xdr:from>
    <xdr:to>
      <xdr:col>2</xdr:col>
      <xdr:colOff>76200</xdr:colOff>
      <xdr:row>162</xdr:row>
      <xdr:rowOff>129540</xdr:rowOff>
    </xdr:to>
    <xdr:sp macro="" textlink="">
      <xdr:nvSpPr>
        <xdr:cNvPr id="1042" name="Text Box 20">
          <a:extLst>
            <a:ext uri="{FF2B5EF4-FFF2-40B4-BE49-F238E27FC236}">
              <a16:creationId xmlns:a16="http://schemas.microsoft.com/office/drawing/2014/main" id="{1FD6F293-58E8-C4DA-6775-F45DAC8E7A6E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43" name="Text Box 85">
          <a:extLst>
            <a:ext uri="{FF2B5EF4-FFF2-40B4-BE49-F238E27FC236}">
              <a16:creationId xmlns:a16="http://schemas.microsoft.com/office/drawing/2014/main" id="{078D3094-4CD8-9D94-DA6E-1DE491850A6F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44" name="Text Box 88">
          <a:extLst>
            <a:ext uri="{FF2B5EF4-FFF2-40B4-BE49-F238E27FC236}">
              <a16:creationId xmlns:a16="http://schemas.microsoft.com/office/drawing/2014/main" id="{18A6F283-3F4B-9AB1-7341-C814B60049F7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45" name="Text Box 89">
          <a:extLst>
            <a:ext uri="{FF2B5EF4-FFF2-40B4-BE49-F238E27FC236}">
              <a16:creationId xmlns:a16="http://schemas.microsoft.com/office/drawing/2014/main" id="{791C7A41-4290-4531-364C-521B9C1C7D1E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76200</xdr:colOff>
      <xdr:row>162</xdr:row>
      <xdr:rowOff>779</xdr:rowOff>
    </xdr:to>
    <xdr:sp macro="" textlink="">
      <xdr:nvSpPr>
        <xdr:cNvPr id="1046" name="Text Box 90">
          <a:extLst>
            <a:ext uri="{FF2B5EF4-FFF2-40B4-BE49-F238E27FC236}">
              <a16:creationId xmlns:a16="http://schemas.microsoft.com/office/drawing/2014/main" id="{4586BE54-1A9B-7984-8A3C-F853970C8AD8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161</xdr:row>
      <xdr:rowOff>0</xdr:rowOff>
    </xdr:from>
    <xdr:to>
      <xdr:col>5</xdr:col>
      <xdr:colOff>472440</xdr:colOff>
      <xdr:row>162</xdr:row>
      <xdr:rowOff>779</xdr:rowOff>
    </xdr:to>
    <xdr:sp macro="" textlink="">
      <xdr:nvSpPr>
        <xdr:cNvPr id="1047" name="Text Box 91">
          <a:extLst>
            <a:ext uri="{FF2B5EF4-FFF2-40B4-BE49-F238E27FC236}">
              <a16:creationId xmlns:a16="http://schemas.microsoft.com/office/drawing/2014/main" id="{16A4B1EF-9E5D-30CA-2FC7-94A038B80711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48" name="Text Box 92">
          <a:extLst>
            <a:ext uri="{FF2B5EF4-FFF2-40B4-BE49-F238E27FC236}">
              <a16:creationId xmlns:a16="http://schemas.microsoft.com/office/drawing/2014/main" id="{54A91D8A-66D6-B554-8E35-023A211280A3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49" name="Text Box 94">
          <a:extLst>
            <a:ext uri="{FF2B5EF4-FFF2-40B4-BE49-F238E27FC236}">
              <a16:creationId xmlns:a16="http://schemas.microsoft.com/office/drawing/2014/main" id="{114569AE-7297-070C-E649-9D11097D48A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106680</xdr:rowOff>
    </xdr:from>
    <xdr:to>
      <xdr:col>5</xdr:col>
      <xdr:colOff>350520</xdr:colOff>
      <xdr:row>1</xdr:row>
      <xdr:rowOff>190500</xdr:rowOff>
    </xdr:to>
    <xdr:pic>
      <xdr:nvPicPr>
        <xdr:cNvPr id="4099" name="Picture 6" descr="OGEI">
          <a:extLst>
            <a:ext uri="{FF2B5EF4-FFF2-40B4-BE49-F238E27FC236}">
              <a16:creationId xmlns:a16="http://schemas.microsoft.com/office/drawing/2014/main" id="{AD391B3B-32BD-B27A-9F80-FBF41CF63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6680"/>
          <a:ext cx="214122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31"/>
  <sheetViews>
    <sheetView showGridLines="0" tabSelected="1" zoomScaleNormal="100" workbookViewId="0"/>
  </sheetViews>
  <sheetFormatPr baseColWidth="10" defaultColWidth="11.42578125" defaultRowHeight="16.149999999999999" customHeight="1" x14ac:dyDescent="0.2"/>
  <cols>
    <col min="1" max="1" width="10.7109375" style="253" customWidth="1"/>
    <col min="2" max="2" width="23.28515625" style="2" customWidth="1"/>
    <col min="3" max="3" width="9.7109375" style="2" customWidth="1"/>
    <col min="4" max="4" width="9.42578125" style="2" customWidth="1"/>
    <col min="5" max="13" width="10.42578125" style="2" customWidth="1"/>
    <col min="14" max="16384" width="11.42578125" style="2"/>
  </cols>
  <sheetData>
    <row r="1" spans="1:13" ht="16.149999999999999" customHeight="1" x14ac:dyDescent="0.2">
      <c r="B1" s="4" t="s">
        <v>158</v>
      </c>
      <c r="C1" s="4"/>
      <c r="D1" s="4"/>
      <c r="E1" s="4"/>
      <c r="F1" s="4"/>
      <c r="G1" s="4"/>
      <c r="H1" s="4"/>
      <c r="I1" s="4"/>
      <c r="J1" s="4"/>
      <c r="K1" s="4"/>
      <c r="L1" s="5"/>
      <c r="M1" s="3"/>
    </row>
    <row r="2" spans="1:13" ht="16.149999999999999" customHeight="1" x14ac:dyDescent="0.2">
      <c r="B2" s="4" t="s">
        <v>273</v>
      </c>
      <c r="C2" s="4"/>
      <c r="D2" s="4"/>
      <c r="E2" s="4"/>
      <c r="F2" s="4"/>
      <c r="G2" s="4"/>
      <c r="H2" s="4"/>
      <c r="I2" s="4"/>
      <c r="J2" s="4"/>
      <c r="K2" s="4"/>
      <c r="L2" s="5"/>
      <c r="M2" s="3"/>
    </row>
    <row r="3" spans="1:13" ht="16.149999999999999" customHeight="1" x14ac:dyDescent="0.2">
      <c r="B3" s="4" t="s">
        <v>14</v>
      </c>
      <c r="C3" s="4"/>
      <c r="D3" s="4"/>
      <c r="E3" s="4"/>
      <c r="F3" s="4"/>
      <c r="G3" s="4"/>
      <c r="H3" s="4"/>
      <c r="I3" s="4"/>
      <c r="J3" s="4"/>
      <c r="K3" s="4"/>
      <c r="L3" s="4"/>
      <c r="M3" s="3"/>
    </row>
    <row r="4" spans="1:13" ht="16.149999999999999" customHeight="1" x14ac:dyDescent="0.2">
      <c r="B4" s="4" t="s">
        <v>274</v>
      </c>
      <c r="C4" s="4"/>
      <c r="D4" s="4"/>
      <c r="E4" s="4"/>
      <c r="F4" s="4"/>
      <c r="G4" s="4"/>
      <c r="H4" s="4"/>
      <c r="I4" s="4"/>
      <c r="J4" s="4"/>
      <c r="K4" s="4"/>
      <c r="L4" s="4"/>
      <c r="M4" s="3"/>
    </row>
    <row r="5" spans="1:13" ht="16.149999999999999" customHeight="1" x14ac:dyDescent="0.2">
      <c r="B5" s="354" t="s">
        <v>29</v>
      </c>
      <c r="C5" s="354"/>
      <c r="D5" s="354"/>
      <c r="E5" s="354"/>
      <c r="F5" s="354"/>
      <c r="G5" s="354"/>
      <c r="H5" s="354"/>
      <c r="I5" s="354"/>
      <c r="J5" s="354"/>
      <c r="K5" s="354"/>
      <c r="L5" s="9"/>
      <c r="M5" s="9"/>
    </row>
    <row r="6" spans="1:13" ht="16.149999999999999" customHeight="1" x14ac:dyDescent="0.2"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9"/>
      <c r="M6" s="9"/>
    </row>
    <row r="7" spans="1:13" ht="16.149999999999999" customHeight="1" x14ac:dyDescent="0.2">
      <c r="B7" s="4" t="s">
        <v>328</v>
      </c>
      <c r="C7" s="3"/>
      <c r="D7" s="3"/>
      <c r="E7" s="4"/>
      <c r="F7" s="4"/>
      <c r="G7" s="4"/>
      <c r="H7" s="4"/>
      <c r="I7" s="271"/>
      <c r="J7" s="4"/>
      <c r="K7" s="4"/>
      <c r="L7" s="4"/>
      <c r="M7" s="4"/>
    </row>
    <row r="8" spans="1:13" ht="16.149999999999999" customHeight="1" x14ac:dyDescent="0.2">
      <c r="A8" s="253" t="s">
        <v>275</v>
      </c>
      <c r="B8" s="334" t="s">
        <v>28</v>
      </c>
      <c r="C8" s="335"/>
      <c r="D8" s="336"/>
      <c r="E8" s="342" t="s">
        <v>34</v>
      </c>
      <c r="F8" s="342"/>
      <c r="G8" s="342"/>
      <c r="H8" s="342"/>
      <c r="I8" s="272"/>
      <c r="J8" s="271"/>
    </row>
    <row r="9" spans="1:13" ht="16.149999999999999" customHeight="1" x14ac:dyDescent="0.2">
      <c r="B9" s="337"/>
      <c r="C9" s="338"/>
      <c r="D9" s="339"/>
      <c r="E9" s="15" t="s">
        <v>0</v>
      </c>
      <c r="F9" s="16" t="s">
        <v>1</v>
      </c>
      <c r="G9" s="16" t="s">
        <v>2</v>
      </c>
      <c r="H9" s="17" t="s">
        <v>46</v>
      </c>
    </row>
    <row r="10" spans="1:13" ht="16.149999999999999" customHeight="1" x14ac:dyDescent="0.2">
      <c r="A10" s="253" t="s">
        <v>95</v>
      </c>
      <c r="B10" s="343" t="s">
        <v>4</v>
      </c>
      <c r="C10" s="340" t="s">
        <v>44</v>
      </c>
      <c r="D10" s="341"/>
      <c r="E10" s="26"/>
      <c r="F10" s="27"/>
      <c r="G10" s="27"/>
      <c r="H10" s="11"/>
    </row>
    <row r="11" spans="1:13" ht="16.149999999999999" customHeight="1" x14ac:dyDescent="0.2">
      <c r="A11" s="253" t="s">
        <v>96</v>
      </c>
      <c r="B11" s="333"/>
      <c r="C11" s="344" t="s">
        <v>45</v>
      </c>
      <c r="D11" s="345"/>
      <c r="E11" s="28"/>
      <c r="F11" s="29"/>
      <c r="G11" s="29"/>
      <c r="H11" s="12"/>
    </row>
    <row r="12" spans="1:13" ht="16.149999999999999" customHeight="1" x14ac:dyDescent="0.2">
      <c r="A12" s="253" t="s">
        <v>96</v>
      </c>
      <c r="B12" s="333"/>
      <c r="C12" s="344" t="s">
        <v>85</v>
      </c>
      <c r="D12" s="345"/>
      <c r="E12" s="28"/>
      <c r="F12" s="29"/>
      <c r="G12" s="29"/>
      <c r="H12" s="12"/>
    </row>
    <row r="13" spans="1:13" ht="16.149999999999999" customHeight="1" x14ac:dyDescent="0.2">
      <c r="A13" s="253" t="s">
        <v>93</v>
      </c>
      <c r="B13" s="333" t="s">
        <v>40</v>
      </c>
      <c r="C13" s="344" t="s">
        <v>86</v>
      </c>
      <c r="D13" s="345"/>
      <c r="E13" s="28"/>
      <c r="F13" s="30"/>
      <c r="G13" s="30"/>
      <c r="H13" s="13"/>
    </row>
    <row r="14" spans="1:13" ht="16.149999999999999" customHeight="1" x14ac:dyDescent="0.2">
      <c r="A14" s="253" t="s">
        <v>94</v>
      </c>
      <c r="B14" s="333"/>
      <c r="C14" s="344" t="s">
        <v>44</v>
      </c>
      <c r="D14" s="345"/>
      <c r="E14" s="28"/>
      <c r="F14" s="30"/>
      <c r="G14" s="30"/>
      <c r="H14" s="10"/>
    </row>
    <row r="15" spans="1:13" ht="16.149999999999999" customHeight="1" x14ac:dyDescent="0.2">
      <c r="A15" s="253">
        <v>90713</v>
      </c>
      <c r="B15" s="333" t="s">
        <v>5</v>
      </c>
      <c r="C15" s="230" t="s">
        <v>87</v>
      </c>
      <c r="D15" s="229" t="s">
        <v>89</v>
      </c>
      <c r="E15" s="28"/>
      <c r="F15" s="28"/>
      <c r="G15" s="28"/>
      <c r="H15" s="11"/>
    </row>
    <row r="16" spans="1:13" ht="16.149999999999999" customHeight="1" x14ac:dyDescent="0.2">
      <c r="A16" s="253" t="s">
        <v>92</v>
      </c>
      <c r="B16" s="333"/>
      <c r="C16" s="230" t="s">
        <v>88</v>
      </c>
      <c r="D16" s="229" t="s">
        <v>157</v>
      </c>
      <c r="E16" s="30"/>
      <c r="F16" s="30"/>
      <c r="G16" s="28"/>
      <c r="H16" s="12"/>
    </row>
    <row r="17" spans="1:13" ht="16.149999999999999" customHeight="1" x14ac:dyDescent="0.2">
      <c r="A17" s="253">
        <v>90723</v>
      </c>
      <c r="B17" s="33" t="s">
        <v>30</v>
      </c>
      <c r="C17" s="344" t="s">
        <v>90</v>
      </c>
      <c r="D17" s="345"/>
      <c r="E17" s="28"/>
      <c r="F17" s="28"/>
      <c r="G17" s="28"/>
      <c r="H17" s="7"/>
    </row>
    <row r="18" spans="1:13" ht="16.149999999999999" customHeight="1" x14ac:dyDescent="0.2">
      <c r="A18" s="253" t="s">
        <v>325</v>
      </c>
      <c r="B18" s="34" t="s">
        <v>11</v>
      </c>
      <c r="C18" s="346" t="s">
        <v>103</v>
      </c>
      <c r="D18" s="35" t="s">
        <v>98</v>
      </c>
      <c r="E18" s="31"/>
      <c r="F18" s="28"/>
      <c r="G18" s="28"/>
      <c r="H18" s="7"/>
    </row>
    <row r="19" spans="1:13" ht="16.149999999999999" customHeight="1" x14ac:dyDescent="0.2">
      <c r="A19" s="253">
        <v>90744</v>
      </c>
      <c r="B19" s="34" t="s">
        <v>40</v>
      </c>
      <c r="C19" s="346"/>
      <c r="D19" s="35" t="s">
        <v>68</v>
      </c>
      <c r="E19" s="31"/>
      <c r="F19" s="28"/>
      <c r="G19" s="28"/>
      <c r="H19" s="7"/>
    </row>
    <row r="20" spans="1:13" ht="16.149999999999999" customHeight="1" x14ac:dyDescent="0.2">
      <c r="A20" s="253" t="s">
        <v>323</v>
      </c>
      <c r="B20" s="34" t="s">
        <v>39</v>
      </c>
      <c r="C20" s="346"/>
      <c r="D20" s="35" t="s">
        <v>99</v>
      </c>
      <c r="E20" s="31"/>
      <c r="F20" s="28"/>
      <c r="G20" s="28"/>
      <c r="H20" s="7"/>
    </row>
    <row r="21" spans="1:13" ht="16.149999999999999" customHeight="1" x14ac:dyDescent="0.2">
      <c r="A21" s="253">
        <v>90681</v>
      </c>
      <c r="B21" s="33" t="s">
        <v>31</v>
      </c>
      <c r="C21" s="344" t="s">
        <v>89</v>
      </c>
      <c r="D21" s="345"/>
      <c r="E21" s="28"/>
      <c r="F21" s="28"/>
      <c r="G21" s="31"/>
      <c r="H21" s="7"/>
    </row>
    <row r="22" spans="1:13" ht="16.149999999999999" customHeight="1" x14ac:dyDescent="0.2">
      <c r="A22" s="253" t="s">
        <v>276</v>
      </c>
      <c r="B22" s="33" t="s">
        <v>32</v>
      </c>
      <c r="C22" s="344" t="s">
        <v>89</v>
      </c>
      <c r="D22" s="345"/>
      <c r="E22" s="28"/>
      <c r="F22" s="28"/>
      <c r="G22" s="31"/>
      <c r="H22" s="7"/>
    </row>
    <row r="23" spans="1:13" ht="16.149999999999999" customHeight="1" x14ac:dyDescent="0.2">
      <c r="A23" s="253">
        <v>90657</v>
      </c>
      <c r="B23" s="33" t="s">
        <v>33</v>
      </c>
      <c r="C23" s="344"/>
      <c r="D23" s="345"/>
      <c r="E23" s="28"/>
      <c r="F23" s="28"/>
      <c r="G23" s="31"/>
      <c r="H23" s="7"/>
    </row>
    <row r="24" spans="1:13" ht="16.149999999999999" customHeight="1" x14ac:dyDescent="0.2">
      <c r="A24" s="253">
        <v>90713</v>
      </c>
      <c r="B24" s="36" t="s">
        <v>91</v>
      </c>
      <c r="C24" s="42" t="s">
        <v>87</v>
      </c>
      <c r="D24" s="43" t="s">
        <v>102</v>
      </c>
      <c r="E24" s="32"/>
      <c r="F24" s="32"/>
      <c r="G24" s="32"/>
      <c r="H24" s="8"/>
    </row>
    <row r="25" spans="1:13" ht="16.149999999999999" customHeight="1" x14ac:dyDescent="0.2">
      <c r="M25" s="1"/>
    </row>
    <row r="26" spans="1:13" ht="16.149999999999999" customHeight="1" x14ac:dyDescent="0.2">
      <c r="B26" s="4" t="s">
        <v>329</v>
      </c>
      <c r="C26" s="1"/>
      <c r="D26" s="1"/>
      <c r="E26" s="1"/>
      <c r="F26" s="1"/>
      <c r="G26" s="1"/>
      <c r="H26" s="1"/>
      <c r="I26" s="1"/>
      <c r="J26" s="1"/>
      <c r="K26" s="1"/>
    </row>
    <row r="27" spans="1:13" ht="16.149999999999999" customHeight="1" x14ac:dyDescent="0.2">
      <c r="B27" s="355" t="s">
        <v>28</v>
      </c>
      <c r="C27" s="355"/>
      <c r="D27" s="355"/>
      <c r="E27" s="342" t="s">
        <v>34</v>
      </c>
      <c r="F27" s="342"/>
      <c r="G27" s="342"/>
      <c r="H27" s="342"/>
    </row>
    <row r="28" spans="1:13" ht="16.149999999999999" customHeight="1" x14ac:dyDescent="0.2">
      <c r="B28" s="356"/>
      <c r="C28" s="356"/>
      <c r="D28" s="356"/>
      <c r="E28" s="16" t="s">
        <v>317</v>
      </c>
      <c r="F28" s="16" t="s">
        <v>318</v>
      </c>
      <c r="G28" s="16" t="s">
        <v>319</v>
      </c>
      <c r="H28" s="298" t="s">
        <v>339</v>
      </c>
    </row>
    <row r="29" spans="1:13" s="1" customFormat="1" ht="16.149999999999999" customHeight="1" x14ac:dyDescent="0.2">
      <c r="A29" s="253" t="s">
        <v>276</v>
      </c>
      <c r="B29" s="44" t="s">
        <v>32</v>
      </c>
      <c r="C29" s="340" t="s">
        <v>97</v>
      </c>
      <c r="D29" s="341"/>
      <c r="E29" s="37"/>
      <c r="F29" s="37"/>
      <c r="G29" s="26"/>
      <c r="H29" s="37"/>
    </row>
    <row r="30" spans="1:13" s="1" customFormat="1" ht="16.149999999999999" customHeight="1" x14ac:dyDescent="0.2">
      <c r="A30" s="253">
        <v>90707</v>
      </c>
      <c r="B30" s="33" t="s">
        <v>321</v>
      </c>
      <c r="C30" s="344"/>
      <c r="D30" s="345"/>
      <c r="E30" s="28"/>
      <c r="F30" s="31"/>
      <c r="G30" s="31"/>
      <c r="H30" s="31"/>
    </row>
    <row r="31" spans="1:13" ht="16.149999999999999" customHeight="1" x14ac:dyDescent="0.2">
      <c r="A31" s="253" t="s">
        <v>261</v>
      </c>
      <c r="B31" s="33" t="s">
        <v>229</v>
      </c>
      <c r="C31" s="344" t="s">
        <v>204</v>
      </c>
      <c r="D31" s="345"/>
      <c r="E31" s="28"/>
      <c r="F31" s="31"/>
      <c r="G31" s="31"/>
      <c r="H31" s="31"/>
    </row>
    <row r="32" spans="1:13" s="1" customFormat="1" ht="16.149999999999999" customHeight="1" x14ac:dyDescent="0.2">
      <c r="A32" s="253">
        <v>90657</v>
      </c>
      <c r="B32" s="333" t="s">
        <v>33</v>
      </c>
      <c r="C32" s="344" t="s">
        <v>260</v>
      </c>
      <c r="D32" s="345"/>
      <c r="E32" s="28"/>
      <c r="F32" s="28"/>
      <c r="G32" s="31"/>
      <c r="H32" s="31"/>
    </row>
    <row r="33" spans="1:8" s="1" customFormat="1" ht="16.149999999999999" customHeight="1" x14ac:dyDescent="0.2">
      <c r="A33" s="253">
        <v>90657</v>
      </c>
      <c r="B33" s="333"/>
      <c r="C33" s="344" t="s">
        <v>162</v>
      </c>
      <c r="D33" s="345"/>
      <c r="E33" s="28"/>
      <c r="F33" s="31"/>
      <c r="G33" s="31"/>
      <c r="H33" s="31"/>
    </row>
    <row r="34" spans="1:8" s="1" customFormat="1" ht="16.149999999999999" customHeight="1" x14ac:dyDescent="0.2">
      <c r="A34" s="253" t="s">
        <v>276</v>
      </c>
      <c r="B34" s="33" t="s">
        <v>161</v>
      </c>
      <c r="C34" s="344" t="s">
        <v>47</v>
      </c>
      <c r="D34" s="345"/>
      <c r="E34" s="28"/>
      <c r="F34" s="28"/>
      <c r="G34" s="31"/>
      <c r="H34" s="31"/>
    </row>
    <row r="35" spans="1:8" s="1" customFormat="1" ht="16.149999999999999" customHeight="1" x14ac:dyDescent="0.2">
      <c r="A35" s="253">
        <v>90717</v>
      </c>
      <c r="B35" s="33" t="s">
        <v>9</v>
      </c>
      <c r="C35" s="344" t="s">
        <v>48</v>
      </c>
      <c r="D35" s="345"/>
      <c r="E35" s="28"/>
      <c r="F35" s="31"/>
      <c r="G35" s="31"/>
      <c r="H35" s="31"/>
    </row>
    <row r="36" spans="1:8" s="1" customFormat="1" ht="16.149999999999999" customHeight="1" x14ac:dyDescent="0.2">
      <c r="A36" s="253" t="s">
        <v>283</v>
      </c>
      <c r="B36" s="33" t="s">
        <v>282</v>
      </c>
      <c r="C36" s="344"/>
      <c r="D36" s="345"/>
      <c r="E36" s="28"/>
      <c r="F36" s="31"/>
      <c r="G36" s="31"/>
      <c r="H36" s="31"/>
    </row>
    <row r="37" spans="1:8" s="1" customFormat="1" ht="16.149999999999999" customHeight="1" x14ac:dyDescent="0.2">
      <c r="A37" s="253">
        <v>90707</v>
      </c>
      <c r="B37" s="33" t="s">
        <v>320</v>
      </c>
      <c r="C37" s="348" t="s">
        <v>49</v>
      </c>
      <c r="D37" s="349"/>
      <c r="E37" s="31"/>
      <c r="F37" s="28"/>
      <c r="G37" s="31"/>
      <c r="H37" s="31"/>
    </row>
    <row r="38" spans="1:8" s="1" customFormat="1" ht="16.149999999999999" customHeight="1" x14ac:dyDescent="0.2">
      <c r="A38" s="253">
        <v>90701</v>
      </c>
      <c r="B38" s="33" t="s">
        <v>74</v>
      </c>
      <c r="C38" s="350"/>
      <c r="D38" s="351"/>
      <c r="E38" s="28"/>
      <c r="F38" s="31"/>
      <c r="G38" s="31"/>
      <c r="H38" s="31"/>
    </row>
    <row r="39" spans="1:8" s="1" customFormat="1" ht="16.149999999999999" customHeight="1" x14ac:dyDescent="0.2">
      <c r="A39" s="253" t="s">
        <v>92</v>
      </c>
      <c r="B39" s="33" t="s">
        <v>332</v>
      </c>
      <c r="C39" s="352"/>
      <c r="D39" s="353"/>
      <c r="E39" s="28"/>
      <c r="F39" s="31"/>
      <c r="G39" s="31"/>
      <c r="H39" s="31"/>
    </row>
    <row r="40" spans="1:8" ht="16.149999999999999" customHeight="1" x14ac:dyDescent="0.2">
      <c r="A40" s="253">
        <v>90713</v>
      </c>
      <c r="B40" s="333" t="s">
        <v>5</v>
      </c>
      <c r="C40" s="346" t="s">
        <v>50</v>
      </c>
      <c r="D40" s="229" t="s">
        <v>87</v>
      </c>
      <c r="E40" s="28"/>
      <c r="F40" s="28"/>
      <c r="G40" s="28"/>
      <c r="H40" s="28"/>
    </row>
    <row r="41" spans="1:8" ht="16.149999999999999" customHeight="1" x14ac:dyDescent="0.2">
      <c r="A41" s="253" t="s">
        <v>92</v>
      </c>
      <c r="B41" s="333"/>
      <c r="C41" s="346"/>
      <c r="D41" s="229" t="s">
        <v>88</v>
      </c>
      <c r="E41" s="31"/>
      <c r="F41" s="31"/>
      <c r="G41" s="28"/>
      <c r="H41" s="31"/>
    </row>
    <row r="42" spans="1:8" ht="16.149999999999999" customHeight="1" x14ac:dyDescent="0.2">
      <c r="A42" s="253">
        <v>90723</v>
      </c>
      <c r="B42" s="33" t="s">
        <v>15</v>
      </c>
      <c r="C42" s="346"/>
      <c r="D42" s="229"/>
      <c r="E42" s="28"/>
      <c r="F42" s="28"/>
      <c r="G42" s="28"/>
      <c r="H42" s="31"/>
    </row>
    <row r="43" spans="1:8" ht="16.149999999999999" customHeight="1" x14ac:dyDescent="0.2">
      <c r="A43" s="253" t="s">
        <v>325</v>
      </c>
      <c r="B43" s="34" t="s">
        <v>11</v>
      </c>
      <c r="C43" s="346"/>
      <c r="D43" s="35" t="s">
        <v>98</v>
      </c>
      <c r="E43" s="31"/>
      <c r="F43" s="28"/>
      <c r="G43" s="28"/>
      <c r="H43" s="31"/>
    </row>
    <row r="44" spans="1:8" ht="16.149999999999999" customHeight="1" x14ac:dyDescent="0.2">
      <c r="A44" s="253">
        <v>90744</v>
      </c>
      <c r="B44" s="34" t="s">
        <v>40</v>
      </c>
      <c r="C44" s="346"/>
      <c r="D44" s="35" t="s">
        <v>68</v>
      </c>
      <c r="E44" s="31"/>
      <c r="F44" s="28"/>
      <c r="G44" s="28"/>
      <c r="H44" s="31"/>
    </row>
    <row r="45" spans="1:8" ht="16.149999999999999" customHeight="1" x14ac:dyDescent="0.2">
      <c r="A45" s="253" t="s">
        <v>323</v>
      </c>
      <c r="B45" s="34" t="s">
        <v>39</v>
      </c>
      <c r="C45" s="346"/>
      <c r="D45" s="35" t="s">
        <v>99</v>
      </c>
      <c r="E45" s="31"/>
      <c r="F45" s="28"/>
      <c r="G45" s="28"/>
      <c r="H45" s="31"/>
    </row>
    <row r="46" spans="1:8" ht="16.149999999999999" customHeight="1" x14ac:dyDescent="0.2">
      <c r="A46" s="253" t="s">
        <v>101</v>
      </c>
      <c r="B46" s="36" t="s">
        <v>100</v>
      </c>
      <c r="C46" s="347"/>
      <c r="D46" s="43"/>
      <c r="E46" s="32"/>
      <c r="F46" s="38"/>
      <c r="G46" s="38"/>
      <c r="H46" s="38"/>
    </row>
    <row r="47" spans="1:8" s="272" customFormat="1" ht="16.149999999999999" customHeight="1" x14ac:dyDescent="0.2"/>
    <row r="48" spans="1:8" ht="16.149999999999999" customHeight="1" x14ac:dyDescent="0.2">
      <c r="B48" s="4" t="s">
        <v>330</v>
      </c>
      <c r="C48" s="3"/>
      <c r="D48" s="3"/>
      <c r="E48" s="4"/>
      <c r="F48" s="4"/>
      <c r="G48" s="4"/>
      <c r="H48" s="4"/>
    </row>
    <row r="49" spans="1:13" ht="16.149999999999999" customHeight="1" x14ac:dyDescent="0.2">
      <c r="B49" s="319" t="s">
        <v>28</v>
      </c>
      <c r="C49" s="320"/>
      <c r="D49" s="321"/>
      <c r="E49" s="319" t="s">
        <v>41</v>
      </c>
      <c r="F49" s="320"/>
      <c r="G49" s="321"/>
      <c r="H49" s="319" t="s">
        <v>42</v>
      </c>
      <c r="I49" s="320"/>
      <c r="J49" s="321"/>
      <c r="K49" s="332" t="s">
        <v>43</v>
      </c>
      <c r="L49" s="320"/>
      <c r="M49" s="321"/>
    </row>
    <row r="50" spans="1:13" ht="16.149999999999999" customHeight="1" x14ac:dyDescent="0.2">
      <c r="B50" s="365"/>
      <c r="C50" s="366"/>
      <c r="D50" s="367"/>
      <c r="E50" s="287" t="s">
        <v>0</v>
      </c>
      <c r="F50" s="288" t="s">
        <v>1</v>
      </c>
      <c r="G50" s="289" t="s">
        <v>2</v>
      </c>
      <c r="H50" s="287" t="s">
        <v>0</v>
      </c>
      <c r="I50" s="288" t="s">
        <v>1</v>
      </c>
      <c r="J50" s="289" t="s">
        <v>2</v>
      </c>
      <c r="K50" s="290" t="s">
        <v>0</v>
      </c>
      <c r="L50" s="288" t="s">
        <v>1</v>
      </c>
      <c r="M50" s="289" t="s">
        <v>2</v>
      </c>
    </row>
    <row r="51" spans="1:13" s="1" customFormat="1" ht="16.149999999999999" customHeight="1" x14ac:dyDescent="0.2">
      <c r="A51" s="253" t="s">
        <v>324</v>
      </c>
      <c r="B51" s="371" t="s">
        <v>33</v>
      </c>
      <c r="C51" s="359" t="s">
        <v>163</v>
      </c>
      <c r="D51" s="360"/>
      <c r="E51" s="283"/>
      <c r="F51" s="284"/>
      <c r="G51" s="285"/>
      <c r="H51" s="283"/>
      <c r="I51" s="284"/>
      <c r="J51" s="285"/>
      <c r="K51" s="286"/>
      <c r="L51" s="284"/>
      <c r="M51" s="285"/>
    </row>
    <row r="52" spans="1:13" s="1" customFormat="1" ht="16.149999999999999" customHeight="1" x14ac:dyDescent="0.2">
      <c r="A52" s="253"/>
      <c r="B52" s="333"/>
      <c r="C52" s="368" t="s">
        <v>164</v>
      </c>
      <c r="D52" s="369"/>
      <c r="E52" s="268"/>
      <c r="F52" s="246"/>
      <c r="G52" s="263"/>
      <c r="H52" s="268"/>
      <c r="I52" s="246"/>
      <c r="J52" s="263"/>
      <c r="K52" s="265"/>
      <c r="L52" s="246"/>
      <c r="M52" s="263"/>
    </row>
    <row r="53" spans="1:13" s="1" customFormat="1" ht="16.149999999999999" customHeight="1" x14ac:dyDescent="0.2">
      <c r="A53" s="253" t="s">
        <v>276</v>
      </c>
      <c r="B53" s="33" t="s">
        <v>32</v>
      </c>
      <c r="C53" s="368" t="s">
        <v>52</v>
      </c>
      <c r="D53" s="369"/>
      <c r="E53" s="268"/>
      <c r="F53" s="246"/>
      <c r="G53" s="263"/>
      <c r="H53" s="268"/>
      <c r="I53" s="246"/>
      <c r="J53" s="263"/>
      <c r="K53" s="265"/>
      <c r="L53" s="246"/>
      <c r="M53" s="263"/>
    </row>
    <row r="54" spans="1:13" s="1" customFormat="1" ht="16.149999999999999" customHeight="1" x14ac:dyDescent="0.2">
      <c r="A54" s="253">
        <v>90717</v>
      </c>
      <c r="B54" s="247" t="s">
        <v>322</v>
      </c>
      <c r="C54" s="361"/>
      <c r="D54" s="362"/>
      <c r="E54" s="268"/>
      <c r="F54" s="246"/>
      <c r="G54" s="263"/>
      <c r="H54" s="268"/>
      <c r="I54" s="246"/>
      <c r="J54" s="263"/>
      <c r="K54" s="265"/>
      <c r="L54" s="246"/>
      <c r="M54" s="263"/>
    </row>
    <row r="55" spans="1:13" ht="16.149999999999999" customHeight="1" x14ac:dyDescent="0.2">
      <c r="A55" s="253">
        <v>90713</v>
      </c>
      <c r="B55" s="333" t="s">
        <v>5</v>
      </c>
      <c r="C55" s="346" t="s">
        <v>50</v>
      </c>
      <c r="D55" s="229" t="s">
        <v>87</v>
      </c>
      <c r="E55" s="268"/>
      <c r="F55" s="302"/>
      <c r="G55" s="303"/>
      <c r="H55" s="268"/>
      <c r="I55" s="302"/>
      <c r="J55" s="303"/>
      <c r="K55" s="265"/>
      <c r="L55" s="302"/>
      <c r="M55" s="303"/>
    </row>
    <row r="56" spans="1:13" ht="16.149999999999999" customHeight="1" x14ac:dyDescent="0.2">
      <c r="A56" s="253" t="s">
        <v>92</v>
      </c>
      <c r="B56" s="333"/>
      <c r="C56" s="346"/>
      <c r="D56" s="229" t="s">
        <v>88</v>
      </c>
      <c r="E56" s="269"/>
      <c r="F56" s="246"/>
      <c r="G56" s="303"/>
      <c r="H56" s="269"/>
      <c r="I56" s="246"/>
      <c r="J56" s="303"/>
      <c r="K56" s="266"/>
      <c r="L56" s="246"/>
      <c r="M56" s="303"/>
    </row>
    <row r="57" spans="1:13" ht="16.149999999999999" customHeight="1" x14ac:dyDescent="0.2">
      <c r="A57" s="253">
        <v>90723</v>
      </c>
      <c r="B57" s="33" t="s">
        <v>15</v>
      </c>
      <c r="C57" s="346"/>
      <c r="D57" s="229"/>
      <c r="E57" s="268"/>
      <c r="F57" s="302"/>
      <c r="G57" s="303"/>
      <c r="H57" s="268"/>
      <c r="I57" s="302"/>
      <c r="J57" s="303"/>
      <c r="K57" s="265"/>
      <c r="L57" s="302"/>
      <c r="M57" s="303"/>
    </row>
    <row r="58" spans="1:13" ht="16.149999999999999" customHeight="1" x14ac:dyDescent="0.2">
      <c r="A58" s="253" t="s">
        <v>325</v>
      </c>
      <c r="B58" s="34" t="s">
        <v>11</v>
      </c>
      <c r="C58" s="346"/>
      <c r="D58" s="35" t="s">
        <v>98</v>
      </c>
      <c r="E58" s="269"/>
      <c r="F58" s="302"/>
      <c r="G58" s="303"/>
      <c r="H58" s="269"/>
      <c r="I58" s="302"/>
      <c r="J58" s="303"/>
      <c r="K58" s="266"/>
      <c r="L58" s="302"/>
      <c r="M58" s="303"/>
    </row>
    <row r="59" spans="1:13" ht="16.149999999999999" customHeight="1" x14ac:dyDescent="0.2">
      <c r="A59" s="253">
        <v>90744</v>
      </c>
      <c r="B59" s="34" t="s">
        <v>40</v>
      </c>
      <c r="C59" s="346"/>
      <c r="D59" s="35" t="s">
        <v>68</v>
      </c>
      <c r="E59" s="269"/>
      <c r="F59" s="302"/>
      <c r="G59" s="303"/>
      <c r="H59" s="269"/>
      <c r="I59" s="302"/>
      <c r="J59" s="303"/>
      <c r="K59" s="266"/>
      <c r="L59" s="302"/>
      <c r="M59" s="303"/>
    </row>
    <row r="60" spans="1:13" ht="16.149999999999999" customHeight="1" x14ac:dyDescent="0.2">
      <c r="A60" s="253" t="s">
        <v>323</v>
      </c>
      <c r="B60" s="34" t="s">
        <v>39</v>
      </c>
      <c r="C60" s="346"/>
      <c r="D60" s="35" t="s">
        <v>99</v>
      </c>
      <c r="E60" s="269"/>
      <c r="F60" s="302"/>
      <c r="G60" s="303"/>
      <c r="H60" s="269"/>
      <c r="I60" s="302"/>
      <c r="J60" s="303"/>
      <c r="K60" s="266"/>
      <c r="L60" s="302"/>
      <c r="M60" s="303"/>
    </row>
    <row r="61" spans="1:13" s="1" customFormat="1" ht="16.149999999999999" customHeight="1" x14ac:dyDescent="0.2">
      <c r="A61" s="253" t="s">
        <v>148</v>
      </c>
      <c r="B61" s="33" t="s">
        <v>51</v>
      </c>
      <c r="C61" s="346"/>
      <c r="D61" s="229"/>
      <c r="E61" s="268"/>
      <c r="F61" s="302"/>
      <c r="G61" s="263"/>
      <c r="H61" s="268"/>
      <c r="I61" s="302"/>
      <c r="J61" s="263"/>
      <c r="K61" s="265"/>
      <c r="L61" s="302"/>
      <c r="M61" s="263"/>
    </row>
    <row r="62" spans="1:13" s="1" customFormat="1" ht="16.149999999999999" customHeight="1" x14ac:dyDescent="0.2">
      <c r="A62" s="253" t="s">
        <v>101</v>
      </c>
      <c r="B62" s="33" t="s">
        <v>104</v>
      </c>
      <c r="C62" s="346"/>
      <c r="D62" s="229"/>
      <c r="E62" s="268"/>
      <c r="F62" s="246"/>
      <c r="G62" s="263"/>
      <c r="H62" s="268"/>
      <c r="I62" s="246"/>
      <c r="J62" s="263"/>
      <c r="K62" s="265"/>
      <c r="L62" s="246"/>
      <c r="M62" s="263"/>
    </row>
    <row r="63" spans="1:13" ht="16.149999999999999" customHeight="1" x14ac:dyDescent="0.2">
      <c r="A63" s="253" t="s">
        <v>261</v>
      </c>
      <c r="B63" s="357" t="s">
        <v>304</v>
      </c>
      <c r="C63" s="358"/>
      <c r="D63" s="55"/>
      <c r="E63" s="268"/>
      <c r="F63" s="246"/>
      <c r="G63" s="263"/>
      <c r="H63" s="268"/>
      <c r="I63" s="246"/>
      <c r="J63" s="263"/>
      <c r="K63" s="265"/>
      <c r="L63" s="246"/>
      <c r="M63" s="263"/>
    </row>
    <row r="64" spans="1:13" s="1" customFormat="1" ht="16.149999999999999" customHeight="1" x14ac:dyDescent="0.2">
      <c r="A64" s="253">
        <v>90701</v>
      </c>
      <c r="B64" s="247" t="s">
        <v>37</v>
      </c>
      <c r="C64" s="248"/>
      <c r="D64" s="276"/>
      <c r="E64" s="269"/>
      <c r="F64" s="302"/>
      <c r="G64" s="263"/>
      <c r="H64" s="269"/>
      <c r="I64" s="302"/>
      <c r="J64" s="263"/>
      <c r="K64" s="266"/>
      <c r="L64" s="302"/>
      <c r="M64" s="263"/>
    </row>
    <row r="65" spans="1:13" s="1" customFormat="1" ht="16.149999999999999" customHeight="1" x14ac:dyDescent="0.2">
      <c r="A65" s="253" t="s">
        <v>92</v>
      </c>
      <c r="B65" s="277" t="s">
        <v>105</v>
      </c>
      <c r="C65" s="278"/>
      <c r="D65" s="279"/>
      <c r="E65" s="270"/>
      <c r="F65" s="262"/>
      <c r="G65" s="264"/>
      <c r="H65" s="270"/>
      <c r="I65" s="262"/>
      <c r="J65" s="264"/>
      <c r="K65" s="267"/>
      <c r="L65" s="262"/>
      <c r="M65" s="264"/>
    </row>
    <row r="66" spans="1:13" ht="16.149999999999999" customHeight="1" x14ac:dyDescent="0.2">
      <c r="B66" s="272"/>
      <c r="C66" s="272"/>
      <c r="D66" s="272"/>
      <c r="E66" s="272"/>
      <c r="F66" s="272"/>
      <c r="G66" s="272"/>
      <c r="H66" s="272"/>
      <c r="I66" s="272"/>
      <c r="J66" s="272"/>
      <c r="K66" s="272"/>
      <c r="L66" s="272"/>
      <c r="M66" s="272"/>
    </row>
    <row r="67" spans="1:13" ht="16.149999999999999" customHeight="1" x14ac:dyDescent="0.2">
      <c r="B67" s="4" t="s">
        <v>305</v>
      </c>
      <c r="C67" s="3"/>
      <c r="D67" s="3"/>
      <c r="E67" s="3"/>
      <c r="F67" s="3"/>
      <c r="G67" s="3"/>
      <c r="H67" s="3"/>
      <c r="I67" s="3"/>
      <c r="J67" s="4"/>
      <c r="K67" s="3"/>
      <c r="L67" s="3"/>
      <c r="M67" s="3"/>
    </row>
    <row r="68" spans="1:13" ht="16.149999999999999" customHeight="1" x14ac:dyDescent="0.2">
      <c r="B68" s="315" t="s">
        <v>3</v>
      </c>
      <c r="C68" s="342" t="s">
        <v>12</v>
      </c>
      <c r="D68" s="342"/>
      <c r="E68" s="342"/>
      <c r="F68" s="272"/>
      <c r="G68" s="272"/>
      <c r="H68" s="5"/>
      <c r="I68" s="5"/>
    </row>
    <row r="69" spans="1:13" ht="16.149999999999999" customHeight="1" x14ac:dyDescent="0.2">
      <c r="A69" s="253" t="s">
        <v>326</v>
      </c>
      <c r="B69" s="316"/>
      <c r="C69" s="16" t="s">
        <v>0</v>
      </c>
      <c r="D69" s="16" t="s">
        <v>1</v>
      </c>
      <c r="E69" s="16" t="s">
        <v>2</v>
      </c>
      <c r="F69" s="272"/>
      <c r="G69" s="272"/>
    </row>
    <row r="70" spans="1:13" ht="16.149999999999999" customHeight="1" x14ac:dyDescent="0.2">
      <c r="B70" s="39" t="s">
        <v>290</v>
      </c>
      <c r="C70" s="26"/>
      <c r="D70" s="26"/>
      <c r="E70" s="26"/>
      <c r="F70" s="272"/>
      <c r="G70" s="272"/>
    </row>
    <row r="71" spans="1:13" ht="16.149999999999999" customHeight="1" x14ac:dyDescent="0.2">
      <c r="A71" s="2"/>
      <c r="B71" s="40" t="s">
        <v>53</v>
      </c>
      <c r="C71" s="28"/>
      <c r="D71" s="28"/>
      <c r="E71" s="28"/>
      <c r="F71" s="272"/>
      <c r="G71" s="272"/>
    </row>
    <row r="72" spans="1:13" ht="16.149999999999999" customHeight="1" x14ac:dyDescent="0.2">
      <c r="B72" s="40" t="s">
        <v>54</v>
      </c>
      <c r="C72" s="28"/>
      <c r="D72" s="28"/>
      <c r="E72" s="28"/>
      <c r="F72" s="272"/>
      <c r="G72" s="272"/>
    </row>
    <row r="73" spans="1:13" ht="16.149999999999999" customHeight="1" x14ac:dyDescent="0.2">
      <c r="B73" s="40" t="s">
        <v>55</v>
      </c>
      <c r="C73" s="28"/>
      <c r="D73" s="28"/>
      <c r="E73" s="28"/>
      <c r="F73" s="272"/>
      <c r="G73" s="272"/>
    </row>
    <row r="74" spans="1:13" ht="16.149999999999999" customHeight="1" x14ac:dyDescent="0.2">
      <c r="B74" s="40" t="s">
        <v>56</v>
      </c>
      <c r="C74" s="28"/>
      <c r="D74" s="28"/>
      <c r="E74" s="28"/>
      <c r="F74" s="272"/>
      <c r="G74" s="272"/>
    </row>
    <row r="75" spans="1:13" ht="16.149999999999999" customHeight="1" x14ac:dyDescent="0.2">
      <c r="B75" s="40" t="s">
        <v>159</v>
      </c>
      <c r="C75" s="28"/>
      <c r="D75" s="28"/>
      <c r="E75" s="28"/>
      <c r="F75" s="272"/>
      <c r="G75" s="272"/>
    </row>
    <row r="76" spans="1:13" ht="16.149999999999999" customHeight="1" x14ac:dyDescent="0.2">
      <c r="B76" s="41" t="s">
        <v>165</v>
      </c>
      <c r="C76" s="32"/>
      <c r="D76" s="32"/>
      <c r="E76" s="32"/>
      <c r="F76" s="272"/>
      <c r="G76" s="272"/>
    </row>
    <row r="77" spans="1:13" ht="16.149999999999999" customHeight="1" x14ac:dyDescent="0.2">
      <c r="B77" s="4" t="s">
        <v>306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ht="16.149999999999999" customHeight="1" x14ac:dyDescent="0.2">
      <c r="B78" s="315" t="s">
        <v>3</v>
      </c>
      <c r="C78" s="325" t="s">
        <v>12</v>
      </c>
      <c r="D78" s="326"/>
      <c r="E78" s="326"/>
      <c r="F78" s="226" t="s">
        <v>272</v>
      </c>
      <c r="G78" s="272"/>
      <c r="I78" s="5"/>
    </row>
    <row r="79" spans="1:13" ht="16.149999999999999" customHeight="1" x14ac:dyDescent="0.2">
      <c r="B79" s="316"/>
      <c r="C79" s="16" t="s">
        <v>0</v>
      </c>
      <c r="D79" s="16" t="s">
        <v>1</v>
      </c>
      <c r="E79" s="16" t="s">
        <v>2</v>
      </c>
      <c r="F79" s="225" t="s">
        <v>238</v>
      </c>
      <c r="G79" s="272"/>
    </row>
    <row r="80" spans="1:13" ht="16.149999999999999" customHeight="1" x14ac:dyDescent="0.2">
      <c r="A80" s="253" t="s">
        <v>327</v>
      </c>
      <c r="B80" s="39" t="s">
        <v>291</v>
      </c>
      <c r="C80" s="26"/>
      <c r="D80" s="26"/>
      <c r="E80" s="26"/>
      <c r="F80" s="26"/>
      <c r="G80" s="272"/>
    </row>
    <row r="81" spans="1:13" ht="16.149999999999999" customHeight="1" x14ac:dyDescent="0.2">
      <c r="B81" s="40" t="s">
        <v>54</v>
      </c>
      <c r="C81" s="28"/>
      <c r="D81" s="28"/>
      <c r="E81" s="28"/>
      <c r="F81" s="28"/>
      <c r="G81" s="272"/>
    </row>
    <row r="82" spans="1:13" ht="16.149999999999999" customHeight="1" x14ac:dyDescent="0.2">
      <c r="B82" s="40" t="s">
        <v>55</v>
      </c>
      <c r="C82" s="28"/>
      <c r="D82" s="28"/>
      <c r="E82" s="28"/>
      <c r="F82" s="28"/>
      <c r="G82" s="272"/>
    </row>
    <row r="83" spans="1:13" ht="16.149999999999999" customHeight="1" x14ac:dyDescent="0.2">
      <c r="B83" s="40" t="s">
        <v>56</v>
      </c>
      <c r="C83" s="28"/>
      <c r="D83" s="28"/>
      <c r="E83" s="28"/>
      <c r="F83" s="28"/>
      <c r="G83" s="272"/>
    </row>
    <row r="84" spans="1:13" ht="16.149999999999999" customHeight="1" x14ac:dyDescent="0.2">
      <c r="B84" s="41" t="s">
        <v>292</v>
      </c>
      <c r="C84" s="32"/>
      <c r="D84" s="32"/>
      <c r="E84" s="32"/>
      <c r="F84" s="32"/>
      <c r="G84" s="272"/>
    </row>
    <row r="85" spans="1:13" ht="16.149999999999999" customHeight="1" x14ac:dyDescent="0.2">
      <c r="B85" s="4" t="s">
        <v>333</v>
      </c>
      <c r="C85" s="3"/>
      <c r="D85" s="3"/>
      <c r="E85" s="3"/>
      <c r="F85" s="1"/>
      <c r="G85" s="1"/>
      <c r="H85" s="1"/>
      <c r="I85" s="1"/>
      <c r="J85" s="1"/>
      <c r="K85" s="1"/>
      <c r="L85" s="1"/>
      <c r="M85" s="1"/>
    </row>
    <row r="86" spans="1:13" ht="16.149999999999999" customHeight="1" x14ac:dyDescent="0.2">
      <c r="B86" s="315" t="s">
        <v>3</v>
      </c>
      <c r="C86" s="325" t="s">
        <v>10</v>
      </c>
      <c r="D86" s="326"/>
      <c r="E86" s="327"/>
      <c r="F86" s="5"/>
    </row>
    <row r="87" spans="1:13" ht="16.149999999999999" customHeight="1" x14ac:dyDescent="0.2">
      <c r="B87" s="316"/>
      <c r="C87" s="16" t="s">
        <v>7</v>
      </c>
      <c r="D87" s="16" t="s">
        <v>6</v>
      </c>
      <c r="E87" s="16" t="s">
        <v>2</v>
      </c>
      <c r="F87" s="6"/>
    </row>
    <row r="88" spans="1:13" ht="16.149999999999999" customHeight="1" x14ac:dyDescent="0.2">
      <c r="B88" s="39" t="s">
        <v>290</v>
      </c>
      <c r="C88" s="26"/>
      <c r="D88" s="26"/>
      <c r="E88" s="26"/>
      <c r="F88" s="1"/>
    </row>
    <row r="89" spans="1:13" ht="16.149999999999999" customHeight="1" x14ac:dyDescent="0.2">
      <c r="A89" s="253" t="s">
        <v>277</v>
      </c>
      <c r="B89" s="39" t="s">
        <v>53</v>
      </c>
      <c r="C89" s="26"/>
      <c r="D89" s="26"/>
      <c r="E89" s="26"/>
      <c r="F89" s="1"/>
    </row>
    <row r="90" spans="1:13" ht="16.149999999999999" customHeight="1" x14ac:dyDescent="0.2">
      <c r="B90" s="40" t="s">
        <v>54</v>
      </c>
      <c r="C90" s="28"/>
      <c r="D90" s="28"/>
      <c r="E90" s="28"/>
      <c r="F90" s="1"/>
    </row>
    <row r="91" spans="1:13" ht="16.149999999999999" customHeight="1" x14ac:dyDescent="0.2">
      <c r="B91" s="40" t="s">
        <v>55</v>
      </c>
      <c r="C91" s="28"/>
      <c r="D91" s="28"/>
      <c r="E91" s="28"/>
      <c r="F91" s="1"/>
    </row>
    <row r="92" spans="1:13" ht="16.149999999999999" customHeight="1" x14ac:dyDescent="0.2">
      <c r="B92" s="40" t="s">
        <v>57</v>
      </c>
      <c r="C92" s="28"/>
      <c r="D92" s="28"/>
      <c r="E92" s="28"/>
      <c r="F92" s="1"/>
    </row>
    <row r="93" spans="1:13" ht="16.149999999999999" customHeight="1" x14ac:dyDescent="0.2">
      <c r="B93" s="41" t="s">
        <v>58</v>
      </c>
      <c r="C93" s="32"/>
      <c r="D93" s="32"/>
      <c r="E93" s="32"/>
      <c r="F93" s="1"/>
    </row>
    <row r="94" spans="1:13" ht="16.149999999999999" customHeight="1" x14ac:dyDescent="0.2">
      <c r="B94" s="59" t="s">
        <v>199</v>
      </c>
      <c r="C94" s="60"/>
      <c r="D94" s="158"/>
      <c r="E94" s="158"/>
      <c r="F94" s="1"/>
      <c r="K94" s="1"/>
    </row>
    <row r="95" spans="1:13" ht="16.149999999999999" customHeight="1" x14ac:dyDescent="0.2">
      <c r="B95" s="1"/>
      <c r="C95" s="6"/>
      <c r="D95" s="6"/>
      <c r="E95" s="6"/>
      <c r="F95" s="6"/>
      <c r="G95" s="6"/>
      <c r="H95" s="6"/>
    </row>
    <row r="96" spans="1:13" ht="16.149999999999999" customHeight="1" x14ac:dyDescent="0.2">
      <c r="B96" s="4" t="s">
        <v>307</v>
      </c>
      <c r="C96" s="3"/>
      <c r="D96" s="3"/>
      <c r="E96" s="3"/>
      <c r="F96" s="272"/>
      <c r="G96" s="272"/>
      <c r="H96" s="272"/>
      <c r="I96" s="272"/>
      <c r="J96" s="272"/>
      <c r="K96" s="271"/>
      <c r="L96" s="271"/>
      <c r="M96" s="1"/>
    </row>
    <row r="97" spans="1:11" ht="16.149999999999999" customHeight="1" x14ac:dyDescent="0.2">
      <c r="B97" s="370" t="s">
        <v>3</v>
      </c>
      <c r="C97" s="370"/>
      <c r="D97" s="19" t="s">
        <v>60</v>
      </c>
      <c r="E97" s="271"/>
      <c r="F97" s="272"/>
      <c r="G97" s="272"/>
      <c r="H97" s="272"/>
      <c r="I97" s="272"/>
      <c r="J97" s="272"/>
      <c r="K97" s="5"/>
    </row>
    <row r="98" spans="1:11" ht="16.149999999999999" customHeight="1" x14ac:dyDescent="0.2">
      <c r="A98" s="253" t="s">
        <v>278</v>
      </c>
      <c r="B98" s="44" t="s">
        <v>106</v>
      </c>
      <c r="C98" s="323" t="s">
        <v>167</v>
      </c>
      <c r="D98" s="26"/>
      <c r="E98" s="271"/>
      <c r="F98" s="272"/>
      <c r="G98" s="272"/>
      <c r="H98" s="272"/>
      <c r="I98" s="272"/>
      <c r="J98" s="272"/>
      <c r="K98" s="1"/>
    </row>
    <row r="99" spans="1:11" ht="16.149999999999999" customHeight="1" x14ac:dyDescent="0.2">
      <c r="B99" s="33" t="s">
        <v>54</v>
      </c>
      <c r="C99" s="324"/>
      <c r="D99" s="28"/>
      <c r="E99" s="271"/>
      <c r="F99" s="272"/>
      <c r="G99" s="272"/>
      <c r="H99" s="272"/>
      <c r="I99" s="272"/>
      <c r="J99" s="272"/>
      <c r="K99" s="1"/>
    </row>
    <row r="100" spans="1:11" ht="16.149999999999999" customHeight="1" x14ac:dyDescent="0.2">
      <c r="B100" s="33" t="s">
        <v>55</v>
      </c>
      <c r="C100" s="324"/>
      <c r="D100" s="28"/>
      <c r="E100" s="271"/>
      <c r="F100" s="272"/>
      <c r="G100" s="272"/>
      <c r="H100" s="272"/>
      <c r="I100" s="272"/>
      <c r="J100" s="272"/>
      <c r="K100" s="1"/>
    </row>
    <row r="101" spans="1:11" ht="16.149999999999999" customHeight="1" x14ac:dyDescent="0.2">
      <c r="B101" s="33" t="s">
        <v>56</v>
      </c>
      <c r="C101" s="324"/>
      <c r="D101" s="28"/>
      <c r="E101" s="271"/>
      <c r="F101" s="272"/>
      <c r="G101" s="272"/>
      <c r="H101" s="272"/>
      <c r="I101" s="272"/>
      <c r="J101" s="272"/>
      <c r="K101" s="1"/>
    </row>
    <row r="102" spans="1:11" ht="16.149999999999999" customHeight="1" x14ac:dyDescent="0.2">
      <c r="B102" s="33" t="s">
        <v>159</v>
      </c>
      <c r="C102" s="324"/>
      <c r="D102" s="28"/>
      <c r="E102" s="271"/>
      <c r="F102" s="272"/>
      <c r="G102" s="272"/>
      <c r="H102" s="272"/>
      <c r="I102" s="272"/>
      <c r="J102" s="272"/>
      <c r="K102" s="1"/>
    </row>
    <row r="103" spans="1:11" ht="16.149999999999999" customHeight="1" x14ac:dyDescent="0.2">
      <c r="B103" s="33" t="s">
        <v>106</v>
      </c>
      <c r="C103" s="324" t="s">
        <v>168</v>
      </c>
      <c r="D103" s="28"/>
      <c r="E103" s="271"/>
      <c r="F103" s="272"/>
      <c r="G103" s="272"/>
      <c r="H103" s="272"/>
      <c r="I103" s="272"/>
      <c r="J103" s="272"/>
      <c r="K103" s="1"/>
    </row>
    <row r="104" spans="1:11" ht="16.149999999999999" customHeight="1" x14ac:dyDescent="0.2">
      <c r="B104" s="33" t="s">
        <v>54</v>
      </c>
      <c r="C104" s="324"/>
      <c r="D104" s="28"/>
      <c r="E104" s="271"/>
      <c r="F104" s="272"/>
      <c r="G104" s="272"/>
      <c r="H104" s="272"/>
      <c r="I104" s="272"/>
      <c r="J104" s="272"/>
      <c r="K104" s="1"/>
    </row>
    <row r="105" spans="1:11" ht="16.149999999999999" customHeight="1" x14ac:dyDescent="0.2">
      <c r="B105" s="33" t="s">
        <v>55</v>
      </c>
      <c r="C105" s="324"/>
      <c r="D105" s="28"/>
      <c r="E105" s="271"/>
      <c r="F105" s="272"/>
      <c r="G105" s="272"/>
      <c r="H105" s="272"/>
      <c r="I105" s="272"/>
      <c r="J105" s="272"/>
      <c r="K105" s="1"/>
    </row>
    <row r="106" spans="1:11" ht="16.149999999999999" customHeight="1" x14ac:dyDescent="0.2">
      <c r="B106" s="33" t="s">
        <v>56</v>
      </c>
      <c r="C106" s="324"/>
      <c r="D106" s="28"/>
      <c r="E106" s="271"/>
      <c r="F106" s="272"/>
      <c r="G106" s="272"/>
      <c r="H106" s="272"/>
      <c r="I106" s="272"/>
      <c r="J106" s="272"/>
      <c r="K106" s="1"/>
    </row>
    <row r="107" spans="1:11" ht="16.149999999999999" customHeight="1" x14ac:dyDescent="0.2">
      <c r="B107" s="33" t="s">
        <v>159</v>
      </c>
      <c r="C107" s="324"/>
      <c r="D107" s="28"/>
      <c r="E107" s="271"/>
      <c r="F107" s="272"/>
      <c r="G107" s="272"/>
      <c r="H107" s="272"/>
      <c r="I107" s="272"/>
      <c r="J107" s="272"/>
      <c r="K107" s="1"/>
    </row>
    <row r="108" spans="1:11" ht="16.149999999999999" customHeight="1" thickBot="1" x14ac:dyDescent="0.25">
      <c r="B108" s="251" t="s">
        <v>160</v>
      </c>
      <c r="C108" s="252"/>
      <c r="D108" s="58"/>
      <c r="E108" s="271"/>
      <c r="F108" s="272"/>
      <c r="G108" s="272"/>
      <c r="H108" s="272"/>
      <c r="I108" s="272"/>
      <c r="J108" s="272"/>
      <c r="K108" s="1"/>
    </row>
    <row r="109" spans="1:11" ht="16.149999999999999" customHeight="1" thickTop="1" x14ac:dyDescent="0.2">
      <c r="A109" s="253" t="s">
        <v>182</v>
      </c>
      <c r="B109" s="51" t="s">
        <v>107</v>
      </c>
      <c r="C109" s="52"/>
      <c r="D109" s="53"/>
      <c r="E109" s="273" t="s">
        <v>152</v>
      </c>
      <c r="G109" s="272"/>
      <c r="H109" s="272"/>
      <c r="I109" s="272"/>
      <c r="J109" s="272"/>
      <c r="K109" s="1"/>
    </row>
    <row r="110" spans="1:11" ht="16.149999999999999" customHeight="1" x14ac:dyDescent="0.2">
      <c r="A110" s="253" t="s">
        <v>183</v>
      </c>
      <c r="B110" s="54" t="s">
        <v>108</v>
      </c>
      <c r="C110" s="55"/>
      <c r="D110" s="28"/>
      <c r="E110" s="273" t="s">
        <v>152</v>
      </c>
      <c r="F110" s="272"/>
      <c r="G110" s="272"/>
      <c r="H110" s="272"/>
      <c r="I110" s="272"/>
      <c r="J110" s="272"/>
      <c r="K110" s="1"/>
    </row>
    <row r="111" spans="1:11" ht="16.149999999999999" customHeight="1" x14ac:dyDescent="0.2">
      <c r="A111" s="253" t="s">
        <v>184</v>
      </c>
      <c r="B111" s="54" t="s">
        <v>35</v>
      </c>
      <c r="C111" s="55"/>
      <c r="D111" s="28"/>
      <c r="E111" s="273" t="s">
        <v>152</v>
      </c>
      <c r="F111" s="272"/>
      <c r="G111" s="272"/>
      <c r="H111" s="272"/>
      <c r="I111" s="272"/>
      <c r="J111" s="272"/>
      <c r="K111" s="1"/>
    </row>
    <row r="112" spans="1:11" ht="16.149999999999999" customHeight="1" x14ac:dyDescent="0.2">
      <c r="A112" s="253" t="s">
        <v>185</v>
      </c>
      <c r="B112" s="54" t="s">
        <v>169</v>
      </c>
      <c r="C112" s="55"/>
      <c r="D112" s="28"/>
      <c r="E112" s="273" t="s">
        <v>152</v>
      </c>
      <c r="F112" s="272"/>
      <c r="G112" s="272"/>
      <c r="H112" s="272"/>
      <c r="I112" s="272"/>
      <c r="J112" s="272"/>
      <c r="K112" s="1"/>
    </row>
    <row r="113" spans="1:11" ht="16.149999999999999" customHeight="1" x14ac:dyDescent="0.2">
      <c r="A113" s="253" t="s">
        <v>186</v>
      </c>
      <c r="B113" s="54" t="s">
        <v>170</v>
      </c>
      <c r="C113" s="55"/>
      <c r="D113" s="28"/>
      <c r="E113" s="273" t="s">
        <v>152</v>
      </c>
      <c r="F113" s="272"/>
      <c r="G113" s="272"/>
      <c r="H113" s="272"/>
      <c r="I113" s="272"/>
      <c r="J113" s="272"/>
      <c r="K113" s="1"/>
    </row>
    <row r="114" spans="1:11" ht="16.149999999999999" customHeight="1" x14ac:dyDescent="0.2">
      <c r="A114" s="253" t="s">
        <v>187</v>
      </c>
      <c r="B114" s="54" t="s">
        <v>171</v>
      </c>
      <c r="C114" s="55"/>
      <c r="D114" s="28"/>
      <c r="E114" s="273" t="s">
        <v>152</v>
      </c>
      <c r="F114" s="272"/>
      <c r="G114" s="272"/>
      <c r="H114" s="272"/>
      <c r="I114" s="272"/>
      <c r="J114" s="272"/>
      <c r="K114" s="1"/>
    </row>
    <row r="115" spans="1:11" ht="16.149999999999999" customHeight="1" x14ac:dyDescent="0.2">
      <c r="A115" s="253" t="s">
        <v>188</v>
      </c>
      <c r="B115" s="54" t="s">
        <v>172</v>
      </c>
      <c r="C115" s="55"/>
      <c r="D115" s="28"/>
      <c r="E115" s="273" t="s">
        <v>152</v>
      </c>
      <c r="F115" s="272"/>
      <c r="G115" s="272"/>
      <c r="H115" s="272"/>
      <c r="I115" s="272"/>
      <c r="J115" s="272"/>
      <c r="K115" s="1"/>
    </row>
    <row r="116" spans="1:11" ht="16.149999999999999" customHeight="1" x14ac:dyDescent="0.2">
      <c r="A116" s="253" t="s">
        <v>189</v>
      </c>
      <c r="B116" s="54" t="s">
        <v>173</v>
      </c>
      <c r="C116" s="55"/>
      <c r="D116" s="28"/>
      <c r="E116" s="273" t="s">
        <v>152</v>
      </c>
      <c r="F116" s="272"/>
      <c r="G116" s="272"/>
      <c r="H116" s="272"/>
      <c r="I116" s="272"/>
      <c r="J116" s="272"/>
      <c r="K116" s="1"/>
    </row>
    <row r="117" spans="1:11" ht="16.149999999999999" customHeight="1" x14ac:dyDescent="0.2">
      <c r="A117" s="253" t="s">
        <v>190</v>
      </c>
      <c r="B117" s="54" t="s">
        <v>174</v>
      </c>
      <c r="C117" s="55"/>
      <c r="D117" s="28"/>
      <c r="E117" s="273" t="s">
        <v>152</v>
      </c>
      <c r="F117" s="272"/>
      <c r="G117" s="272"/>
      <c r="H117" s="272"/>
      <c r="I117" s="272"/>
      <c r="J117" s="272"/>
      <c r="K117" s="1"/>
    </row>
    <row r="118" spans="1:11" ht="16.149999999999999" customHeight="1" x14ac:dyDescent="0.2">
      <c r="A118" s="253" t="s">
        <v>191</v>
      </c>
      <c r="B118" s="54" t="s">
        <v>175</v>
      </c>
      <c r="C118" s="55"/>
      <c r="D118" s="28"/>
      <c r="E118" s="273" t="s">
        <v>152</v>
      </c>
      <c r="F118" s="272"/>
      <c r="G118" s="272"/>
      <c r="H118" s="272"/>
      <c r="I118" s="272"/>
      <c r="J118" s="272"/>
      <c r="K118" s="1"/>
    </row>
    <row r="119" spans="1:11" ht="16.149999999999999" customHeight="1" x14ac:dyDescent="0.2">
      <c r="A119" s="253" t="s">
        <v>192</v>
      </c>
      <c r="B119" s="54" t="s">
        <v>176</v>
      </c>
      <c r="C119" s="55"/>
      <c r="D119" s="28"/>
      <c r="E119" s="273" t="s">
        <v>152</v>
      </c>
      <c r="F119" s="272"/>
      <c r="G119" s="272"/>
      <c r="H119" s="272"/>
      <c r="I119" s="272"/>
      <c r="J119" s="272"/>
      <c r="K119" s="1"/>
    </row>
    <row r="120" spans="1:11" ht="16.149999999999999" customHeight="1" x14ac:dyDescent="0.2">
      <c r="A120" s="253" t="s">
        <v>193</v>
      </c>
      <c r="B120" s="54" t="s">
        <v>177</v>
      </c>
      <c r="C120" s="55"/>
      <c r="D120" s="28"/>
      <c r="E120" s="273" t="s">
        <v>152</v>
      </c>
      <c r="F120" s="272"/>
      <c r="G120" s="272"/>
      <c r="H120" s="272"/>
      <c r="I120" s="272"/>
      <c r="J120" s="272"/>
      <c r="K120" s="1"/>
    </row>
    <row r="121" spans="1:11" ht="16.149999999999999" customHeight="1" x14ac:dyDescent="0.2">
      <c r="A121" s="253" t="s">
        <v>194</v>
      </c>
      <c r="B121" s="54" t="s">
        <v>178</v>
      </c>
      <c r="C121" s="55"/>
      <c r="D121" s="28"/>
      <c r="E121" s="273" t="s">
        <v>152</v>
      </c>
      <c r="F121" s="272"/>
      <c r="G121" s="272"/>
      <c r="H121" s="272"/>
      <c r="I121" s="272"/>
      <c r="J121" s="272"/>
      <c r="K121" s="1"/>
    </row>
    <row r="122" spans="1:11" ht="16.149999999999999" customHeight="1" x14ac:dyDescent="0.2">
      <c r="A122" s="253" t="s">
        <v>195</v>
      </c>
      <c r="B122" s="54" t="s">
        <v>179</v>
      </c>
      <c r="C122" s="55"/>
      <c r="D122" s="28"/>
      <c r="E122" s="273" t="s">
        <v>152</v>
      </c>
      <c r="F122" s="272"/>
      <c r="G122" s="272"/>
      <c r="H122" s="272"/>
      <c r="I122" s="272"/>
      <c r="J122" s="272"/>
      <c r="K122" s="1"/>
    </row>
    <row r="123" spans="1:11" ht="16.149999999999999" customHeight="1" x14ac:dyDescent="0.2">
      <c r="A123" s="253" t="s">
        <v>196</v>
      </c>
      <c r="B123" s="54" t="s">
        <v>180</v>
      </c>
      <c r="C123" s="55"/>
      <c r="D123" s="28"/>
      <c r="E123" s="273" t="s">
        <v>152</v>
      </c>
      <c r="F123" s="272"/>
      <c r="G123" s="272"/>
      <c r="H123" s="272"/>
      <c r="I123" s="272"/>
      <c r="J123" s="272"/>
      <c r="K123" s="1"/>
    </row>
    <row r="124" spans="1:11" ht="16.149999999999999" customHeight="1" x14ac:dyDescent="0.2">
      <c r="A124" s="253" t="s">
        <v>197</v>
      </c>
      <c r="B124" s="54" t="s">
        <v>181</v>
      </c>
      <c r="C124" s="55"/>
      <c r="D124" s="28"/>
      <c r="E124" s="273" t="s">
        <v>152</v>
      </c>
      <c r="F124" s="272"/>
      <c r="G124" s="272"/>
      <c r="H124" s="272"/>
      <c r="I124" s="272"/>
      <c r="J124" s="272"/>
      <c r="K124" s="1"/>
    </row>
    <row r="125" spans="1:11" ht="16.149999999999999" customHeight="1" x14ac:dyDescent="0.2">
      <c r="A125" s="253" t="s">
        <v>198</v>
      </c>
      <c r="B125" s="54" t="s">
        <v>36</v>
      </c>
      <c r="C125" s="55"/>
      <c r="D125" s="28"/>
      <c r="E125" s="273" t="s">
        <v>152</v>
      </c>
      <c r="H125" s="271"/>
      <c r="I125" s="271"/>
      <c r="J125" s="271"/>
      <c r="K125" s="1"/>
    </row>
    <row r="126" spans="1:11" ht="16.149999999999999" customHeight="1" x14ac:dyDescent="0.2">
      <c r="A126" s="253" t="s">
        <v>263</v>
      </c>
      <c r="B126" s="54" t="s">
        <v>253</v>
      </c>
      <c r="C126" s="55"/>
      <c r="D126" s="28"/>
      <c r="E126" s="273" t="s">
        <v>152</v>
      </c>
      <c r="F126" s="1"/>
      <c r="G126" s="1"/>
      <c r="H126" s="1"/>
    </row>
    <row r="127" spans="1:11" ht="16.149999999999999" customHeight="1" x14ac:dyDescent="0.2">
      <c r="A127" s="253" t="s">
        <v>268</v>
      </c>
      <c r="B127" s="56" t="s">
        <v>255</v>
      </c>
      <c r="C127" s="57"/>
      <c r="D127" s="32"/>
      <c r="E127" s="273" t="s">
        <v>152</v>
      </c>
      <c r="F127" s="1"/>
      <c r="G127" s="1"/>
      <c r="H127" s="1"/>
    </row>
    <row r="128" spans="1:11" ht="16.149999999999999" customHeight="1" x14ac:dyDescent="0.2">
      <c r="B128" s="274" t="s">
        <v>151</v>
      </c>
      <c r="D128" s="250"/>
      <c r="F128" s="1"/>
      <c r="G128" s="1"/>
      <c r="H128" s="1"/>
    </row>
    <row r="129" spans="1:8" ht="16.149999999999999" customHeight="1" x14ac:dyDescent="0.2">
      <c r="B129" s="274"/>
      <c r="D129" s="250"/>
      <c r="F129" s="1"/>
      <c r="G129" s="1"/>
      <c r="H129" s="1"/>
    </row>
    <row r="130" spans="1:8" ht="16.149999999999999" customHeight="1" x14ac:dyDescent="0.2">
      <c r="B130" s="5" t="s">
        <v>308</v>
      </c>
    </row>
    <row r="131" spans="1:8" ht="16.149999999999999" customHeight="1" x14ac:dyDescent="0.2">
      <c r="A131" s="253" t="s">
        <v>150</v>
      </c>
      <c r="B131" s="20" t="s">
        <v>111</v>
      </c>
      <c r="C131" s="21" t="s">
        <v>8</v>
      </c>
    </row>
    <row r="132" spans="1:8" ht="16.149999999999999" customHeight="1" x14ac:dyDescent="0.2">
      <c r="B132" s="39" t="s">
        <v>106</v>
      </c>
      <c r="C132" s="26"/>
    </row>
    <row r="133" spans="1:8" ht="16.149999999999999" customHeight="1" x14ac:dyDescent="0.2">
      <c r="B133" s="40" t="s">
        <v>54</v>
      </c>
      <c r="C133" s="28"/>
    </row>
    <row r="134" spans="1:8" ht="16.149999999999999" customHeight="1" x14ac:dyDescent="0.2">
      <c r="B134" s="40" t="s">
        <v>55</v>
      </c>
      <c r="C134" s="28"/>
    </row>
    <row r="135" spans="1:8" ht="16.149999999999999" customHeight="1" x14ac:dyDescent="0.2">
      <c r="B135" s="40" t="s">
        <v>56</v>
      </c>
      <c r="C135" s="28"/>
    </row>
    <row r="136" spans="1:8" ht="16.149999999999999" customHeight="1" thickBot="1" x14ac:dyDescent="0.25">
      <c r="B136" s="61" t="s">
        <v>264</v>
      </c>
      <c r="C136" s="58"/>
    </row>
    <row r="137" spans="1:8" ht="16.149999999999999" customHeight="1" thickTop="1" x14ac:dyDescent="0.2">
      <c r="B137" s="62" t="s">
        <v>35</v>
      </c>
      <c r="C137" s="53"/>
      <c r="D137" s="22" t="s">
        <v>152</v>
      </c>
    </row>
    <row r="138" spans="1:8" ht="16.149999999999999" customHeight="1" x14ac:dyDescent="0.2">
      <c r="B138" s="63" t="s">
        <v>153</v>
      </c>
      <c r="C138" s="28"/>
      <c r="D138" s="22" t="s">
        <v>152</v>
      </c>
    </row>
    <row r="139" spans="1:8" ht="16.149999999999999" customHeight="1" x14ac:dyDescent="0.2">
      <c r="B139" s="63" t="s">
        <v>154</v>
      </c>
      <c r="C139" s="28"/>
      <c r="D139" s="22" t="s">
        <v>152</v>
      </c>
    </row>
    <row r="140" spans="1:8" ht="16.149999999999999" customHeight="1" x14ac:dyDescent="0.2">
      <c r="B140" s="63" t="s">
        <v>155</v>
      </c>
      <c r="C140" s="28"/>
      <c r="D140" s="22" t="s">
        <v>152</v>
      </c>
    </row>
    <row r="141" spans="1:8" ht="16.149999999999999" customHeight="1" x14ac:dyDescent="0.2">
      <c r="B141" s="63" t="s">
        <v>156</v>
      </c>
      <c r="C141" s="28"/>
      <c r="D141" s="22" t="s">
        <v>152</v>
      </c>
    </row>
    <row r="142" spans="1:8" ht="16.149999999999999" customHeight="1" x14ac:dyDescent="0.2">
      <c r="B142" s="63" t="s">
        <v>200</v>
      </c>
      <c r="C142" s="28"/>
      <c r="D142" s="22" t="s">
        <v>152</v>
      </c>
    </row>
    <row r="143" spans="1:8" ht="16.149999999999999" customHeight="1" x14ac:dyDescent="0.2">
      <c r="B143" s="63" t="s">
        <v>201</v>
      </c>
      <c r="C143" s="28"/>
      <c r="D143" s="22" t="s">
        <v>152</v>
      </c>
    </row>
    <row r="144" spans="1:8" ht="16.149999999999999" customHeight="1" x14ac:dyDescent="0.2">
      <c r="B144" s="64" t="s">
        <v>64</v>
      </c>
      <c r="C144" s="32"/>
      <c r="D144" s="22" t="s">
        <v>152</v>
      </c>
    </row>
    <row r="145" spans="1:13" ht="16.149999999999999" customHeight="1" x14ac:dyDescent="0.2">
      <c r="B145" s="23" t="s">
        <v>151</v>
      </c>
      <c r="C145" s="593"/>
    </row>
    <row r="146" spans="1:13" ht="16.149999999999999" customHeight="1" x14ac:dyDescent="0.2">
      <c r="B146" s="23"/>
    </row>
    <row r="147" spans="1:13" ht="16.149999999999999" customHeight="1" x14ac:dyDescent="0.2">
      <c r="B147" s="4" t="s">
        <v>309</v>
      </c>
      <c r="C147" s="3"/>
      <c r="D147" s="3"/>
      <c r="E147" s="3"/>
      <c r="F147" s="3"/>
      <c r="G147" s="3"/>
      <c r="H147" s="3"/>
      <c r="I147" s="3"/>
      <c r="J147" s="271"/>
      <c r="K147" s="3"/>
      <c r="L147" s="3"/>
      <c r="M147" s="3"/>
    </row>
    <row r="148" spans="1:13" ht="16.149999999999999" customHeight="1" x14ac:dyDescent="0.2">
      <c r="B148" s="317" t="s">
        <v>24</v>
      </c>
      <c r="C148" s="322" t="s">
        <v>10</v>
      </c>
      <c r="D148" s="322"/>
      <c r="E148" s="322"/>
      <c r="F148" s="322"/>
      <c r="G148" s="272"/>
      <c r="H148" s="272"/>
      <c r="I148" s="272"/>
      <c r="J148" s="272"/>
      <c r="K148" s="272"/>
    </row>
    <row r="149" spans="1:13" ht="16.149999999999999" customHeight="1" x14ac:dyDescent="0.2">
      <c r="B149" s="318"/>
      <c r="C149" s="18" t="s">
        <v>26</v>
      </c>
      <c r="D149" s="18" t="s">
        <v>20</v>
      </c>
      <c r="E149" s="18" t="s">
        <v>27</v>
      </c>
      <c r="F149" s="18" t="s">
        <v>149</v>
      </c>
      <c r="G149" s="272"/>
      <c r="H149" s="272"/>
      <c r="I149" s="272"/>
      <c r="J149" s="272"/>
      <c r="K149" s="272"/>
    </row>
    <row r="150" spans="1:13" ht="16.149999999999999" customHeight="1" x14ac:dyDescent="0.2">
      <c r="A150" s="253" t="s">
        <v>267</v>
      </c>
      <c r="B150" s="24" t="s">
        <v>109</v>
      </c>
      <c r="C150" s="25"/>
      <c r="D150" s="25"/>
      <c r="E150" s="25"/>
      <c r="F150" s="291"/>
      <c r="G150" s="272"/>
      <c r="H150" s="272"/>
      <c r="I150" s="272"/>
      <c r="J150" s="272"/>
      <c r="K150" s="272"/>
    </row>
    <row r="151" spans="1:13" ht="16.149999999999999" customHeight="1" x14ac:dyDescent="0.2">
      <c r="A151" s="253" t="s">
        <v>267</v>
      </c>
      <c r="B151" s="45" t="s">
        <v>61</v>
      </c>
      <c r="C151" s="46"/>
      <c r="D151" s="46"/>
      <c r="E151" s="46"/>
      <c r="F151" s="292"/>
      <c r="G151" s="3"/>
      <c r="H151" s="271"/>
      <c r="I151" s="3"/>
      <c r="J151" s="3"/>
      <c r="K151" s="3"/>
    </row>
    <row r="152" spans="1:13" ht="16.149999999999999" customHeight="1" x14ac:dyDescent="0.2">
      <c r="A152" s="253" t="s">
        <v>267</v>
      </c>
      <c r="B152" s="45" t="s">
        <v>62</v>
      </c>
      <c r="C152" s="46"/>
      <c r="D152" s="46"/>
      <c r="E152" s="46"/>
      <c r="F152" s="292"/>
      <c r="G152" s="3"/>
      <c r="H152" s="271"/>
      <c r="I152" s="3"/>
      <c r="J152" s="3"/>
      <c r="K152" s="3"/>
    </row>
    <row r="153" spans="1:13" ht="16.149999999999999" customHeight="1" x14ac:dyDescent="0.2">
      <c r="A153" s="253" t="s">
        <v>267</v>
      </c>
      <c r="B153" s="45" t="s">
        <v>63</v>
      </c>
      <c r="C153" s="46"/>
      <c r="D153" s="46"/>
      <c r="E153" s="46"/>
      <c r="F153" s="292"/>
      <c r="G153" s="3"/>
      <c r="H153" s="271"/>
      <c r="I153" s="3"/>
      <c r="J153" s="3"/>
      <c r="K153" s="3"/>
    </row>
    <row r="154" spans="1:13" ht="16.149999999999999" customHeight="1" thickBot="1" x14ac:dyDescent="0.25">
      <c r="A154" s="253" t="s">
        <v>267</v>
      </c>
      <c r="B154" s="47" t="s">
        <v>166</v>
      </c>
      <c r="C154" s="48"/>
      <c r="D154" s="48"/>
      <c r="E154" s="48"/>
      <c r="F154" s="293"/>
      <c r="G154" s="3"/>
      <c r="H154" s="271"/>
      <c r="I154" s="3"/>
      <c r="J154" s="3"/>
      <c r="K154" s="3"/>
    </row>
    <row r="155" spans="1:13" ht="16.149999999999999" customHeight="1" thickTop="1" x14ac:dyDescent="0.2">
      <c r="B155" s="49" t="s">
        <v>107</v>
      </c>
      <c r="C155" s="50"/>
      <c r="D155" s="50"/>
      <c r="E155" s="50"/>
      <c r="F155" s="594"/>
      <c r="G155" s="273" t="s">
        <v>152</v>
      </c>
      <c r="H155" s="271"/>
      <c r="I155" s="3"/>
      <c r="J155" s="3"/>
      <c r="K155" s="3"/>
    </row>
    <row r="156" spans="1:13" ht="16.149999999999999" customHeight="1" x14ac:dyDescent="0.2">
      <c r="A156" s="253" t="s">
        <v>267</v>
      </c>
      <c r="B156" s="294" t="s">
        <v>38</v>
      </c>
      <c r="C156" s="46"/>
      <c r="D156" s="46"/>
      <c r="E156" s="46"/>
      <c r="F156" s="46"/>
      <c r="G156" s="273" t="s">
        <v>152</v>
      </c>
      <c r="H156" s="271"/>
      <c r="I156" s="3"/>
      <c r="J156" s="3"/>
      <c r="K156" s="3"/>
    </row>
    <row r="157" spans="1:13" ht="16.149999999999999" customHeight="1" x14ac:dyDescent="0.2">
      <c r="A157" s="253" t="s">
        <v>267</v>
      </c>
      <c r="B157" s="294" t="s">
        <v>64</v>
      </c>
      <c r="C157" s="46"/>
      <c r="D157" s="46"/>
      <c r="E157" s="46"/>
      <c r="F157" s="46"/>
      <c r="G157" s="273" t="s">
        <v>152</v>
      </c>
      <c r="H157" s="271"/>
      <c r="I157" s="3"/>
      <c r="J157" s="3"/>
      <c r="K157" s="3"/>
    </row>
    <row r="158" spans="1:13" ht="16.149999999999999" customHeight="1" x14ac:dyDescent="0.2">
      <c r="A158" s="253" t="s">
        <v>267</v>
      </c>
      <c r="B158" s="295" t="s">
        <v>257</v>
      </c>
      <c r="C158" s="296"/>
      <c r="D158" s="296"/>
      <c r="E158" s="296"/>
      <c r="F158" s="296"/>
      <c r="G158" s="273" t="s">
        <v>152</v>
      </c>
      <c r="H158" s="3"/>
      <c r="I158" s="3"/>
      <c r="J158" s="271"/>
      <c r="K158" s="3"/>
      <c r="L158" s="3"/>
      <c r="M158" s="3"/>
    </row>
    <row r="159" spans="1:13" ht="16.149999999999999" customHeight="1" x14ac:dyDescent="0.2">
      <c r="A159" s="253" t="s">
        <v>267</v>
      </c>
      <c r="B159" s="295" t="s">
        <v>253</v>
      </c>
      <c r="C159" s="296"/>
      <c r="D159" s="296"/>
      <c r="E159" s="296"/>
      <c r="F159" s="31"/>
      <c r="G159" s="273" t="s">
        <v>152</v>
      </c>
      <c r="H159" s="3"/>
      <c r="I159" s="3"/>
      <c r="J159" s="271"/>
      <c r="K159" s="3"/>
      <c r="L159" s="3"/>
      <c r="M159" s="3"/>
    </row>
    <row r="160" spans="1:13" ht="16.149999999999999" customHeight="1" x14ac:dyDescent="0.2">
      <c r="A160" s="253" t="s">
        <v>267</v>
      </c>
      <c r="B160" s="255" t="s">
        <v>255</v>
      </c>
      <c r="C160" s="297"/>
      <c r="D160" s="297"/>
      <c r="E160" s="297"/>
      <c r="F160" s="38"/>
      <c r="G160" s="273" t="s">
        <v>151</v>
      </c>
      <c r="H160" s="3"/>
      <c r="I160" s="3"/>
      <c r="J160" s="271"/>
      <c r="K160" s="3"/>
      <c r="L160" s="3"/>
      <c r="M160" s="3"/>
    </row>
    <row r="161" spans="1:13" ht="16.149999999999999" customHeight="1" x14ac:dyDescent="0.2">
      <c r="B161" s="1"/>
      <c r="C161" s="254"/>
      <c r="D161" s="254"/>
      <c r="E161" s="254"/>
      <c r="F161" s="272"/>
      <c r="H161" s="3"/>
      <c r="I161" s="3"/>
      <c r="J161" s="271"/>
      <c r="K161" s="3"/>
      <c r="L161" s="3"/>
      <c r="M161" s="3"/>
    </row>
    <row r="162" spans="1:13" ht="16.149999999999999" customHeight="1" x14ac:dyDescent="0.2">
      <c r="B162" s="4" t="s">
        <v>310</v>
      </c>
      <c r="C162" s="3"/>
      <c r="D162" s="3"/>
      <c r="E162" s="3"/>
      <c r="F162" s="1"/>
      <c r="G162" s="271"/>
      <c r="H162" s="271"/>
      <c r="I162" s="271"/>
      <c r="J162" s="271"/>
      <c r="K162" s="271"/>
      <c r="L162" s="271"/>
      <c r="M162" s="1"/>
    </row>
    <row r="163" spans="1:13" ht="16.149999999999999" customHeight="1" x14ac:dyDescent="0.2">
      <c r="B163" s="315" t="s">
        <v>3</v>
      </c>
      <c r="C163" s="315" t="s">
        <v>12</v>
      </c>
      <c r="D163" s="14"/>
      <c r="E163" s="5"/>
      <c r="F163" s="271"/>
      <c r="G163" s="271"/>
      <c r="H163" s="271"/>
      <c r="I163" s="271"/>
      <c r="J163" s="271"/>
      <c r="K163" s="271"/>
      <c r="L163" s="5"/>
    </row>
    <row r="164" spans="1:13" ht="16.149999999999999" customHeight="1" x14ac:dyDescent="0.2">
      <c r="A164" s="253">
        <v>90717</v>
      </c>
      <c r="B164" s="316"/>
      <c r="C164" s="316"/>
      <c r="D164" s="14"/>
      <c r="E164" s="6"/>
      <c r="F164" s="271"/>
      <c r="G164" s="271"/>
      <c r="H164" s="271"/>
      <c r="I164" s="271"/>
      <c r="J164" s="271"/>
      <c r="K164" s="271"/>
      <c r="L164" s="1"/>
    </row>
    <row r="165" spans="1:13" ht="16.149999999999999" customHeight="1" x14ac:dyDescent="0.2">
      <c r="B165" s="24" t="s">
        <v>110</v>
      </c>
      <c r="C165" s="25"/>
      <c r="D165" s="14"/>
      <c r="E165" s="6"/>
      <c r="F165" s="271"/>
      <c r="G165" s="271"/>
      <c r="H165" s="271"/>
      <c r="I165" s="271"/>
      <c r="J165" s="271"/>
      <c r="K165" s="271"/>
      <c r="L165" s="1"/>
    </row>
    <row r="166" spans="1:13" ht="16.149999999999999" customHeight="1" x14ac:dyDescent="0.2">
      <c r="B166" s="40" t="s">
        <v>54</v>
      </c>
      <c r="C166" s="28"/>
      <c r="D166" s="6"/>
      <c r="E166" s="1"/>
      <c r="F166" s="271"/>
      <c r="G166" s="271"/>
      <c r="H166" s="271"/>
      <c r="I166" s="271"/>
      <c r="J166" s="271"/>
      <c r="K166" s="271"/>
      <c r="L166" s="1"/>
    </row>
    <row r="167" spans="1:13" ht="16.149999999999999" customHeight="1" x14ac:dyDescent="0.2">
      <c r="B167" s="40" t="s">
        <v>55</v>
      </c>
      <c r="C167" s="28"/>
      <c r="D167" s="6"/>
      <c r="E167" s="1"/>
      <c r="F167" s="271"/>
      <c r="G167" s="271"/>
      <c r="H167" s="271"/>
      <c r="I167" s="271"/>
      <c r="J167" s="271"/>
      <c r="K167" s="271"/>
      <c r="L167" s="1"/>
    </row>
    <row r="168" spans="1:13" ht="16.149999999999999" customHeight="1" x14ac:dyDescent="0.2">
      <c r="B168" s="40" t="s">
        <v>59</v>
      </c>
      <c r="C168" s="28"/>
      <c r="D168" s="6"/>
      <c r="E168" s="1"/>
      <c r="F168" s="271"/>
      <c r="G168" s="271"/>
      <c r="H168" s="271"/>
      <c r="I168" s="271"/>
      <c r="J168" s="271"/>
      <c r="K168" s="271"/>
      <c r="L168" s="1"/>
    </row>
    <row r="169" spans="1:13" ht="16.149999999999999" customHeight="1" x14ac:dyDescent="0.2">
      <c r="B169" s="41" t="s">
        <v>262</v>
      </c>
      <c r="C169" s="32"/>
      <c r="D169" s="6"/>
      <c r="E169" s="6"/>
      <c r="F169" s="1"/>
      <c r="G169" s="271"/>
      <c r="H169" s="271"/>
      <c r="I169" s="271"/>
      <c r="J169" s="271"/>
      <c r="K169" s="271"/>
      <c r="L169" s="271"/>
      <c r="M169" s="1"/>
    </row>
    <row r="170" spans="1:13" ht="16.149999999999999" customHeight="1" x14ac:dyDescent="0.2">
      <c r="B170" s="1"/>
      <c r="F170" s="1"/>
      <c r="G170" s="1"/>
      <c r="M170" s="1"/>
    </row>
    <row r="171" spans="1:13" ht="16.149999999999999" customHeight="1" x14ac:dyDescent="0.2">
      <c r="B171" s="4" t="s">
        <v>311</v>
      </c>
      <c r="C171" s="3"/>
      <c r="D171" s="3"/>
      <c r="E171" s="3"/>
    </row>
    <row r="172" spans="1:13" ht="16.149999999999999" customHeight="1" x14ac:dyDescent="0.2">
      <c r="B172" s="317" t="s">
        <v>24</v>
      </c>
      <c r="C172" s="317" t="s">
        <v>228</v>
      </c>
      <c r="D172" s="317" t="s">
        <v>202</v>
      </c>
      <c r="E172" s="317" t="s">
        <v>203</v>
      </c>
    </row>
    <row r="173" spans="1:13" ht="16.149999999999999" customHeight="1" x14ac:dyDescent="0.2">
      <c r="A173" s="253" t="s">
        <v>92</v>
      </c>
      <c r="B173" s="318"/>
      <c r="C173" s="318"/>
      <c r="D173" s="318"/>
      <c r="E173" s="318"/>
    </row>
    <row r="174" spans="1:13" ht="16.149999999999999" customHeight="1" x14ac:dyDescent="0.2">
      <c r="B174" s="212" t="s">
        <v>247</v>
      </c>
      <c r="C174" s="80"/>
      <c r="D174" s="80"/>
      <c r="E174" s="595"/>
    </row>
    <row r="175" spans="1:13" ht="16.149999999999999" customHeight="1" x14ac:dyDescent="0.2">
      <c r="B175" s="213" t="s">
        <v>248</v>
      </c>
      <c r="C175" s="81"/>
      <c r="D175" s="81"/>
      <c r="E175" s="216"/>
    </row>
    <row r="176" spans="1:13" ht="16.149999999999999" customHeight="1" x14ac:dyDescent="0.2">
      <c r="B176" s="195" t="s">
        <v>249</v>
      </c>
      <c r="C176" s="196" t="s">
        <v>250</v>
      </c>
      <c r="D176" s="196" t="s">
        <v>251</v>
      </c>
      <c r="E176" s="197" t="s">
        <v>252</v>
      </c>
    </row>
    <row r="177" spans="1:5" ht="16.149999999999999" customHeight="1" thickBot="1" x14ac:dyDescent="0.25">
      <c r="B177" s="214" t="s">
        <v>254</v>
      </c>
      <c r="C177" s="159"/>
      <c r="D177" s="159"/>
      <c r="E177" s="160"/>
    </row>
    <row r="178" spans="1:5" ht="16.149999999999999" customHeight="1" x14ac:dyDescent="0.2">
      <c r="B178" s="234"/>
      <c r="C178" s="79"/>
      <c r="D178" s="79"/>
      <c r="E178" s="79"/>
    </row>
    <row r="179" spans="1:5" ht="16.149999999999999" customHeight="1" x14ac:dyDescent="0.2">
      <c r="B179" s="4" t="s">
        <v>265</v>
      </c>
    </row>
    <row r="180" spans="1:5" ht="16.149999999999999" customHeight="1" x14ac:dyDescent="0.2">
      <c r="A180" s="253" t="s">
        <v>261</v>
      </c>
      <c r="B180" s="20" t="s">
        <v>266</v>
      </c>
      <c r="C180" s="20" t="s">
        <v>60</v>
      </c>
    </row>
    <row r="181" spans="1:5" ht="16.149999999999999" customHeight="1" x14ac:dyDescent="0.2">
      <c r="B181" s="227" t="s">
        <v>140</v>
      </c>
      <c r="C181" s="60"/>
    </row>
    <row r="182" spans="1:5" ht="16.149999999999999" customHeight="1" x14ac:dyDescent="0.2">
      <c r="B182" s="227" t="s">
        <v>79</v>
      </c>
      <c r="C182" s="60"/>
    </row>
    <row r="183" spans="1:5" ht="16.149999999999999" customHeight="1" x14ac:dyDescent="0.2">
      <c r="B183" s="227" t="s">
        <v>80</v>
      </c>
      <c r="C183" s="60"/>
    </row>
    <row r="184" spans="1:5" ht="16.149999999999999" customHeight="1" x14ac:dyDescent="0.2">
      <c r="B184" s="227" t="s">
        <v>82</v>
      </c>
      <c r="C184" s="60"/>
    </row>
    <row r="185" spans="1:5" ht="16.149999999999999" customHeight="1" x14ac:dyDescent="0.2">
      <c r="B185" s="227" t="s">
        <v>303</v>
      </c>
      <c r="C185" s="60"/>
    </row>
    <row r="186" spans="1:5" ht="16.149999999999999" customHeight="1" x14ac:dyDescent="0.2">
      <c r="B186" s="227" t="s">
        <v>35</v>
      </c>
      <c r="C186" s="60"/>
    </row>
    <row r="187" spans="1:5" ht="16.149999999999999" customHeight="1" x14ac:dyDescent="0.2">
      <c r="B187" s="256"/>
      <c r="C187" s="6"/>
    </row>
    <row r="188" spans="1:5" ht="16.149999999999999" customHeight="1" x14ac:dyDescent="0.2">
      <c r="B188" s="4" t="s">
        <v>314</v>
      </c>
      <c r="C188" s="3"/>
    </row>
    <row r="189" spans="1:5" ht="16.149999999999999" customHeight="1" x14ac:dyDescent="0.2">
      <c r="A189" s="253" t="s">
        <v>338</v>
      </c>
      <c r="B189" s="328" t="s">
        <v>209</v>
      </c>
      <c r="C189" s="329"/>
      <c r="D189" s="19" t="s">
        <v>162</v>
      </c>
      <c r="E189" s="272"/>
    </row>
    <row r="190" spans="1:5" ht="16.149999999999999" customHeight="1" x14ac:dyDescent="0.2">
      <c r="B190" s="39" t="s">
        <v>106</v>
      </c>
      <c r="C190" s="330" t="s">
        <v>167</v>
      </c>
      <c r="D190" s="26"/>
      <c r="E190" s="272"/>
    </row>
    <row r="191" spans="1:5" ht="16.149999999999999" customHeight="1" x14ac:dyDescent="0.2">
      <c r="B191" s="40" t="s">
        <v>54</v>
      </c>
      <c r="C191" s="331"/>
      <c r="D191" s="28"/>
      <c r="E191" s="272"/>
    </row>
    <row r="192" spans="1:5" ht="16.149999999999999" customHeight="1" x14ac:dyDescent="0.2">
      <c r="B192" s="40" t="s">
        <v>55</v>
      </c>
      <c r="C192" s="331"/>
      <c r="D192" s="28"/>
      <c r="E192" s="272"/>
    </row>
    <row r="193" spans="1:6" ht="16.149999999999999" customHeight="1" x14ac:dyDescent="0.2">
      <c r="B193" s="40" t="s">
        <v>56</v>
      </c>
      <c r="C193" s="331"/>
      <c r="D193" s="28"/>
      <c r="E193" s="272"/>
    </row>
    <row r="194" spans="1:6" ht="16.149999999999999" customHeight="1" x14ac:dyDescent="0.2">
      <c r="B194" s="40" t="s">
        <v>159</v>
      </c>
      <c r="C194" s="331"/>
      <c r="D194" s="28"/>
      <c r="E194" s="272"/>
    </row>
    <row r="195" spans="1:6" ht="16.149999999999999" customHeight="1" x14ac:dyDescent="0.2">
      <c r="B195" s="40" t="s">
        <v>106</v>
      </c>
      <c r="C195" s="331" t="s">
        <v>168</v>
      </c>
      <c r="D195" s="28"/>
      <c r="E195" s="272"/>
    </row>
    <row r="196" spans="1:6" ht="16.149999999999999" customHeight="1" x14ac:dyDescent="0.2">
      <c r="B196" s="40" t="s">
        <v>54</v>
      </c>
      <c r="C196" s="331"/>
      <c r="D196" s="28"/>
      <c r="E196" s="272"/>
    </row>
    <row r="197" spans="1:6" ht="16.149999999999999" customHeight="1" x14ac:dyDescent="0.2">
      <c r="B197" s="40" t="s">
        <v>55</v>
      </c>
      <c r="C197" s="331"/>
      <c r="D197" s="28"/>
      <c r="E197" s="272"/>
    </row>
    <row r="198" spans="1:6" ht="16.149999999999999" customHeight="1" x14ac:dyDescent="0.2">
      <c r="B198" s="40" t="s">
        <v>56</v>
      </c>
      <c r="C198" s="331"/>
      <c r="D198" s="28"/>
      <c r="E198" s="272"/>
    </row>
    <row r="199" spans="1:6" ht="16.149999999999999" customHeight="1" x14ac:dyDescent="0.2">
      <c r="B199" s="40" t="s">
        <v>159</v>
      </c>
      <c r="C199" s="331"/>
      <c r="D199" s="28"/>
      <c r="E199" s="272"/>
    </row>
    <row r="200" spans="1:6" ht="16.149999999999999" customHeight="1" x14ac:dyDescent="0.2">
      <c r="B200" s="259" t="s">
        <v>211</v>
      </c>
      <c r="C200" s="257"/>
      <c r="D200" s="28"/>
      <c r="E200" s="272"/>
    </row>
    <row r="201" spans="1:6" ht="16.149999999999999" customHeight="1" x14ac:dyDescent="0.2">
      <c r="B201" s="259" t="s">
        <v>312</v>
      </c>
      <c r="C201" s="257"/>
      <c r="D201" s="258"/>
      <c r="E201" s="272"/>
    </row>
    <row r="202" spans="1:6" ht="16.149999999999999" customHeight="1" x14ac:dyDescent="0.2">
      <c r="B202" s="259" t="s">
        <v>313</v>
      </c>
      <c r="C202" s="257"/>
      <c r="D202" s="296"/>
      <c r="E202" s="272"/>
    </row>
    <row r="203" spans="1:6" ht="16.149999999999999" customHeight="1" x14ac:dyDescent="0.2">
      <c r="B203" s="260" t="s">
        <v>35</v>
      </c>
      <c r="C203" s="261"/>
      <c r="D203" s="297"/>
      <c r="E203" s="272"/>
    </row>
    <row r="204" spans="1:6" ht="16.149999999999999" customHeight="1" x14ac:dyDescent="0.2">
      <c r="B204" s="256"/>
      <c r="C204" s="6"/>
    </row>
    <row r="205" spans="1:6" ht="16.149999999999999" customHeight="1" x14ac:dyDescent="0.2">
      <c r="B205" s="275" t="s">
        <v>315</v>
      </c>
    </row>
    <row r="206" spans="1:6" ht="16.149999999999999" customHeight="1" x14ac:dyDescent="0.2">
      <c r="B206" s="310" t="s">
        <v>129</v>
      </c>
      <c r="C206" s="312" t="s">
        <v>280</v>
      </c>
      <c r="D206" s="313"/>
      <c r="E206" s="314"/>
      <c r="F206" s="228" t="s">
        <v>281</v>
      </c>
    </row>
    <row r="207" spans="1:6" ht="16.149999999999999" customHeight="1" x14ac:dyDescent="0.2">
      <c r="B207" s="311"/>
      <c r="C207" s="224" t="s">
        <v>162</v>
      </c>
      <c r="D207" s="224" t="s">
        <v>19</v>
      </c>
      <c r="E207" s="224" t="s">
        <v>20</v>
      </c>
      <c r="F207" s="228" t="s">
        <v>162</v>
      </c>
    </row>
    <row r="208" spans="1:6" ht="16.149999999999999" customHeight="1" x14ac:dyDescent="0.2">
      <c r="A208" s="253" t="s">
        <v>279</v>
      </c>
      <c r="B208" s="280" t="s">
        <v>334</v>
      </c>
      <c r="C208" s="26"/>
      <c r="D208" s="26"/>
      <c r="E208" s="26"/>
      <c r="F208" s="26"/>
    </row>
    <row r="209" spans="1:8" ht="16.149999999999999" customHeight="1" x14ac:dyDescent="0.2">
      <c r="B209" s="281" t="s">
        <v>335</v>
      </c>
      <c r="C209" s="28"/>
      <c r="D209" s="28"/>
      <c r="E209" s="28"/>
      <c r="F209" s="28"/>
    </row>
    <row r="210" spans="1:8" ht="16.149999999999999" customHeight="1" x14ac:dyDescent="0.2">
      <c r="B210" s="282" t="s">
        <v>336</v>
      </c>
      <c r="C210" s="32"/>
      <c r="D210" s="32"/>
      <c r="E210" s="32"/>
      <c r="F210" s="32"/>
    </row>
    <row r="211" spans="1:8" ht="16.149999999999999" customHeight="1" x14ac:dyDescent="0.2">
      <c r="B211" s="272"/>
      <c r="C211" s="6"/>
      <c r="D211" s="6"/>
      <c r="E211" s="6"/>
      <c r="F211" s="6"/>
    </row>
    <row r="212" spans="1:8" ht="16.149999999999999" customHeight="1" x14ac:dyDescent="0.2">
      <c r="B212" s="4" t="s">
        <v>316</v>
      </c>
    </row>
    <row r="213" spans="1:8" ht="16.149999999999999" customHeight="1" x14ac:dyDescent="0.2">
      <c r="B213" s="20" t="s">
        <v>269</v>
      </c>
      <c r="C213" s="15" t="s">
        <v>0</v>
      </c>
      <c r="D213" s="16" t="s">
        <v>1</v>
      </c>
      <c r="E213" s="16" t="s">
        <v>2</v>
      </c>
    </row>
    <row r="214" spans="1:8" ht="16.149999999999999" customHeight="1" x14ac:dyDescent="0.2">
      <c r="A214" s="253" t="s">
        <v>267</v>
      </c>
      <c r="B214" s="217" t="s">
        <v>40</v>
      </c>
      <c r="C214" s="60"/>
      <c r="D214" s="60"/>
      <c r="E214" s="60"/>
    </row>
    <row r="216" spans="1:8" ht="16.149999999999999" customHeight="1" x14ac:dyDescent="0.2">
      <c r="B216" s="275" t="s">
        <v>331</v>
      </c>
    </row>
    <row r="217" spans="1:8" ht="16.149999999999999" customHeight="1" x14ac:dyDescent="0.2">
      <c r="B217" s="218" t="s">
        <v>269</v>
      </c>
      <c r="C217" s="219" t="s">
        <v>270</v>
      </c>
    </row>
    <row r="218" spans="1:8" ht="16.149999999999999" customHeight="1" x14ac:dyDescent="0.2">
      <c r="A218" s="253" t="s">
        <v>148</v>
      </c>
      <c r="B218" s="220" t="s">
        <v>271</v>
      </c>
      <c r="C218" s="10"/>
    </row>
    <row r="220" spans="1:8" ht="16.149999999999999" customHeight="1" x14ac:dyDescent="0.2">
      <c r="B220" s="275" t="s">
        <v>337</v>
      </c>
    </row>
    <row r="221" spans="1:8" ht="16.149999999999999" customHeight="1" thickBot="1" x14ac:dyDescent="0.25">
      <c r="B221" s="231" t="s">
        <v>129</v>
      </c>
      <c r="C221" s="224" t="s">
        <v>19</v>
      </c>
      <c r="D221" s="224" t="s">
        <v>20</v>
      </c>
      <c r="E221" s="224" t="s">
        <v>21</v>
      </c>
      <c r="F221" s="224" t="s">
        <v>246</v>
      </c>
      <c r="G221" s="224" t="s">
        <v>288</v>
      </c>
      <c r="H221" s="224" t="s">
        <v>289</v>
      </c>
    </row>
    <row r="222" spans="1:8" ht="16.149999999999999" customHeight="1" thickTop="1" x14ac:dyDescent="0.2">
      <c r="A222" s="253">
        <v>90749.03</v>
      </c>
      <c r="B222" s="51" t="s">
        <v>284</v>
      </c>
      <c r="C222" s="53"/>
      <c r="D222" s="53"/>
      <c r="E222" s="53"/>
      <c r="F222" s="53"/>
      <c r="G222" s="53"/>
      <c r="H222" s="53"/>
    </row>
    <row r="223" spans="1:8" ht="16.149999999999999" customHeight="1" x14ac:dyDescent="0.2">
      <c r="A223" s="253">
        <v>90749.03</v>
      </c>
      <c r="B223" s="54" t="s">
        <v>285</v>
      </c>
      <c r="C223" s="28"/>
      <c r="D223" s="28"/>
      <c r="E223" s="28"/>
      <c r="F223" s="28"/>
      <c r="G223" s="28"/>
      <c r="H223" s="28"/>
    </row>
    <row r="224" spans="1:8" ht="16.149999999999999" customHeight="1" x14ac:dyDescent="0.2">
      <c r="A224" s="253">
        <v>90749.02</v>
      </c>
      <c r="B224" s="54" t="s">
        <v>286</v>
      </c>
      <c r="C224" s="28"/>
      <c r="D224" s="28"/>
      <c r="E224" s="28"/>
      <c r="F224" s="28"/>
      <c r="G224" s="28"/>
      <c r="H224" s="28"/>
    </row>
    <row r="225" spans="1:10" ht="16.149999999999999" customHeight="1" x14ac:dyDescent="0.2">
      <c r="A225" s="253">
        <v>90749.01</v>
      </c>
      <c r="B225" s="56" t="s">
        <v>287</v>
      </c>
      <c r="C225" s="32"/>
      <c r="D225" s="32"/>
      <c r="E225" s="32"/>
      <c r="F225" s="32"/>
      <c r="G225" s="32"/>
      <c r="H225" s="32"/>
    </row>
    <row r="226" spans="1:10" ht="16.149999999999999" customHeight="1" x14ac:dyDescent="0.2">
      <c r="B226" s="272"/>
      <c r="C226" s="272"/>
      <c r="D226" s="272"/>
      <c r="E226" s="272"/>
      <c r="F226" s="272"/>
    </row>
    <row r="227" spans="1:10" ht="16.149999999999999" customHeight="1" x14ac:dyDescent="0.2">
      <c r="B227" s="299" t="s">
        <v>342</v>
      </c>
      <c r="C227" s="4"/>
      <c r="D227" s="4"/>
      <c r="E227" s="4"/>
    </row>
    <row r="228" spans="1:10" ht="16.149999999999999" customHeight="1" x14ac:dyDescent="0.2">
      <c r="B228" s="334" t="s">
        <v>28</v>
      </c>
      <c r="C228" s="336"/>
      <c r="D228" s="326" t="s">
        <v>341</v>
      </c>
      <c r="E228" s="326"/>
      <c r="F228" s="326"/>
      <c r="G228" s="326"/>
      <c r="H228" s="326"/>
      <c r="I228" s="326"/>
      <c r="J228" s="327"/>
    </row>
    <row r="229" spans="1:10" ht="16.149999999999999" customHeight="1" x14ac:dyDescent="0.2">
      <c r="B229" s="337"/>
      <c r="C229" s="339"/>
      <c r="D229" s="301" t="s">
        <v>340</v>
      </c>
      <c r="E229" s="16">
        <v>1</v>
      </c>
      <c r="F229" s="16">
        <v>2</v>
      </c>
      <c r="G229" s="16">
        <v>3</v>
      </c>
      <c r="H229" s="16">
        <v>4</v>
      </c>
      <c r="I229" s="16">
        <v>5</v>
      </c>
      <c r="J229" s="16">
        <v>6</v>
      </c>
    </row>
    <row r="230" spans="1:10" ht="16.149999999999999" customHeight="1" x14ac:dyDescent="0.2">
      <c r="A230" s="253" t="s">
        <v>92</v>
      </c>
      <c r="B230" s="300" t="s">
        <v>5</v>
      </c>
      <c r="C230" s="229" t="s">
        <v>88</v>
      </c>
      <c r="D230" s="276"/>
      <c r="E230" s="229"/>
      <c r="F230" s="229"/>
      <c r="G230" s="229"/>
      <c r="H230" s="229"/>
      <c r="I230" s="229"/>
      <c r="J230" s="27"/>
    </row>
    <row r="231" spans="1:10" ht="16.149999999999999" customHeight="1" x14ac:dyDescent="0.2">
      <c r="A231" s="253" t="s">
        <v>148</v>
      </c>
      <c r="B231" s="363" t="s">
        <v>72</v>
      </c>
      <c r="C231" s="364"/>
      <c r="D231" s="279"/>
      <c r="E231" s="43"/>
      <c r="F231" s="43"/>
      <c r="G231" s="43"/>
      <c r="H231" s="43"/>
      <c r="I231" s="43"/>
      <c r="J231" s="43"/>
    </row>
  </sheetData>
  <mergeCells count="65">
    <mergeCell ref="B231:C231"/>
    <mergeCell ref="B49:D50"/>
    <mergeCell ref="C32:D32"/>
    <mergeCell ref="C34:D34"/>
    <mergeCell ref="B228:C229"/>
    <mergeCell ref="D228:J228"/>
    <mergeCell ref="D172:D173"/>
    <mergeCell ref="E172:E173"/>
    <mergeCell ref="C53:D53"/>
    <mergeCell ref="C172:C173"/>
    <mergeCell ref="C103:C107"/>
    <mergeCell ref="C68:E68"/>
    <mergeCell ref="C78:E78"/>
    <mergeCell ref="B97:C97"/>
    <mergeCell ref="C52:D52"/>
    <mergeCell ref="B51:B52"/>
    <mergeCell ref="B86:B87"/>
    <mergeCell ref="B63:C63"/>
    <mergeCell ref="C55:C62"/>
    <mergeCell ref="C51:D51"/>
    <mergeCell ref="C54:D54"/>
    <mergeCell ref="B55:B56"/>
    <mergeCell ref="B5:K5"/>
    <mergeCell ref="B27:D28"/>
    <mergeCell ref="C11:D11"/>
    <mergeCell ref="C12:D12"/>
    <mergeCell ref="C13:D13"/>
    <mergeCell ref="C14:D14"/>
    <mergeCell ref="C18:C20"/>
    <mergeCell ref="C17:D17"/>
    <mergeCell ref="C21:D21"/>
    <mergeCell ref="C22:D22"/>
    <mergeCell ref="E27:H27"/>
    <mergeCell ref="K49:M49"/>
    <mergeCell ref="B32:B33"/>
    <mergeCell ref="B8:D9"/>
    <mergeCell ref="C10:D10"/>
    <mergeCell ref="E8:H8"/>
    <mergeCell ref="B10:B12"/>
    <mergeCell ref="B40:B41"/>
    <mergeCell ref="B15:B16"/>
    <mergeCell ref="C29:D30"/>
    <mergeCell ref="C40:C46"/>
    <mergeCell ref="B13:B14"/>
    <mergeCell ref="C23:D23"/>
    <mergeCell ref="C33:D33"/>
    <mergeCell ref="C31:D31"/>
    <mergeCell ref="C35:D36"/>
    <mergeCell ref="C37:D39"/>
    <mergeCell ref="B206:B207"/>
    <mergeCell ref="C206:E206"/>
    <mergeCell ref="B78:B79"/>
    <mergeCell ref="B148:B149"/>
    <mergeCell ref="H49:J49"/>
    <mergeCell ref="C163:C164"/>
    <mergeCell ref="C148:F148"/>
    <mergeCell ref="B68:B69"/>
    <mergeCell ref="B163:B164"/>
    <mergeCell ref="C98:C102"/>
    <mergeCell ref="C86:E86"/>
    <mergeCell ref="E49:G49"/>
    <mergeCell ref="B172:B173"/>
    <mergeCell ref="B189:C189"/>
    <mergeCell ref="C190:C194"/>
    <mergeCell ref="C195:C199"/>
  </mergeCells>
  <phoneticPr fontId="5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9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2"/>
  <sheetViews>
    <sheetView zoomScaleNormal="100" workbookViewId="0"/>
  </sheetViews>
  <sheetFormatPr baseColWidth="10" defaultColWidth="11.5703125" defaultRowHeight="12.75" x14ac:dyDescent="0.2"/>
  <cols>
    <col min="1" max="1" width="2.7109375" customWidth="1"/>
    <col min="2" max="2" width="4.7109375" customWidth="1"/>
    <col min="3" max="3" width="4" customWidth="1"/>
    <col min="4" max="4" width="12.28515625" customWidth="1"/>
    <col min="5" max="5" width="4.7109375" customWidth="1"/>
    <col min="6" max="6" width="7.28515625" customWidth="1"/>
    <col min="7" max="7" width="7.42578125" customWidth="1"/>
    <col min="8" max="10" width="6.7109375" customWidth="1"/>
    <col min="11" max="11" width="7.5703125" customWidth="1"/>
    <col min="12" max="13" width="6.7109375" customWidth="1"/>
    <col min="14" max="14" width="11.28515625" customWidth="1"/>
    <col min="15" max="15" width="7.28515625" customWidth="1"/>
    <col min="16" max="16" width="8.5703125" customWidth="1"/>
    <col min="17" max="17" width="9.42578125" customWidth="1"/>
    <col min="18" max="18" width="6.7109375" customWidth="1"/>
    <col min="19" max="19" width="7.7109375" customWidth="1"/>
    <col min="20" max="20" width="8.28515625" customWidth="1"/>
    <col min="21" max="21" width="1.7109375" customWidth="1"/>
  </cols>
  <sheetData>
    <row r="1" spans="1:21" x14ac:dyDescent="0.2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6"/>
    </row>
    <row r="2" spans="1:21" ht="18" x14ac:dyDescent="0.2">
      <c r="A2" s="66"/>
      <c r="B2" s="495" t="s">
        <v>112</v>
      </c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66"/>
    </row>
    <row r="3" spans="1:21" x14ac:dyDescent="0.2">
      <c r="A3" s="66"/>
      <c r="B3" s="223" t="str">
        <f>Inmunizaciones!B2</f>
        <v>NIVEL:</v>
      </c>
      <c r="C3" s="223"/>
      <c r="D3" s="223"/>
      <c r="E3" s="223"/>
      <c r="F3" s="223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6"/>
      <c r="U3" s="66"/>
    </row>
    <row r="4" spans="1:21" x14ac:dyDescent="0.2">
      <c r="A4" s="66"/>
      <c r="B4" s="223" t="str">
        <f>Inmunizaciones!B3</f>
        <v>DESDE:</v>
      </c>
      <c r="C4" s="223"/>
      <c r="D4" s="223"/>
      <c r="E4" s="223"/>
      <c r="F4" s="223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6"/>
      <c r="U4" s="66"/>
    </row>
    <row r="5" spans="1:21" x14ac:dyDescent="0.2">
      <c r="A5" s="66"/>
      <c r="B5" s="66" t="str">
        <f>Inmunizaciones!B4</f>
        <v>FECHA DE IMPRESION:</v>
      </c>
      <c r="C5" s="66"/>
      <c r="D5" s="67"/>
      <c r="E5" s="66"/>
      <c r="F5" s="66"/>
      <c r="G5" s="68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</row>
    <row r="6" spans="1:21" ht="13.5" thickBot="1" x14ac:dyDescent="0.25">
      <c r="A6" s="66"/>
      <c r="B6" s="68" t="s">
        <v>65</v>
      </c>
      <c r="C6" s="68"/>
      <c r="D6" s="66"/>
      <c r="E6" s="496"/>
      <c r="F6" s="496"/>
      <c r="G6" s="496"/>
      <c r="H6" s="69"/>
      <c r="I6" s="69"/>
      <c r="J6" s="69"/>
      <c r="K6" s="69"/>
      <c r="L6" s="66"/>
      <c r="M6" s="70"/>
      <c r="N6" s="71" t="s">
        <v>17</v>
      </c>
      <c r="O6" s="72"/>
      <c r="P6" s="70"/>
      <c r="Q6" s="73"/>
      <c r="R6" s="66"/>
      <c r="S6" s="66"/>
      <c r="T6" s="66"/>
      <c r="U6" s="66"/>
    </row>
    <row r="7" spans="1:21" ht="12.75" customHeight="1" x14ac:dyDescent="0.2">
      <c r="A7" s="66"/>
      <c r="B7" s="409" t="s">
        <v>28</v>
      </c>
      <c r="C7" s="410"/>
      <c r="D7" s="410"/>
      <c r="E7" s="410"/>
      <c r="F7" s="410"/>
      <c r="G7" s="411"/>
      <c r="H7" s="407" t="s">
        <v>66</v>
      </c>
      <c r="I7" s="468"/>
      <c r="J7" s="468"/>
      <c r="K7" s="468"/>
      <c r="L7" s="516"/>
      <c r="M7" s="407" t="s">
        <v>18</v>
      </c>
      <c r="N7" s="468"/>
      <c r="O7" s="516"/>
      <c r="P7" s="517" t="s">
        <v>113</v>
      </c>
      <c r="Q7" s="66" t="s">
        <v>16</v>
      </c>
      <c r="R7" s="66"/>
      <c r="S7" s="66"/>
      <c r="T7" s="66"/>
      <c r="U7" s="66"/>
    </row>
    <row r="8" spans="1:21" x14ac:dyDescent="0.2">
      <c r="A8" s="66"/>
      <c r="B8" s="412"/>
      <c r="C8" s="413"/>
      <c r="D8" s="413"/>
      <c r="E8" s="413"/>
      <c r="F8" s="413"/>
      <c r="G8" s="414"/>
      <c r="H8" s="74" t="s">
        <v>19</v>
      </c>
      <c r="I8" s="74" t="s">
        <v>20</v>
      </c>
      <c r="J8" s="74" t="s">
        <v>21</v>
      </c>
      <c r="K8" s="75" t="s">
        <v>8</v>
      </c>
      <c r="L8" s="76" t="s">
        <v>13</v>
      </c>
      <c r="M8" s="77" t="s">
        <v>8</v>
      </c>
      <c r="N8" s="74" t="s">
        <v>13</v>
      </c>
      <c r="O8" s="76" t="s">
        <v>22</v>
      </c>
      <c r="P8" s="518"/>
      <c r="Q8" s="66"/>
      <c r="R8" s="66"/>
      <c r="S8" s="66"/>
      <c r="T8" s="66"/>
      <c r="U8" s="66"/>
    </row>
    <row r="9" spans="1:21" x14ac:dyDescent="0.2">
      <c r="A9" s="78"/>
      <c r="B9" s="510" t="s">
        <v>23</v>
      </c>
      <c r="C9" s="486"/>
      <c r="D9" s="450"/>
      <c r="E9" s="523" t="s">
        <v>44</v>
      </c>
      <c r="F9" s="524"/>
      <c r="G9" s="525"/>
      <c r="H9" s="152">
        <f>Inmunizaciones!E10</f>
        <v>0</v>
      </c>
      <c r="I9" s="537"/>
      <c r="J9" s="538"/>
      <c r="K9" s="539">
        <f>H9</f>
        <v>0</v>
      </c>
      <c r="L9" s="540"/>
      <c r="M9" s="541"/>
      <c r="N9" s="540"/>
      <c r="O9" s="542"/>
      <c r="P9" s="543"/>
      <c r="Q9" s="66"/>
      <c r="R9" s="66"/>
      <c r="S9" s="66"/>
      <c r="T9" s="66"/>
      <c r="U9" s="66"/>
    </row>
    <row r="10" spans="1:21" x14ac:dyDescent="0.2">
      <c r="A10" s="78"/>
      <c r="B10" s="519"/>
      <c r="C10" s="520"/>
      <c r="D10" s="521"/>
      <c r="E10" s="523" t="s">
        <v>45</v>
      </c>
      <c r="F10" s="524"/>
      <c r="G10" s="525"/>
      <c r="H10" s="152">
        <f>Inmunizaciones!E11</f>
        <v>0</v>
      </c>
      <c r="I10" s="544"/>
      <c r="J10" s="545"/>
      <c r="K10" s="539">
        <f>H10</f>
        <v>0</v>
      </c>
      <c r="L10" s="540"/>
      <c r="M10" s="541"/>
      <c r="N10" s="540"/>
      <c r="O10" s="542"/>
      <c r="P10" s="543"/>
      <c r="Q10" s="66"/>
      <c r="R10" s="66"/>
      <c r="S10" s="66"/>
      <c r="T10" s="66"/>
      <c r="U10" s="66"/>
    </row>
    <row r="11" spans="1:21" x14ac:dyDescent="0.2">
      <c r="A11" s="78"/>
      <c r="B11" s="522"/>
      <c r="C11" s="487"/>
      <c r="D11" s="452"/>
      <c r="E11" s="523" t="s">
        <v>114</v>
      </c>
      <c r="F11" s="524"/>
      <c r="G11" s="525"/>
      <c r="H11" s="152">
        <f>Inmunizaciones!E12</f>
        <v>0</v>
      </c>
      <c r="I11" s="544"/>
      <c r="J11" s="545"/>
      <c r="K11" s="539">
        <f>H11</f>
        <v>0</v>
      </c>
      <c r="L11" s="540"/>
      <c r="M11" s="541"/>
      <c r="N11" s="540"/>
      <c r="O11" s="542"/>
      <c r="P11" s="543"/>
      <c r="Q11" s="66"/>
      <c r="R11" s="66"/>
      <c r="S11" s="66"/>
      <c r="T11" s="66"/>
      <c r="U11" s="66"/>
    </row>
    <row r="12" spans="1:21" x14ac:dyDescent="0.2">
      <c r="A12" s="78"/>
      <c r="B12" s="510" t="s">
        <v>67</v>
      </c>
      <c r="C12" s="486"/>
      <c r="D12" s="450"/>
      <c r="E12" s="523" t="s">
        <v>86</v>
      </c>
      <c r="F12" s="524"/>
      <c r="G12" s="525"/>
      <c r="H12" s="152">
        <f>Inmunizaciones!E13</f>
        <v>0</v>
      </c>
      <c r="I12" s="544"/>
      <c r="J12" s="545"/>
      <c r="K12" s="539">
        <f>H12</f>
        <v>0</v>
      </c>
      <c r="L12" s="540"/>
      <c r="M12" s="541"/>
      <c r="N12" s="540"/>
      <c r="O12" s="542"/>
      <c r="P12" s="543"/>
      <c r="Q12" s="66"/>
      <c r="R12" s="66"/>
      <c r="S12" s="66"/>
      <c r="T12" s="66"/>
      <c r="U12" s="66"/>
    </row>
    <row r="13" spans="1:21" x14ac:dyDescent="0.2">
      <c r="A13" s="78"/>
      <c r="B13" s="522"/>
      <c r="C13" s="487"/>
      <c r="D13" s="452"/>
      <c r="E13" s="523" t="s">
        <v>44</v>
      </c>
      <c r="F13" s="524"/>
      <c r="G13" s="525"/>
      <c r="H13" s="152">
        <f>Inmunizaciones!E14</f>
        <v>0</v>
      </c>
      <c r="I13" s="544"/>
      <c r="J13" s="545"/>
      <c r="K13" s="539">
        <f>H13</f>
        <v>0</v>
      </c>
      <c r="L13" s="540"/>
      <c r="M13" s="541"/>
      <c r="N13" s="540"/>
      <c r="O13" s="542"/>
      <c r="P13" s="543"/>
      <c r="Q13" s="66"/>
      <c r="R13" s="66"/>
      <c r="S13" s="66"/>
      <c r="T13" s="66"/>
      <c r="U13" s="66"/>
    </row>
    <row r="14" spans="1:21" x14ac:dyDescent="0.2">
      <c r="A14" s="78"/>
      <c r="B14" s="510" t="s">
        <v>5</v>
      </c>
      <c r="C14" s="486"/>
      <c r="D14" s="450"/>
      <c r="E14" s="79" t="s">
        <v>87</v>
      </c>
      <c r="F14" s="498" t="s">
        <v>115</v>
      </c>
      <c r="G14" s="500"/>
      <c r="H14" s="152">
        <f>Inmunizaciones!E15</f>
        <v>0</v>
      </c>
      <c r="I14" s="152">
        <f>Inmunizaciones!F15</f>
        <v>0</v>
      </c>
      <c r="J14" s="152">
        <f>Inmunizaciones!G15</f>
        <v>0</v>
      </c>
      <c r="K14" s="539">
        <f>H14+I14</f>
        <v>0</v>
      </c>
      <c r="L14" s="540"/>
      <c r="M14" s="541"/>
      <c r="N14" s="540"/>
      <c r="O14" s="542"/>
      <c r="P14" s="546"/>
      <c r="Q14" s="66"/>
      <c r="R14" s="66"/>
      <c r="S14" s="66"/>
      <c r="T14" s="66"/>
      <c r="U14" s="66"/>
    </row>
    <row r="15" spans="1:21" x14ac:dyDescent="0.2">
      <c r="A15" s="78"/>
      <c r="B15" s="522"/>
      <c r="C15" s="487"/>
      <c r="D15" s="452"/>
      <c r="E15" s="80" t="s">
        <v>88</v>
      </c>
      <c r="F15" s="508" t="s">
        <v>116</v>
      </c>
      <c r="G15" s="509"/>
      <c r="H15" s="547"/>
      <c r="I15" s="548"/>
      <c r="J15" s="152">
        <f>Inmunizaciones!G16</f>
        <v>0</v>
      </c>
      <c r="K15" s="539">
        <f>J15</f>
        <v>0</v>
      </c>
      <c r="L15" s="540"/>
      <c r="M15" s="541"/>
      <c r="N15" s="540"/>
      <c r="O15" s="542"/>
      <c r="P15" s="546"/>
      <c r="Q15" s="66"/>
      <c r="R15" s="66"/>
      <c r="S15" s="66"/>
      <c r="T15" s="66"/>
      <c r="U15" s="66"/>
    </row>
    <row r="16" spans="1:21" x14ac:dyDescent="0.2">
      <c r="A16" s="78"/>
      <c r="B16" s="497" t="s">
        <v>30</v>
      </c>
      <c r="C16" s="454"/>
      <c r="D16" s="455"/>
      <c r="E16" s="498" t="s">
        <v>118</v>
      </c>
      <c r="F16" s="499"/>
      <c r="G16" s="500"/>
      <c r="H16" s="152">
        <f>Inmunizaciones!E17</f>
        <v>0</v>
      </c>
      <c r="I16" s="152">
        <f>Inmunizaciones!F17</f>
        <v>0</v>
      </c>
      <c r="J16" s="152">
        <f>Inmunizaciones!G17</f>
        <v>0</v>
      </c>
      <c r="K16" s="539">
        <f>H16+I16+J16</f>
        <v>0</v>
      </c>
      <c r="L16" s="540"/>
      <c r="M16" s="541"/>
      <c r="N16" s="540"/>
      <c r="O16" s="542"/>
      <c r="P16" s="549"/>
      <c r="Q16" s="66"/>
      <c r="R16" s="66"/>
      <c r="S16" s="66"/>
      <c r="T16" s="66"/>
      <c r="U16" s="66"/>
    </row>
    <row r="17" spans="1:21" ht="12.75" customHeight="1" x14ac:dyDescent="0.2">
      <c r="A17" s="78"/>
      <c r="B17" s="501" t="s">
        <v>119</v>
      </c>
      <c r="C17" s="466"/>
      <c r="D17" s="467"/>
      <c r="E17" s="81" t="s">
        <v>98</v>
      </c>
      <c r="F17" s="508" t="s">
        <v>117</v>
      </c>
      <c r="G17" s="509"/>
      <c r="H17" s="550"/>
      <c r="I17" s="152">
        <f>Inmunizaciones!F18</f>
        <v>0</v>
      </c>
      <c r="J17" s="152">
        <f>Inmunizaciones!G18</f>
        <v>0</v>
      </c>
      <c r="K17" s="551">
        <f>I17+J17</f>
        <v>0</v>
      </c>
      <c r="L17" s="552"/>
      <c r="M17" s="553"/>
      <c r="N17" s="552"/>
      <c r="O17" s="554"/>
      <c r="P17" s="546"/>
      <c r="Q17" s="66"/>
      <c r="R17" s="66"/>
      <c r="S17" s="66"/>
      <c r="T17" s="66"/>
      <c r="U17" s="66"/>
    </row>
    <row r="18" spans="1:21" x14ac:dyDescent="0.2">
      <c r="A18" s="78"/>
      <c r="B18" s="502"/>
      <c r="C18" s="503"/>
      <c r="D18" s="504"/>
      <c r="E18" s="80" t="s">
        <v>68</v>
      </c>
      <c r="F18" s="498" t="s">
        <v>117</v>
      </c>
      <c r="G18" s="500"/>
      <c r="H18" s="555"/>
      <c r="I18" s="152">
        <f>Inmunizaciones!F19</f>
        <v>0</v>
      </c>
      <c r="J18" s="152">
        <f>Inmunizaciones!G19</f>
        <v>0</v>
      </c>
      <c r="K18" s="551">
        <f>I18+J18</f>
        <v>0</v>
      </c>
      <c r="L18" s="552"/>
      <c r="M18" s="553"/>
      <c r="N18" s="552"/>
      <c r="O18" s="554"/>
      <c r="P18" s="546"/>
      <c r="Q18" s="66"/>
      <c r="R18" s="66"/>
      <c r="S18" s="66"/>
      <c r="T18" s="66"/>
      <c r="U18" s="66"/>
    </row>
    <row r="19" spans="1:21" x14ac:dyDescent="0.2">
      <c r="A19" s="78"/>
      <c r="B19" s="505"/>
      <c r="C19" s="506"/>
      <c r="D19" s="507"/>
      <c r="E19" s="82" t="s">
        <v>69</v>
      </c>
      <c r="F19" s="498" t="s">
        <v>117</v>
      </c>
      <c r="G19" s="500"/>
      <c r="H19" s="556"/>
      <c r="I19" s="152">
        <f>Inmunizaciones!F20</f>
        <v>0</v>
      </c>
      <c r="J19" s="152">
        <f>Inmunizaciones!G20</f>
        <v>0</v>
      </c>
      <c r="K19" s="551">
        <f>I19+J19</f>
        <v>0</v>
      </c>
      <c r="L19" s="552"/>
      <c r="M19" s="553"/>
      <c r="N19" s="552"/>
      <c r="O19" s="554"/>
      <c r="P19" s="546"/>
      <c r="Q19" s="66"/>
      <c r="R19" s="66"/>
      <c r="S19" s="66"/>
      <c r="T19" s="66"/>
      <c r="U19" s="66"/>
    </row>
    <row r="20" spans="1:21" x14ac:dyDescent="0.2">
      <c r="A20" s="78"/>
      <c r="B20" s="511" t="s">
        <v>31</v>
      </c>
      <c r="C20" s="512"/>
      <c r="D20" s="513"/>
      <c r="E20" s="498" t="s">
        <v>115</v>
      </c>
      <c r="F20" s="499"/>
      <c r="G20" s="500"/>
      <c r="H20" s="152">
        <f>Inmunizaciones!E21</f>
        <v>0</v>
      </c>
      <c r="I20" s="152">
        <f>Inmunizaciones!F21</f>
        <v>0</v>
      </c>
      <c r="J20" s="557"/>
      <c r="K20" s="551">
        <f>H20+I20</f>
        <v>0</v>
      </c>
      <c r="L20" s="552"/>
      <c r="M20" s="553"/>
      <c r="N20" s="552"/>
      <c r="O20" s="554"/>
      <c r="P20" s="546"/>
      <c r="Q20" s="66"/>
      <c r="R20" s="66"/>
      <c r="S20" s="66"/>
      <c r="T20" s="66"/>
      <c r="U20" s="66"/>
    </row>
    <row r="21" spans="1:21" x14ac:dyDescent="0.2">
      <c r="A21" s="78"/>
      <c r="B21" s="511" t="s">
        <v>32</v>
      </c>
      <c r="C21" s="512"/>
      <c r="D21" s="513"/>
      <c r="E21" s="498" t="s">
        <v>115</v>
      </c>
      <c r="F21" s="499"/>
      <c r="G21" s="500"/>
      <c r="H21" s="152">
        <f>Inmunizaciones!E22</f>
        <v>0</v>
      </c>
      <c r="I21" s="152">
        <f>Inmunizaciones!F22</f>
        <v>0</v>
      </c>
      <c r="J21" s="558"/>
      <c r="K21" s="551">
        <f>H21+I21</f>
        <v>0</v>
      </c>
      <c r="L21" s="552"/>
      <c r="M21" s="553"/>
      <c r="N21" s="552"/>
      <c r="O21" s="554"/>
      <c r="P21" s="546"/>
      <c r="Q21" s="66"/>
      <c r="R21" s="66"/>
      <c r="S21" s="66"/>
      <c r="T21" s="66"/>
      <c r="U21" s="66"/>
    </row>
    <row r="22" spans="1:21" x14ac:dyDescent="0.2">
      <c r="A22" s="78"/>
      <c r="B22" s="511" t="s">
        <v>33</v>
      </c>
      <c r="C22" s="512"/>
      <c r="D22" s="513"/>
      <c r="E22" s="530"/>
      <c r="F22" s="531"/>
      <c r="G22" s="532"/>
      <c r="H22" s="152">
        <f>Inmunizaciones!E23</f>
        <v>0</v>
      </c>
      <c r="I22" s="152">
        <f>Inmunizaciones!F23</f>
        <v>0</v>
      </c>
      <c r="J22" s="558"/>
      <c r="K22" s="551">
        <f>H22+I22</f>
        <v>0</v>
      </c>
      <c r="L22" s="552"/>
      <c r="M22" s="553"/>
      <c r="N22" s="552"/>
      <c r="O22" s="554"/>
      <c r="P22" s="546"/>
      <c r="Q22" s="66"/>
      <c r="R22" s="66"/>
      <c r="S22" s="66"/>
      <c r="T22" s="66"/>
      <c r="U22" s="66"/>
    </row>
    <row r="23" spans="1:21" ht="13.5" thickBot="1" x14ac:dyDescent="0.25">
      <c r="A23" s="78"/>
      <c r="B23" s="526" t="s">
        <v>70</v>
      </c>
      <c r="C23" s="527"/>
      <c r="D23" s="528"/>
      <c r="E23" s="83" t="s">
        <v>87</v>
      </c>
      <c r="F23" s="535" t="s">
        <v>118</v>
      </c>
      <c r="G23" s="536"/>
      <c r="H23" s="153">
        <f>Inmunizaciones!E24</f>
        <v>0</v>
      </c>
      <c r="I23" s="153">
        <f>Inmunizaciones!F24</f>
        <v>0</v>
      </c>
      <c r="J23" s="153">
        <f>Inmunizaciones!G24</f>
        <v>0</v>
      </c>
      <c r="K23" s="559">
        <f>H23+I23+J23</f>
        <v>0</v>
      </c>
      <c r="L23" s="560"/>
      <c r="M23" s="561"/>
      <c r="N23" s="560"/>
      <c r="O23" s="562"/>
      <c r="P23" s="563"/>
      <c r="Q23" s="66"/>
      <c r="R23" s="66"/>
      <c r="S23" s="66"/>
      <c r="T23" s="66"/>
      <c r="U23" s="66"/>
    </row>
    <row r="24" spans="1:21" x14ac:dyDescent="0.2">
      <c r="A24" s="66"/>
      <c r="B24" s="66"/>
      <c r="C24" s="66"/>
      <c r="D24" s="66"/>
      <c r="E24" s="84"/>
      <c r="F24" s="84"/>
      <c r="G24" s="78"/>
      <c r="H24" s="78"/>
      <c r="I24" s="78"/>
      <c r="J24" s="78"/>
      <c r="K24" s="78"/>
      <c r="L24" s="78"/>
      <c r="M24" s="70"/>
      <c r="N24" s="68"/>
      <c r="O24" s="84"/>
      <c r="P24" s="68"/>
      <c r="Q24" s="85"/>
      <c r="R24" s="66"/>
      <c r="S24" s="66"/>
      <c r="T24" s="66"/>
      <c r="U24" s="66"/>
    </row>
    <row r="25" spans="1:21" ht="13.5" thickBot="1" x14ac:dyDescent="0.25">
      <c r="A25" s="66"/>
      <c r="B25" s="68" t="s">
        <v>71</v>
      </c>
      <c r="C25" s="68"/>
      <c r="D25" s="66"/>
      <c r="E25" s="496"/>
      <c r="F25" s="496"/>
      <c r="G25" s="496"/>
      <c r="H25" s="69"/>
      <c r="I25" s="69"/>
      <c r="J25" s="69"/>
      <c r="K25" s="69"/>
      <c r="L25" s="69"/>
      <c r="M25" s="71" t="s">
        <v>17</v>
      </c>
      <c r="N25" s="72"/>
      <c r="O25" s="66"/>
      <c r="P25" s="66"/>
      <c r="Q25" s="66"/>
      <c r="R25" s="66"/>
      <c r="S25" s="66"/>
      <c r="T25" s="66"/>
      <c r="U25" s="66"/>
    </row>
    <row r="26" spans="1:21" x14ac:dyDescent="0.2">
      <c r="A26" s="66"/>
      <c r="B26" s="409" t="s">
        <v>28</v>
      </c>
      <c r="C26" s="410"/>
      <c r="D26" s="410"/>
      <c r="E26" s="410"/>
      <c r="F26" s="410"/>
      <c r="G26" s="411"/>
      <c r="H26" s="448" t="s">
        <v>10</v>
      </c>
      <c r="I26" s="405"/>
      <c r="J26" s="405"/>
      <c r="K26" s="406"/>
      <c r="L26" s="407" t="s">
        <v>18</v>
      </c>
      <c r="M26" s="468"/>
      <c r="N26" s="408"/>
      <c r="O26" s="66"/>
      <c r="P26" s="66"/>
      <c r="Q26" s="66"/>
      <c r="R26" s="66"/>
      <c r="S26" s="66"/>
      <c r="T26" s="66"/>
      <c r="U26" s="66"/>
    </row>
    <row r="27" spans="1:21" x14ac:dyDescent="0.2">
      <c r="A27" s="66"/>
      <c r="B27" s="412"/>
      <c r="C27" s="413"/>
      <c r="D27" s="413"/>
      <c r="E27" s="413"/>
      <c r="F27" s="413"/>
      <c r="G27" s="414"/>
      <c r="H27" s="74" t="s">
        <v>19</v>
      </c>
      <c r="I27" s="74" t="s">
        <v>20</v>
      </c>
      <c r="J27" s="74" t="s">
        <v>21</v>
      </c>
      <c r="K27" s="76" t="s">
        <v>8</v>
      </c>
      <c r="L27" s="77" t="s">
        <v>8</v>
      </c>
      <c r="M27" s="74" t="s">
        <v>13</v>
      </c>
      <c r="N27" s="86" t="s">
        <v>22</v>
      </c>
      <c r="O27" s="66"/>
      <c r="P27" s="66"/>
      <c r="Q27" s="66"/>
      <c r="R27" s="66"/>
      <c r="S27" s="66"/>
      <c r="T27" s="66"/>
      <c r="U27" s="66"/>
    </row>
    <row r="28" spans="1:21" ht="12.75" customHeight="1" x14ac:dyDescent="0.2">
      <c r="A28" s="78"/>
      <c r="B28" s="469" t="s">
        <v>120</v>
      </c>
      <c r="C28" s="470"/>
      <c r="D28" s="87" t="s">
        <v>32</v>
      </c>
      <c r="E28" s="88"/>
      <c r="F28" s="117"/>
      <c r="G28" s="161" t="s">
        <v>21</v>
      </c>
      <c r="H28" s="564"/>
      <c r="I28" s="565"/>
      <c r="J28" s="305">
        <f>Inmunizaciones!G29</f>
        <v>0</v>
      </c>
      <c r="K28" s="566">
        <f>J28</f>
        <v>0</v>
      </c>
      <c r="L28" s="567"/>
      <c r="M28" s="567"/>
      <c r="N28" s="568"/>
      <c r="O28" s="66"/>
      <c r="P28" s="66"/>
      <c r="Q28" s="475" t="s">
        <v>83</v>
      </c>
      <c r="R28" s="476"/>
      <c r="S28" s="477"/>
      <c r="T28" s="66"/>
      <c r="U28" s="66"/>
    </row>
    <row r="29" spans="1:21" x14ac:dyDescent="0.2">
      <c r="A29" s="78"/>
      <c r="B29" s="471"/>
      <c r="C29" s="472"/>
      <c r="D29" s="162" t="s">
        <v>72</v>
      </c>
      <c r="E29" s="95"/>
      <c r="F29" s="66"/>
      <c r="G29" s="163" t="s">
        <v>19</v>
      </c>
      <c r="H29" s="305">
        <f>Inmunizaciones!E30</f>
        <v>0</v>
      </c>
      <c r="I29" s="569"/>
      <c r="J29" s="570"/>
      <c r="K29" s="566">
        <f>H29</f>
        <v>0</v>
      </c>
      <c r="L29" s="567"/>
      <c r="M29" s="567"/>
      <c r="N29" s="568"/>
      <c r="O29" s="66"/>
      <c r="P29" s="66"/>
      <c r="Q29" s="478"/>
      <c r="R29" s="479"/>
      <c r="S29" s="480"/>
      <c r="T29" s="66"/>
      <c r="U29" s="66"/>
    </row>
    <row r="30" spans="1:21" x14ac:dyDescent="0.2">
      <c r="A30" s="78"/>
      <c r="B30" s="471"/>
      <c r="C30" s="472"/>
      <c r="D30" s="87" t="s">
        <v>229</v>
      </c>
      <c r="E30" s="88"/>
      <c r="F30" s="117"/>
      <c r="G30" s="161" t="s">
        <v>19</v>
      </c>
      <c r="H30" s="305">
        <f>Inmunizaciones!E31</f>
        <v>0</v>
      </c>
      <c r="I30" s="569"/>
      <c r="J30" s="570"/>
      <c r="K30" s="566">
        <f>H30</f>
        <v>0</v>
      </c>
      <c r="L30" s="567"/>
      <c r="M30" s="567"/>
      <c r="N30" s="568"/>
      <c r="O30" s="66"/>
      <c r="P30" s="66"/>
      <c r="Q30" s="481"/>
      <c r="R30" s="482"/>
      <c r="S30" s="483"/>
      <c r="T30" s="66"/>
      <c r="U30" s="66"/>
    </row>
    <row r="31" spans="1:21" x14ac:dyDescent="0.2">
      <c r="A31" s="78"/>
      <c r="B31" s="473"/>
      <c r="C31" s="474"/>
      <c r="D31" s="87" t="s">
        <v>33</v>
      </c>
      <c r="E31" s="164"/>
      <c r="F31" s="165"/>
      <c r="G31" s="161" t="s">
        <v>19</v>
      </c>
      <c r="H31" s="305">
        <f>Inmunizaciones!E33</f>
        <v>0</v>
      </c>
      <c r="I31" s="569"/>
      <c r="J31" s="570"/>
      <c r="K31" s="571">
        <f>H31</f>
        <v>0</v>
      </c>
      <c r="L31" s="567"/>
      <c r="M31" s="567"/>
      <c r="N31" s="568"/>
      <c r="O31" s="66"/>
      <c r="P31" s="66"/>
      <c r="Q31" s="90"/>
      <c r="R31" s="90"/>
      <c r="S31" s="90"/>
      <c r="T31" s="66"/>
      <c r="U31" s="66"/>
    </row>
    <row r="32" spans="1:21" ht="22.5" x14ac:dyDescent="0.2">
      <c r="A32" s="78"/>
      <c r="B32" s="596" t="s">
        <v>73</v>
      </c>
      <c r="C32" s="597"/>
      <c r="D32" s="150" t="s">
        <v>122</v>
      </c>
      <c r="E32" s="93"/>
      <c r="F32" s="166"/>
      <c r="G32" s="167" t="s">
        <v>205</v>
      </c>
      <c r="H32" s="154">
        <f>Inmunizaciones!E35</f>
        <v>0</v>
      </c>
      <c r="I32" s="569"/>
      <c r="J32" s="570"/>
      <c r="K32" s="572">
        <f>H32</f>
        <v>0</v>
      </c>
      <c r="L32" s="573"/>
      <c r="M32" s="573"/>
      <c r="N32" s="574"/>
      <c r="O32" s="66"/>
      <c r="P32" s="66"/>
      <c r="Q32" s="66"/>
      <c r="R32" s="66"/>
      <c r="S32" s="66"/>
      <c r="T32" s="66"/>
      <c r="U32" s="66"/>
    </row>
    <row r="33" spans="1:21" x14ac:dyDescent="0.2">
      <c r="A33" s="78"/>
      <c r="B33" s="599"/>
      <c r="C33" s="598"/>
      <c r="D33" s="150" t="s">
        <v>282</v>
      </c>
      <c r="E33" s="93"/>
      <c r="F33" s="600"/>
      <c r="G33" s="167"/>
      <c r="H33" s="154">
        <f>Inmunizaciones!E36</f>
        <v>0</v>
      </c>
      <c r="I33" s="569"/>
      <c r="J33" s="570"/>
      <c r="K33" s="572">
        <f>H33</f>
        <v>0</v>
      </c>
      <c r="L33" s="567"/>
      <c r="M33" s="567"/>
      <c r="N33" s="568"/>
      <c r="O33" s="66"/>
      <c r="P33" s="66"/>
      <c r="Q33" s="66"/>
      <c r="R33" s="66"/>
      <c r="S33" s="66"/>
      <c r="T33" s="66"/>
      <c r="U33" s="66"/>
    </row>
    <row r="34" spans="1:21" ht="12.75" customHeight="1" x14ac:dyDescent="0.2">
      <c r="A34" s="78"/>
      <c r="B34" s="422" t="s">
        <v>123</v>
      </c>
      <c r="C34" s="484"/>
      <c r="D34" s="304" t="s">
        <v>72</v>
      </c>
      <c r="E34" s="88"/>
      <c r="F34" s="601"/>
      <c r="G34" s="163" t="s">
        <v>20</v>
      </c>
      <c r="H34" s="575"/>
      <c r="I34" s="305">
        <f>Inmunizaciones!F37</f>
        <v>0</v>
      </c>
      <c r="J34" s="570"/>
      <c r="K34" s="572">
        <f>I34</f>
        <v>0</v>
      </c>
      <c r="L34" s="567"/>
      <c r="M34" s="567"/>
      <c r="N34" s="568"/>
      <c r="O34" s="66"/>
      <c r="P34" s="66"/>
      <c r="Q34" s="66"/>
      <c r="R34" s="66"/>
      <c r="S34" s="66"/>
      <c r="T34" s="66"/>
      <c r="U34" s="66"/>
    </row>
    <row r="35" spans="1:21" x14ac:dyDescent="0.2">
      <c r="A35" s="78"/>
      <c r="B35" s="422"/>
      <c r="C35" s="484"/>
      <c r="D35" s="150" t="s">
        <v>84</v>
      </c>
      <c r="E35" s="93"/>
      <c r="F35" s="149"/>
      <c r="G35" s="168" t="s">
        <v>206</v>
      </c>
      <c r="H35" s="154">
        <f>Inmunizaciones!E38</f>
        <v>0</v>
      </c>
      <c r="I35" s="569"/>
      <c r="J35" s="570"/>
      <c r="K35" s="572">
        <f>H35</f>
        <v>0</v>
      </c>
      <c r="L35" s="573"/>
      <c r="M35" s="573"/>
      <c r="N35" s="574"/>
      <c r="O35" s="66"/>
      <c r="P35" s="66"/>
      <c r="Q35" s="66"/>
      <c r="R35" s="66"/>
      <c r="S35" s="66"/>
      <c r="T35" s="66"/>
      <c r="U35" s="66"/>
    </row>
    <row r="36" spans="1:21" x14ac:dyDescent="0.2">
      <c r="A36" s="78"/>
      <c r="B36" s="424"/>
      <c r="C36" s="485"/>
      <c r="D36" s="169" t="s">
        <v>133</v>
      </c>
      <c r="E36" s="96"/>
      <c r="F36" s="170"/>
      <c r="G36" s="171" t="s">
        <v>206</v>
      </c>
      <c r="H36" s="154">
        <f>Inmunizaciones!E39</f>
        <v>0</v>
      </c>
      <c r="I36" s="569"/>
      <c r="J36" s="570"/>
      <c r="K36" s="572">
        <f>H36</f>
        <v>0</v>
      </c>
      <c r="L36" s="573"/>
      <c r="M36" s="573"/>
      <c r="N36" s="574"/>
      <c r="O36" s="66"/>
      <c r="P36" s="66"/>
      <c r="Q36" s="68"/>
      <c r="R36" s="68"/>
      <c r="S36" s="68"/>
      <c r="T36" s="66"/>
      <c r="U36" s="66"/>
    </row>
    <row r="37" spans="1:21" ht="12.75" customHeight="1" x14ac:dyDescent="0.2">
      <c r="A37" s="78"/>
      <c r="B37" s="420" t="s">
        <v>124</v>
      </c>
      <c r="C37" s="421"/>
      <c r="D37" s="150" t="s">
        <v>32</v>
      </c>
      <c r="E37" s="93"/>
      <c r="F37" s="93"/>
      <c r="G37" s="172" t="s">
        <v>121</v>
      </c>
      <c r="H37" s="154">
        <f>Inmunizaciones!E34</f>
        <v>0</v>
      </c>
      <c r="I37" s="154">
        <f>Inmunizaciones!F34</f>
        <v>0</v>
      </c>
      <c r="J37" s="570"/>
      <c r="K37" s="572">
        <f>H37+I37</f>
        <v>0</v>
      </c>
      <c r="L37" s="573"/>
      <c r="M37" s="573"/>
      <c r="N37" s="574"/>
      <c r="O37" s="66"/>
      <c r="P37" s="66"/>
      <c r="Q37" s="68"/>
      <c r="R37" s="68"/>
      <c r="S37" s="68"/>
      <c r="T37" s="66"/>
      <c r="U37" s="66"/>
    </row>
    <row r="38" spans="1:21" x14ac:dyDescent="0.2">
      <c r="A38" s="78"/>
      <c r="B38" s="422"/>
      <c r="C38" s="423"/>
      <c r="D38" s="173" t="s">
        <v>343</v>
      </c>
      <c r="E38" s="99"/>
      <c r="F38" s="174"/>
      <c r="G38" s="175"/>
      <c r="H38" s="154">
        <f>Inmunizaciones!E32</f>
        <v>0</v>
      </c>
      <c r="I38" s="154">
        <f>Inmunizaciones!F32</f>
        <v>0</v>
      </c>
      <c r="J38" s="570"/>
      <c r="K38" s="572">
        <f>H38+I38</f>
        <v>0</v>
      </c>
      <c r="L38" s="573"/>
      <c r="M38" s="573"/>
      <c r="N38" s="574"/>
      <c r="O38" s="66"/>
      <c r="P38" s="66"/>
      <c r="Q38" s="68"/>
      <c r="R38" s="68"/>
      <c r="S38" s="68"/>
      <c r="T38" s="66"/>
      <c r="U38" s="66"/>
    </row>
    <row r="39" spans="1:21" ht="15" thickBot="1" x14ac:dyDescent="0.25">
      <c r="A39" s="78"/>
      <c r="B39" s="422"/>
      <c r="C39" s="423"/>
      <c r="D39" s="449" t="s">
        <v>5</v>
      </c>
      <c r="E39" s="450"/>
      <c r="F39" s="148" t="s">
        <v>87</v>
      </c>
      <c r="G39" s="163" t="s">
        <v>204</v>
      </c>
      <c r="H39" s="305">
        <f>Inmunizaciones!E40</f>
        <v>0</v>
      </c>
      <c r="I39" s="305">
        <f>Inmunizaciones!F40</f>
        <v>0</v>
      </c>
      <c r="J39" s="154">
        <f>Inmunizaciones!G40</f>
        <v>0</v>
      </c>
      <c r="K39" s="572">
        <f>H39+I39</f>
        <v>0</v>
      </c>
      <c r="L39" s="573"/>
      <c r="M39" s="573"/>
      <c r="N39" s="574"/>
      <c r="O39" s="66"/>
      <c r="P39" s="68" t="s">
        <v>230</v>
      </c>
      <c r="Q39" s="204">
        <v>10</v>
      </c>
      <c r="R39" s="68"/>
      <c r="S39" s="66"/>
      <c r="U39" s="66"/>
    </row>
    <row r="40" spans="1:21" x14ac:dyDescent="0.2">
      <c r="A40" s="78"/>
      <c r="B40" s="422"/>
      <c r="C40" s="423"/>
      <c r="D40" s="451"/>
      <c r="E40" s="452"/>
      <c r="F40" s="147" t="s">
        <v>88</v>
      </c>
      <c r="G40" s="163" t="s">
        <v>204</v>
      </c>
      <c r="H40" s="576"/>
      <c r="I40" s="577"/>
      <c r="J40" s="154">
        <f>Inmunizaciones!G41</f>
        <v>0</v>
      </c>
      <c r="K40" s="572">
        <f>J40</f>
        <v>0</v>
      </c>
      <c r="L40" s="573"/>
      <c r="M40" s="573"/>
      <c r="N40" s="574"/>
      <c r="O40" s="66"/>
      <c r="P40" s="399" t="s">
        <v>129</v>
      </c>
      <c r="Q40" s="494" t="s">
        <v>280</v>
      </c>
      <c r="R40" s="494"/>
      <c r="S40" s="494"/>
      <c r="T40" s="233" t="s">
        <v>281</v>
      </c>
      <c r="U40" s="66"/>
    </row>
    <row r="41" spans="1:21" x14ac:dyDescent="0.2">
      <c r="A41" s="78"/>
      <c r="B41" s="422"/>
      <c r="C41" s="423"/>
      <c r="D41" s="453" t="s">
        <v>30</v>
      </c>
      <c r="E41" s="454"/>
      <c r="F41" s="454"/>
      <c r="G41" s="163" t="s">
        <v>204</v>
      </c>
      <c r="H41" s="155">
        <f>Inmunizaciones!E42</f>
        <v>0</v>
      </c>
      <c r="I41" s="155">
        <f>Inmunizaciones!F42</f>
        <v>0</v>
      </c>
      <c r="J41" s="155">
        <f>Inmunizaciones!G42</f>
        <v>0</v>
      </c>
      <c r="K41" s="572">
        <f>H41+I41+J41</f>
        <v>0</v>
      </c>
      <c r="L41" s="573"/>
      <c r="M41" s="573"/>
      <c r="N41" s="574"/>
      <c r="O41" s="66"/>
      <c r="P41" s="400"/>
      <c r="Q41" s="76" t="s">
        <v>162</v>
      </c>
      <c r="R41" s="76" t="s">
        <v>19</v>
      </c>
      <c r="S41" s="76" t="s">
        <v>20</v>
      </c>
      <c r="T41" s="86" t="s">
        <v>289</v>
      </c>
      <c r="U41" s="66"/>
    </row>
    <row r="42" spans="1:21" ht="12.75" customHeight="1" x14ac:dyDescent="0.2">
      <c r="A42" s="78"/>
      <c r="B42" s="422"/>
      <c r="C42" s="423"/>
      <c r="D42" s="456" t="s">
        <v>103</v>
      </c>
      <c r="E42" s="457"/>
      <c r="F42" s="148" t="s">
        <v>98</v>
      </c>
      <c r="G42" s="163" t="s">
        <v>204</v>
      </c>
      <c r="H42" s="578"/>
      <c r="I42" s="154">
        <f>Inmunizaciones!F43</f>
        <v>0</v>
      </c>
      <c r="J42" s="154">
        <f>Inmunizaciones!G43</f>
        <v>0</v>
      </c>
      <c r="K42" s="572">
        <f>I42+J42</f>
        <v>0</v>
      </c>
      <c r="L42" s="573"/>
      <c r="M42" s="573"/>
      <c r="N42" s="574"/>
      <c r="O42" s="66"/>
      <c r="P42" s="244" t="s">
        <v>231</v>
      </c>
      <c r="Q42" s="76">
        <f>Inmunizaciones!C208</f>
        <v>0</v>
      </c>
      <c r="R42" s="76">
        <f>Inmunizaciones!D208</f>
        <v>0</v>
      </c>
      <c r="S42" s="76">
        <f>Inmunizaciones!E208</f>
        <v>0</v>
      </c>
      <c r="T42" s="215">
        <f>Inmunizaciones!F208</f>
        <v>0</v>
      </c>
      <c r="U42" s="66"/>
    </row>
    <row r="43" spans="1:21" x14ac:dyDescent="0.2">
      <c r="A43" s="78"/>
      <c r="B43" s="422"/>
      <c r="C43" s="423"/>
      <c r="D43" s="458"/>
      <c r="E43" s="459"/>
      <c r="F43" s="147" t="s">
        <v>68</v>
      </c>
      <c r="G43" s="163" t="s">
        <v>204</v>
      </c>
      <c r="H43" s="579"/>
      <c r="I43" s="154">
        <f>Inmunizaciones!F44</f>
        <v>0</v>
      </c>
      <c r="J43" s="154">
        <f>Inmunizaciones!G44</f>
        <v>0</v>
      </c>
      <c r="K43" s="572">
        <f>I43+J43</f>
        <v>0</v>
      </c>
      <c r="L43" s="573"/>
      <c r="M43" s="573"/>
      <c r="N43" s="574"/>
      <c r="O43" s="66"/>
      <c r="P43" s="245" t="s">
        <v>232</v>
      </c>
      <c r="Q43" s="76">
        <f>Inmunizaciones!C209</f>
        <v>0</v>
      </c>
      <c r="R43" s="76">
        <f>Inmunizaciones!D209</f>
        <v>0</v>
      </c>
      <c r="S43" s="76">
        <f>Inmunizaciones!E209</f>
        <v>0</v>
      </c>
      <c r="T43" s="215">
        <f>Inmunizaciones!F209</f>
        <v>0</v>
      </c>
      <c r="U43" s="66"/>
    </row>
    <row r="44" spans="1:21" ht="13.5" thickBot="1" x14ac:dyDescent="0.25">
      <c r="A44" s="78"/>
      <c r="B44" s="422"/>
      <c r="C44" s="423"/>
      <c r="D44" s="458"/>
      <c r="E44" s="459"/>
      <c r="F44" s="184" t="s">
        <v>69</v>
      </c>
      <c r="G44" s="163" t="s">
        <v>204</v>
      </c>
      <c r="H44" s="579"/>
      <c r="I44" s="154">
        <f>Inmunizaciones!F45</f>
        <v>0</v>
      </c>
      <c r="J44" s="154">
        <f>Inmunizaciones!G45</f>
        <v>0</v>
      </c>
      <c r="K44" s="580">
        <f>I44+J44</f>
        <v>0</v>
      </c>
      <c r="L44" s="581"/>
      <c r="M44" s="581"/>
      <c r="N44" s="582"/>
      <c r="O44" s="66"/>
      <c r="P44" s="112" t="s">
        <v>233</v>
      </c>
      <c r="Q44" s="232">
        <f>Inmunizaciones!C210</f>
        <v>0</v>
      </c>
      <c r="R44" s="232">
        <f>Inmunizaciones!D210</f>
        <v>0</v>
      </c>
      <c r="S44" s="232">
        <f>Inmunizaciones!E210</f>
        <v>0</v>
      </c>
      <c r="T44" s="160">
        <f>Inmunizaciones!F210</f>
        <v>0</v>
      </c>
      <c r="U44" s="66"/>
    </row>
    <row r="45" spans="1:21" ht="13.5" customHeight="1" thickBot="1" x14ac:dyDescent="0.25">
      <c r="A45" s="78"/>
      <c r="B45" s="533" t="s">
        <v>104</v>
      </c>
      <c r="C45" s="534"/>
      <c r="D45" s="534"/>
      <c r="E45" s="534"/>
      <c r="F45" s="534"/>
      <c r="G45" s="176" t="s">
        <v>204</v>
      </c>
      <c r="H45" s="306">
        <f>Inmunizaciones!E46</f>
        <v>0</v>
      </c>
      <c r="I45" s="583"/>
      <c r="J45" s="584"/>
      <c r="K45" s="243">
        <f>H45</f>
        <v>0</v>
      </c>
      <c r="L45" s="157"/>
      <c r="M45" s="157"/>
      <c r="N45" s="585"/>
      <c r="O45" s="66"/>
      <c r="P45" s="66"/>
      <c r="Q45" s="66"/>
      <c r="R45" s="66"/>
      <c r="S45" s="66"/>
      <c r="T45" s="66"/>
      <c r="U45" s="66"/>
    </row>
    <row r="46" spans="1:21" x14ac:dyDescent="0.2">
      <c r="A46" s="66"/>
      <c r="B46" s="98"/>
      <c r="C46" s="98"/>
      <c r="D46" s="99"/>
      <c r="E46" s="99"/>
      <c r="F46" s="69"/>
      <c r="G46" s="69"/>
      <c r="H46" s="69"/>
      <c r="I46" s="69"/>
      <c r="J46" s="69"/>
      <c r="K46" s="69"/>
      <c r="L46" s="66"/>
      <c r="M46" s="66"/>
      <c r="N46" s="66"/>
      <c r="O46" s="66"/>
      <c r="P46" s="66"/>
      <c r="Q46" s="66"/>
      <c r="R46" s="66"/>
      <c r="S46" s="66"/>
      <c r="T46" s="66"/>
      <c r="U46" s="66"/>
    </row>
    <row r="47" spans="1:21" ht="13.5" thickBot="1" x14ac:dyDescent="0.25">
      <c r="A47" s="66"/>
      <c r="B47" s="68" t="s">
        <v>75</v>
      </c>
      <c r="C47" s="68"/>
      <c r="D47" s="66"/>
      <c r="E47" s="66"/>
      <c r="F47" s="66"/>
      <c r="G47" s="66"/>
      <c r="H47" s="66"/>
      <c r="I47" s="100" t="s">
        <v>125</v>
      </c>
      <c r="J47" s="72"/>
      <c r="K47" s="66"/>
      <c r="L47" s="66"/>
      <c r="M47" s="66"/>
      <c r="N47" s="68" t="s">
        <v>77</v>
      </c>
      <c r="O47" s="68"/>
      <c r="P47" s="66"/>
      <c r="Q47" s="66"/>
      <c r="R47" s="66"/>
      <c r="S47" s="66"/>
      <c r="T47" s="66"/>
      <c r="U47" s="66"/>
    </row>
    <row r="48" spans="1:21" x14ac:dyDescent="0.2">
      <c r="A48" s="66"/>
      <c r="B48" s="409" t="s">
        <v>28</v>
      </c>
      <c r="C48" s="410"/>
      <c r="D48" s="410"/>
      <c r="E48" s="410"/>
      <c r="F48" s="410"/>
      <c r="G48" s="448" t="s">
        <v>10</v>
      </c>
      <c r="H48" s="405"/>
      <c r="I48" s="405"/>
      <c r="J48" s="406"/>
      <c r="K48" s="407" t="s">
        <v>18</v>
      </c>
      <c r="L48" s="468"/>
      <c r="M48" s="408"/>
      <c r="N48" s="529" t="s">
        <v>10</v>
      </c>
      <c r="O48" s="405"/>
      <c r="P48" s="405"/>
      <c r="Q48" s="406"/>
      <c r="R48" s="407" t="s">
        <v>18</v>
      </c>
      <c r="S48" s="468"/>
      <c r="T48" s="408"/>
      <c r="U48" s="66"/>
    </row>
    <row r="49" spans="1:21" x14ac:dyDescent="0.2">
      <c r="A49" s="66"/>
      <c r="B49" s="412"/>
      <c r="C49" s="413"/>
      <c r="D49" s="413"/>
      <c r="E49" s="413"/>
      <c r="F49" s="413"/>
      <c r="G49" s="74" t="s">
        <v>19</v>
      </c>
      <c r="H49" s="74" t="s">
        <v>20</v>
      </c>
      <c r="I49" s="74" t="s">
        <v>21</v>
      </c>
      <c r="J49" s="76" t="s">
        <v>8</v>
      </c>
      <c r="K49" s="77" t="s">
        <v>8</v>
      </c>
      <c r="L49" s="74" t="s">
        <v>13</v>
      </c>
      <c r="M49" s="86" t="s">
        <v>22</v>
      </c>
      <c r="N49" s="101" t="s">
        <v>19</v>
      </c>
      <c r="O49" s="74" t="s">
        <v>20</v>
      </c>
      <c r="P49" s="74" t="s">
        <v>21</v>
      </c>
      <c r="Q49" s="76" t="s">
        <v>8</v>
      </c>
      <c r="R49" s="77" t="s">
        <v>8</v>
      </c>
      <c r="S49" s="74" t="s">
        <v>13</v>
      </c>
      <c r="T49" s="86" t="s">
        <v>22</v>
      </c>
      <c r="U49" s="66"/>
    </row>
    <row r="50" spans="1:21" x14ac:dyDescent="0.2">
      <c r="A50" s="78"/>
      <c r="B50" s="102" t="s">
        <v>126</v>
      </c>
      <c r="C50" s="88"/>
      <c r="D50" s="88"/>
      <c r="E50" s="88"/>
      <c r="F50" s="81" t="s">
        <v>19</v>
      </c>
      <c r="G50" s="305">
        <f>Inmunizaciones!E51</f>
        <v>0</v>
      </c>
      <c r="H50" s="569"/>
      <c r="I50" s="570"/>
      <c r="J50" s="566">
        <f>G50</f>
        <v>0</v>
      </c>
      <c r="K50" s="567"/>
      <c r="L50" s="567"/>
      <c r="M50" s="568"/>
      <c r="N50" s="305">
        <f>Inmunizaciones!H51</f>
        <v>0</v>
      </c>
      <c r="O50" s="569"/>
      <c r="P50" s="570"/>
      <c r="Q50" s="566">
        <f>N50</f>
        <v>0</v>
      </c>
      <c r="R50" s="567"/>
      <c r="S50" s="567"/>
      <c r="T50" s="568"/>
      <c r="U50" s="66"/>
    </row>
    <row r="51" spans="1:21" x14ac:dyDescent="0.2">
      <c r="A51" s="78"/>
      <c r="B51" s="102" t="s">
        <v>207</v>
      </c>
      <c r="C51" s="103"/>
      <c r="D51" s="103"/>
      <c r="E51" s="103"/>
      <c r="F51" s="81" t="s">
        <v>19</v>
      </c>
      <c r="G51" s="305">
        <f>Inmunizaciones!E52</f>
        <v>0</v>
      </c>
      <c r="H51" s="569"/>
      <c r="I51" s="570"/>
      <c r="J51" s="566">
        <f>G51</f>
        <v>0</v>
      </c>
      <c r="K51" s="567"/>
      <c r="L51" s="567"/>
      <c r="M51" s="568"/>
      <c r="N51" s="305">
        <f>Inmunizaciones!H52</f>
        <v>0</v>
      </c>
      <c r="O51" s="569"/>
      <c r="P51" s="570"/>
      <c r="Q51" s="566">
        <f>N51</f>
        <v>0</v>
      </c>
      <c r="R51" s="567"/>
      <c r="S51" s="567"/>
      <c r="T51" s="568"/>
      <c r="U51" s="66"/>
    </row>
    <row r="52" spans="1:21" x14ac:dyDescent="0.2">
      <c r="A52" s="78"/>
      <c r="B52" s="102" t="s">
        <v>127</v>
      </c>
      <c r="C52" s="88"/>
      <c r="D52" s="88"/>
      <c r="E52" s="88"/>
      <c r="F52" s="81" t="s">
        <v>19</v>
      </c>
      <c r="G52" s="305">
        <f>Inmunizaciones!E53</f>
        <v>0</v>
      </c>
      <c r="H52" s="569"/>
      <c r="I52" s="570"/>
      <c r="J52" s="566">
        <f>G52</f>
        <v>0</v>
      </c>
      <c r="K52" s="567"/>
      <c r="L52" s="567"/>
      <c r="M52" s="568"/>
      <c r="N52" s="305">
        <f>Inmunizaciones!H53</f>
        <v>0</v>
      </c>
      <c r="O52" s="569"/>
      <c r="P52" s="570"/>
      <c r="Q52" s="566">
        <f>N52</f>
        <v>0</v>
      </c>
      <c r="R52" s="567"/>
      <c r="S52" s="567"/>
      <c r="T52" s="568"/>
      <c r="U52" s="66"/>
    </row>
    <row r="53" spans="1:21" ht="12.75" customHeight="1" x14ac:dyDescent="0.2">
      <c r="A53" s="78"/>
      <c r="B53" s="420" t="s">
        <v>124</v>
      </c>
      <c r="C53" s="421"/>
      <c r="D53" s="93" t="s">
        <v>122</v>
      </c>
      <c r="E53" s="93"/>
      <c r="F53" s="94"/>
      <c r="G53" s="154">
        <f>Inmunizaciones!E54</f>
        <v>0</v>
      </c>
      <c r="H53" s="569"/>
      <c r="I53" s="570"/>
      <c r="J53" s="572">
        <f>G53</f>
        <v>0</v>
      </c>
      <c r="K53" s="573"/>
      <c r="L53" s="573"/>
      <c r="M53" s="574"/>
      <c r="N53" s="154">
        <f>Inmunizaciones!H54</f>
        <v>0</v>
      </c>
      <c r="O53" s="569"/>
      <c r="P53" s="570"/>
      <c r="Q53" s="572">
        <f>N53</f>
        <v>0</v>
      </c>
      <c r="R53" s="573"/>
      <c r="S53" s="573"/>
      <c r="T53" s="574"/>
      <c r="U53" s="66"/>
    </row>
    <row r="54" spans="1:21" x14ac:dyDescent="0.2">
      <c r="A54" s="78"/>
      <c r="B54" s="422"/>
      <c r="C54" s="423"/>
      <c r="D54" s="486" t="s">
        <v>5</v>
      </c>
      <c r="E54" s="450"/>
      <c r="F54" s="81" t="s">
        <v>87</v>
      </c>
      <c r="G54" s="154">
        <f>Inmunizaciones!E55</f>
        <v>0</v>
      </c>
      <c r="H54" s="154">
        <f>Inmunizaciones!F55</f>
        <v>0</v>
      </c>
      <c r="I54" s="154">
        <f>Inmunizaciones!G55</f>
        <v>0</v>
      </c>
      <c r="J54" s="572">
        <f>G54+H54</f>
        <v>0</v>
      </c>
      <c r="K54" s="573"/>
      <c r="L54" s="573"/>
      <c r="M54" s="574"/>
      <c r="N54" s="154">
        <f>Inmunizaciones!H55</f>
        <v>0</v>
      </c>
      <c r="O54" s="154">
        <f>Inmunizaciones!I55</f>
        <v>0</v>
      </c>
      <c r="P54" s="154">
        <f>Inmunizaciones!J55</f>
        <v>0</v>
      </c>
      <c r="Q54" s="572">
        <f>N54+O54</f>
        <v>0</v>
      </c>
      <c r="R54" s="573"/>
      <c r="S54" s="573"/>
      <c r="T54" s="574"/>
      <c r="U54" s="66"/>
    </row>
    <row r="55" spans="1:21" x14ac:dyDescent="0.2">
      <c r="A55" s="78"/>
      <c r="B55" s="422"/>
      <c r="C55" s="423"/>
      <c r="D55" s="487"/>
      <c r="E55" s="452"/>
      <c r="F55" s="80" t="s">
        <v>88</v>
      </c>
      <c r="G55" s="576"/>
      <c r="H55" s="577"/>
      <c r="I55" s="154">
        <f>Inmunizaciones!G56</f>
        <v>0</v>
      </c>
      <c r="J55" s="572">
        <f>I55</f>
        <v>0</v>
      </c>
      <c r="K55" s="573"/>
      <c r="L55" s="573"/>
      <c r="M55" s="574"/>
      <c r="N55" s="576"/>
      <c r="O55" s="577"/>
      <c r="P55" s="154">
        <f>Inmunizaciones!J56</f>
        <v>0</v>
      </c>
      <c r="Q55" s="572">
        <f>P55</f>
        <v>0</v>
      </c>
      <c r="R55" s="573"/>
      <c r="S55" s="573"/>
      <c r="T55" s="574"/>
      <c r="U55" s="66"/>
    </row>
    <row r="56" spans="1:21" x14ac:dyDescent="0.2">
      <c r="A56" s="78"/>
      <c r="B56" s="422"/>
      <c r="C56" s="423"/>
      <c r="D56" s="454" t="s">
        <v>30</v>
      </c>
      <c r="E56" s="454"/>
      <c r="F56" s="455"/>
      <c r="G56" s="154">
        <f>Inmunizaciones!E57</f>
        <v>0</v>
      </c>
      <c r="H56" s="154">
        <f>Inmunizaciones!F57</f>
        <v>0</v>
      </c>
      <c r="I56" s="154">
        <f>Inmunizaciones!G57</f>
        <v>0</v>
      </c>
      <c r="J56" s="572">
        <f>G56+H56+I56</f>
        <v>0</v>
      </c>
      <c r="K56" s="573"/>
      <c r="L56" s="573"/>
      <c r="M56" s="574"/>
      <c r="N56" s="154">
        <f>Inmunizaciones!H57</f>
        <v>0</v>
      </c>
      <c r="O56" s="154">
        <f>Inmunizaciones!I57</f>
        <v>0</v>
      </c>
      <c r="P56" s="154">
        <f>Inmunizaciones!J57</f>
        <v>0</v>
      </c>
      <c r="Q56" s="572">
        <f>N56+O56+P56</f>
        <v>0</v>
      </c>
      <c r="R56" s="573"/>
      <c r="S56" s="573"/>
      <c r="T56" s="574"/>
      <c r="U56" s="66"/>
    </row>
    <row r="57" spans="1:21" ht="12.75" customHeight="1" x14ac:dyDescent="0.2">
      <c r="A57" s="78"/>
      <c r="B57" s="422"/>
      <c r="C57" s="423"/>
      <c r="D57" s="488" t="s">
        <v>103</v>
      </c>
      <c r="E57" s="457"/>
      <c r="F57" s="81" t="s">
        <v>98</v>
      </c>
      <c r="G57" s="578"/>
      <c r="H57" s="154">
        <f>Inmunizaciones!F58</f>
        <v>0</v>
      </c>
      <c r="I57" s="154">
        <f>Inmunizaciones!G58</f>
        <v>0</v>
      </c>
      <c r="J57" s="572">
        <f>H57+I57</f>
        <v>0</v>
      </c>
      <c r="K57" s="573"/>
      <c r="L57" s="573"/>
      <c r="M57" s="574"/>
      <c r="N57" s="578"/>
      <c r="O57" s="154">
        <f>Inmunizaciones!I58</f>
        <v>0</v>
      </c>
      <c r="P57" s="154">
        <f>Inmunizaciones!J58</f>
        <v>0</v>
      </c>
      <c r="Q57" s="572">
        <f>O57+P57</f>
        <v>0</v>
      </c>
      <c r="R57" s="573"/>
      <c r="S57" s="573"/>
      <c r="T57" s="574"/>
      <c r="U57" s="66"/>
    </row>
    <row r="58" spans="1:21" x14ac:dyDescent="0.2">
      <c r="A58" s="78"/>
      <c r="B58" s="422"/>
      <c r="C58" s="423"/>
      <c r="D58" s="489"/>
      <c r="E58" s="459"/>
      <c r="F58" s="80" t="s">
        <v>68</v>
      </c>
      <c r="G58" s="579"/>
      <c r="H58" s="154">
        <f>Inmunizaciones!F59</f>
        <v>0</v>
      </c>
      <c r="I58" s="154">
        <f>Inmunizaciones!G59</f>
        <v>0</v>
      </c>
      <c r="J58" s="572">
        <f>H58+I58</f>
        <v>0</v>
      </c>
      <c r="K58" s="573"/>
      <c r="L58" s="573"/>
      <c r="M58" s="574"/>
      <c r="N58" s="579"/>
      <c r="O58" s="154">
        <f>Inmunizaciones!I59</f>
        <v>0</v>
      </c>
      <c r="P58" s="154">
        <f>Inmunizaciones!J59</f>
        <v>0</v>
      </c>
      <c r="Q58" s="572">
        <f>O58+P58</f>
        <v>0</v>
      </c>
      <c r="R58" s="573"/>
      <c r="S58" s="573"/>
      <c r="T58" s="574"/>
      <c r="U58" s="66"/>
    </row>
    <row r="59" spans="1:21" x14ac:dyDescent="0.2">
      <c r="A59" s="78"/>
      <c r="B59" s="422"/>
      <c r="C59" s="423"/>
      <c r="D59" s="490"/>
      <c r="E59" s="461"/>
      <c r="F59" s="82" t="s">
        <v>69</v>
      </c>
      <c r="G59" s="579"/>
      <c r="H59" s="154">
        <f>Inmunizaciones!F60</f>
        <v>0</v>
      </c>
      <c r="I59" s="154">
        <f>Inmunizaciones!G60</f>
        <v>0</v>
      </c>
      <c r="J59" s="572">
        <f>H59+I59</f>
        <v>0</v>
      </c>
      <c r="K59" s="573"/>
      <c r="L59" s="573"/>
      <c r="M59" s="574"/>
      <c r="N59" s="579"/>
      <c r="O59" s="154">
        <f>Inmunizaciones!I60</f>
        <v>0</v>
      </c>
      <c r="P59" s="154">
        <f>Inmunizaciones!J60</f>
        <v>0</v>
      </c>
      <c r="Q59" s="572">
        <f>O59+P59</f>
        <v>0</v>
      </c>
      <c r="R59" s="573"/>
      <c r="S59" s="573"/>
      <c r="T59" s="574"/>
      <c r="U59" s="66"/>
    </row>
    <row r="60" spans="1:21" x14ac:dyDescent="0.2">
      <c r="A60" s="78"/>
      <c r="B60" s="422"/>
      <c r="C60" s="423"/>
      <c r="D60" s="491" t="s">
        <v>72</v>
      </c>
      <c r="E60" s="491"/>
      <c r="F60" s="492"/>
      <c r="G60" s="305">
        <f>Inmunizaciones!E61</f>
        <v>0</v>
      </c>
      <c r="H60" s="305">
        <f>Inmunizaciones!F61</f>
        <v>0</v>
      </c>
      <c r="I60" s="586"/>
      <c r="J60" s="587">
        <f>G60+H60</f>
        <v>0</v>
      </c>
      <c r="K60" s="588"/>
      <c r="L60" s="588"/>
      <c r="M60" s="589"/>
      <c r="N60" s="154">
        <f>Inmunizaciones!H61</f>
        <v>0</v>
      </c>
      <c r="O60" s="154">
        <f>Inmunizaciones!I61</f>
        <v>0</v>
      </c>
      <c r="P60" s="586"/>
      <c r="Q60" s="587">
        <f>N60+O60</f>
        <v>0</v>
      </c>
      <c r="R60" s="590"/>
      <c r="S60" s="573"/>
      <c r="T60" s="574"/>
      <c r="U60" s="66"/>
    </row>
    <row r="61" spans="1:21" ht="12.75" customHeight="1" x14ac:dyDescent="0.2">
      <c r="A61" s="78"/>
      <c r="B61" s="422"/>
      <c r="C61" s="423"/>
      <c r="D61" s="446" t="s">
        <v>234</v>
      </c>
      <c r="E61" s="493"/>
      <c r="F61" s="493"/>
      <c r="G61" s="154">
        <f>Inmunizaciones!E63</f>
        <v>0</v>
      </c>
      <c r="H61" s="576"/>
      <c r="I61" s="570"/>
      <c r="J61" s="591">
        <f>G61</f>
        <v>0</v>
      </c>
      <c r="K61" s="581"/>
      <c r="L61" s="581"/>
      <c r="M61" s="582"/>
      <c r="N61" s="154">
        <f>Inmunizaciones!H63</f>
        <v>0</v>
      </c>
      <c r="O61" s="576"/>
      <c r="P61" s="570"/>
      <c r="Q61" s="591">
        <f>N61</f>
        <v>0</v>
      </c>
      <c r="R61" s="592"/>
      <c r="S61" s="581"/>
      <c r="T61" s="582"/>
      <c r="U61" s="66"/>
    </row>
    <row r="62" spans="1:21" ht="13.5" customHeight="1" x14ac:dyDescent="0.2">
      <c r="A62" s="78"/>
      <c r="B62" s="602" t="s">
        <v>104</v>
      </c>
      <c r="C62" s="603"/>
      <c r="D62" s="603"/>
      <c r="E62" s="603"/>
      <c r="F62" s="604"/>
      <c r="G62" s="605">
        <f>Inmunizaciones!E62</f>
        <v>0</v>
      </c>
      <c r="H62" s="569"/>
      <c r="I62" s="570"/>
      <c r="J62" s="591">
        <f>G62</f>
        <v>0</v>
      </c>
      <c r="K62" s="581"/>
      <c r="L62" s="581"/>
      <c r="M62" s="582"/>
      <c r="N62" s="605">
        <f>Inmunizaciones!H62</f>
        <v>0</v>
      </c>
      <c r="O62" s="569"/>
      <c r="P62" s="570"/>
      <c r="Q62" s="591">
        <f>N62</f>
        <v>0</v>
      </c>
      <c r="R62" s="592"/>
      <c r="S62" s="581"/>
      <c r="T62" s="582"/>
      <c r="U62" s="66"/>
    </row>
    <row r="63" spans="1:21" ht="13.5" customHeight="1" x14ac:dyDescent="0.2">
      <c r="A63" s="78"/>
      <c r="B63" s="606" t="s">
        <v>37</v>
      </c>
      <c r="C63" s="607"/>
      <c r="D63" s="607"/>
      <c r="E63" s="607"/>
      <c r="F63" s="608"/>
      <c r="G63" s="578"/>
      <c r="H63" s="609">
        <f>Inmunizaciones!F64</f>
        <v>0</v>
      </c>
      <c r="I63" s="570"/>
      <c r="J63" s="610">
        <f>H63</f>
        <v>0</v>
      </c>
      <c r="K63" s="588"/>
      <c r="L63" s="588"/>
      <c r="M63" s="589"/>
      <c r="N63" s="578"/>
      <c r="O63" s="609">
        <f>Inmunizaciones!M64</f>
        <v>0</v>
      </c>
      <c r="P63" s="570"/>
      <c r="Q63" s="610">
        <f>O63</f>
        <v>0</v>
      </c>
      <c r="R63" s="611"/>
      <c r="S63" s="588"/>
      <c r="T63" s="589"/>
      <c r="U63" s="66"/>
    </row>
    <row r="64" spans="1:21" ht="13.5" customHeight="1" thickBot="1" x14ac:dyDescent="0.25">
      <c r="A64" s="78"/>
      <c r="B64" s="612" t="s">
        <v>105</v>
      </c>
      <c r="C64" s="613"/>
      <c r="D64" s="613"/>
      <c r="E64" s="613"/>
      <c r="F64" s="614"/>
      <c r="G64" s="620"/>
      <c r="H64" s="156">
        <f>Inmunizaciones!F65</f>
        <v>0</v>
      </c>
      <c r="I64" s="619"/>
      <c r="J64" s="615">
        <f>H64</f>
        <v>0</v>
      </c>
      <c r="K64" s="616"/>
      <c r="L64" s="616"/>
      <c r="M64" s="617"/>
      <c r="N64" s="620"/>
      <c r="O64" s="156">
        <f>Inmunizaciones!M65</f>
        <v>0</v>
      </c>
      <c r="P64" s="619"/>
      <c r="Q64" s="615">
        <f>O64</f>
        <v>0</v>
      </c>
      <c r="R64" s="618"/>
      <c r="S64" s="616"/>
      <c r="T64" s="617"/>
      <c r="U64" s="66"/>
    </row>
    <row r="65" spans="1:21" x14ac:dyDescent="0.2">
      <c r="A65" s="78"/>
      <c r="B65" s="98"/>
      <c r="C65" s="98"/>
      <c r="D65" s="447"/>
      <c r="E65" s="447"/>
      <c r="F65" s="447"/>
      <c r="G65" s="69"/>
      <c r="H65" s="69"/>
      <c r="I65" s="69"/>
      <c r="J65" s="69"/>
      <c r="K65" s="69"/>
      <c r="L65" s="66"/>
      <c r="M65" s="66"/>
      <c r="N65" s="69"/>
      <c r="O65" s="69"/>
      <c r="P65" s="69"/>
      <c r="Q65" s="69"/>
      <c r="R65" s="69"/>
      <c r="S65" s="69"/>
      <c r="T65" s="66"/>
      <c r="U65" s="66"/>
    </row>
    <row r="66" spans="1:21" ht="15" thickBot="1" x14ac:dyDescent="0.25">
      <c r="A66" s="66"/>
      <c r="B66" s="68" t="s">
        <v>78</v>
      </c>
      <c r="C66" s="68"/>
      <c r="D66" s="66"/>
      <c r="E66" s="66"/>
      <c r="F66" s="66"/>
      <c r="G66" s="66"/>
      <c r="H66" s="70"/>
      <c r="I66" s="71"/>
      <c r="J66" s="100" t="s">
        <v>76</v>
      </c>
      <c r="K66" s="72"/>
      <c r="L66" s="66"/>
      <c r="M66" s="66"/>
      <c r="N66" s="68" t="s">
        <v>128</v>
      </c>
      <c r="O66" s="66"/>
      <c r="P66" s="66"/>
      <c r="Q66" s="66"/>
      <c r="R66" s="66"/>
      <c r="S66" s="66"/>
      <c r="T66" s="204">
        <v>1</v>
      </c>
      <c r="U66" s="66"/>
    </row>
    <row r="67" spans="1:21" ht="13.5" thickBot="1" x14ac:dyDescent="0.25">
      <c r="A67" s="66"/>
      <c r="B67" s="409" t="s">
        <v>28</v>
      </c>
      <c r="C67" s="410"/>
      <c r="D67" s="410"/>
      <c r="E67" s="410"/>
      <c r="F67" s="411"/>
      <c r="G67" s="448" t="s">
        <v>10</v>
      </c>
      <c r="H67" s="405"/>
      <c r="I67" s="405"/>
      <c r="J67" s="406"/>
      <c r="K67" s="407" t="s">
        <v>18</v>
      </c>
      <c r="L67" s="468"/>
      <c r="M67" s="408"/>
      <c r="N67" s="185" t="s">
        <v>235</v>
      </c>
      <c r="O67" s="186"/>
      <c r="P67" s="186"/>
      <c r="Q67" s="186"/>
      <c r="R67" s="187" t="s">
        <v>76</v>
      </c>
      <c r="S67" s="188"/>
      <c r="T67" s="189"/>
      <c r="U67" s="66"/>
    </row>
    <row r="68" spans="1:21" x14ac:dyDescent="0.2">
      <c r="A68" s="66"/>
      <c r="B68" s="412"/>
      <c r="C68" s="413"/>
      <c r="D68" s="413"/>
      <c r="E68" s="413"/>
      <c r="F68" s="414"/>
      <c r="G68" s="74" t="s">
        <v>19</v>
      </c>
      <c r="H68" s="74" t="s">
        <v>20</v>
      </c>
      <c r="I68" s="74" t="s">
        <v>21</v>
      </c>
      <c r="J68" s="76" t="s">
        <v>8</v>
      </c>
      <c r="K68" s="77" t="s">
        <v>8</v>
      </c>
      <c r="L68" s="74" t="s">
        <v>13</v>
      </c>
      <c r="M68" s="86" t="s">
        <v>22</v>
      </c>
      <c r="N68" s="403" t="s">
        <v>129</v>
      </c>
      <c r="O68" s="448" t="s">
        <v>10</v>
      </c>
      <c r="P68" s="405"/>
      <c r="Q68" s="405"/>
      <c r="R68" s="406"/>
      <c r="S68" s="407" t="s">
        <v>25</v>
      </c>
      <c r="T68" s="408"/>
      <c r="U68" s="66"/>
    </row>
    <row r="69" spans="1:21" x14ac:dyDescent="0.2">
      <c r="A69" s="78"/>
      <c r="B69" s="102" t="s">
        <v>126</v>
      </c>
      <c r="C69" s="88"/>
      <c r="D69" s="88"/>
      <c r="E69" s="88"/>
      <c r="F69" s="81" t="s">
        <v>19</v>
      </c>
      <c r="G69" s="305">
        <f>Inmunizaciones!K51</f>
        <v>0</v>
      </c>
      <c r="H69" s="569"/>
      <c r="I69" s="570"/>
      <c r="J69" s="566">
        <f>G69</f>
        <v>0</v>
      </c>
      <c r="K69" s="89"/>
      <c r="L69" s="89"/>
      <c r="M69" s="106"/>
      <c r="N69" s="404"/>
      <c r="O69" s="77" t="s">
        <v>19</v>
      </c>
      <c r="P69" s="74" t="s">
        <v>20</v>
      </c>
      <c r="Q69" s="74" t="s">
        <v>21</v>
      </c>
      <c r="R69" s="76" t="s">
        <v>8</v>
      </c>
      <c r="S69" s="76" t="s">
        <v>13</v>
      </c>
      <c r="T69" s="86" t="s">
        <v>22</v>
      </c>
      <c r="U69" s="66"/>
    </row>
    <row r="70" spans="1:21" x14ac:dyDescent="0.2">
      <c r="A70" s="78"/>
      <c r="B70" s="102" t="s">
        <v>207</v>
      </c>
      <c r="C70" s="88"/>
      <c r="D70" s="88"/>
      <c r="E70" s="88"/>
      <c r="F70" s="81" t="s">
        <v>19</v>
      </c>
      <c r="G70" s="305">
        <f>Inmunizaciones!K52</f>
        <v>0</v>
      </c>
      <c r="H70" s="569"/>
      <c r="I70" s="570"/>
      <c r="J70" s="566">
        <f>G70</f>
        <v>0</v>
      </c>
      <c r="K70" s="89"/>
      <c r="L70" s="89"/>
      <c r="M70" s="106"/>
      <c r="N70" s="108" t="s">
        <v>293</v>
      </c>
      <c r="O70" s="305">
        <f>Inmunizaciones!C70</f>
        <v>0</v>
      </c>
      <c r="P70" s="305">
        <f>Inmunizaciones!D70</f>
        <v>0</v>
      </c>
      <c r="Q70" s="305">
        <f>Inmunizaciones!E70</f>
        <v>0</v>
      </c>
      <c r="R70" s="572">
        <f t="shared" ref="R70" si="0">O70+P70+Q70</f>
        <v>0</v>
      </c>
      <c r="S70" s="567"/>
      <c r="T70" s="628"/>
      <c r="U70" s="66"/>
    </row>
    <row r="71" spans="1:21" x14ac:dyDescent="0.2">
      <c r="A71" s="78"/>
      <c r="B71" s="102" t="s">
        <v>127</v>
      </c>
      <c r="C71" s="88"/>
      <c r="D71" s="88"/>
      <c r="E71" s="88"/>
      <c r="F71" s="81" t="s">
        <v>19</v>
      </c>
      <c r="G71" s="305">
        <f>Inmunizaciones!K53</f>
        <v>0</v>
      </c>
      <c r="H71" s="569"/>
      <c r="I71" s="570"/>
      <c r="J71" s="566">
        <f>G71</f>
        <v>0</v>
      </c>
      <c r="K71" s="89"/>
      <c r="L71" s="89"/>
      <c r="M71" s="106"/>
      <c r="N71" s="108" t="s">
        <v>294</v>
      </c>
      <c r="O71" s="305">
        <f>Inmunizaciones!C71</f>
        <v>0</v>
      </c>
      <c r="P71" s="305">
        <f>Inmunizaciones!D71</f>
        <v>0</v>
      </c>
      <c r="Q71" s="305">
        <f>Inmunizaciones!E71</f>
        <v>0</v>
      </c>
      <c r="R71" s="572">
        <f t="shared" ref="R71:R76" si="1">O71+P71+Q71</f>
        <v>0</v>
      </c>
      <c r="S71" s="567"/>
      <c r="T71" s="628"/>
      <c r="U71" s="66"/>
    </row>
    <row r="72" spans="1:21" ht="12.75" customHeight="1" x14ac:dyDescent="0.2">
      <c r="A72" s="78"/>
      <c r="B72" s="420" t="s">
        <v>124</v>
      </c>
      <c r="C72" s="421"/>
      <c r="D72" s="92" t="s">
        <v>122</v>
      </c>
      <c r="E72" s="93"/>
      <c r="F72" s="94"/>
      <c r="G72" s="305">
        <f>Inmunizaciones!K54</f>
        <v>0</v>
      </c>
      <c r="H72" s="569"/>
      <c r="I72" s="570"/>
      <c r="J72" s="572">
        <f>G72</f>
        <v>0</v>
      </c>
      <c r="K72" s="91"/>
      <c r="L72" s="91"/>
      <c r="M72" s="106"/>
      <c r="N72" s="108" t="s">
        <v>295</v>
      </c>
      <c r="O72" s="305">
        <f>Inmunizaciones!C72</f>
        <v>0</v>
      </c>
      <c r="P72" s="305">
        <f>Inmunizaciones!D72</f>
        <v>0</v>
      </c>
      <c r="Q72" s="305">
        <f>Inmunizaciones!E72</f>
        <v>0</v>
      </c>
      <c r="R72" s="572">
        <f t="shared" si="1"/>
        <v>0</v>
      </c>
      <c r="S72" s="567"/>
      <c r="T72" s="628"/>
      <c r="U72" s="66"/>
    </row>
    <row r="73" spans="1:21" x14ac:dyDescent="0.2">
      <c r="A73" s="78"/>
      <c r="B73" s="422"/>
      <c r="C73" s="423"/>
      <c r="D73" s="449" t="s">
        <v>5</v>
      </c>
      <c r="E73" s="450"/>
      <c r="F73" s="81" t="s">
        <v>87</v>
      </c>
      <c r="G73" s="305">
        <f>Inmunizaciones!K55</f>
        <v>0</v>
      </c>
      <c r="H73" s="305">
        <f>Inmunizaciones!L55</f>
        <v>0</v>
      </c>
      <c r="I73" s="154">
        <f>Inmunizaciones!M55</f>
        <v>0</v>
      </c>
      <c r="J73" s="572">
        <f>G73+H73</f>
        <v>0</v>
      </c>
      <c r="K73" s="91"/>
      <c r="L73" s="91"/>
      <c r="M73" s="106"/>
      <c r="N73" s="108" t="s">
        <v>296</v>
      </c>
      <c r="O73" s="305">
        <f>Inmunizaciones!C73</f>
        <v>0</v>
      </c>
      <c r="P73" s="305">
        <f>Inmunizaciones!D73</f>
        <v>0</v>
      </c>
      <c r="Q73" s="305">
        <f>Inmunizaciones!E73</f>
        <v>0</v>
      </c>
      <c r="R73" s="572">
        <f t="shared" si="1"/>
        <v>0</v>
      </c>
      <c r="S73" s="573"/>
      <c r="T73" s="629"/>
      <c r="U73" s="66"/>
    </row>
    <row r="74" spans="1:21" x14ac:dyDescent="0.2">
      <c r="A74" s="78"/>
      <c r="B74" s="422"/>
      <c r="C74" s="423"/>
      <c r="D74" s="451"/>
      <c r="E74" s="452"/>
      <c r="F74" s="80" t="s">
        <v>88</v>
      </c>
      <c r="G74" s="576"/>
      <c r="H74" s="577"/>
      <c r="I74" s="154">
        <f>Inmunizaciones!M56</f>
        <v>0</v>
      </c>
      <c r="J74" s="572">
        <f>I74</f>
        <v>0</v>
      </c>
      <c r="K74" s="91"/>
      <c r="L74" s="91"/>
      <c r="M74" s="106"/>
      <c r="N74" s="108" t="s">
        <v>297</v>
      </c>
      <c r="O74" s="305">
        <f>Inmunizaciones!C74</f>
        <v>0</v>
      </c>
      <c r="P74" s="305">
        <f>Inmunizaciones!D74</f>
        <v>0</v>
      </c>
      <c r="Q74" s="305">
        <f>Inmunizaciones!E74</f>
        <v>0</v>
      </c>
      <c r="R74" s="235">
        <f t="shared" si="1"/>
        <v>0</v>
      </c>
      <c r="S74" s="590"/>
      <c r="T74" s="630"/>
      <c r="U74" s="66"/>
    </row>
    <row r="75" spans="1:21" x14ac:dyDescent="0.2">
      <c r="A75" s="78"/>
      <c r="B75" s="422"/>
      <c r="C75" s="423"/>
      <c r="D75" s="453" t="s">
        <v>30</v>
      </c>
      <c r="E75" s="454"/>
      <c r="F75" s="455"/>
      <c r="G75" s="154">
        <f>Inmunizaciones!K57</f>
        <v>0</v>
      </c>
      <c r="H75" s="154">
        <f>Inmunizaciones!L57</f>
        <v>0</v>
      </c>
      <c r="I75" s="154">
        <f>Inmunizaciones!M57</f>
        <v>0</v>
      </c>
      <c r="J75" s="572">
        <f>G75+H75+I75</f>
        <v>0</v>
      </c>
      <c r="K75" s="91"/>
      <c r="L75" s="91"/>
      <c r="M75" s="106"/>
      <c r="N75" s="108" t="s">
        <v>298</v>
      </c>
      <c r="O75" s="305">
        <f>Inmunizaciones!C75</f>
        <v>0</v>
      </c>
      <c r="P75" s="305">
        <f>Inmunizaciones!D75</f>
        <v>0</v>
      </c>
      <c r="Q75" s="305">
        <f>Inmunizaciones!E75</f>
        <v>0</v>
      </c>
      <c r="R75" s="235">
        <f t="shared" si="1"/>
        <v>0</v>
      </c>
      <c r="S75" s="590"/>
      <c r="T75" s="630"/>
      <c r="U75" s="66"/>
    </row>
    <row r="76" spans="1:21" ht="12.75" customHeight="1" thickBot="1" x14ac:dyDescent="0.25">
      <c r="A76" s="78"/>
      <c r="B76" s="422"/>
      <c r="C76" s="423"/>
      <c r="D76" s="456" t="s">
        <v>103</v>
      </c>
      <c r="E76" s="457"/>
      <c r="F76" s="81" t="s">
        <v>98</v>
      </c>
      <c r="G76" s="578"/>
      <c r="H76" s="154">
        <f>Inmunizaciones!L58</f>
        <v>0</v>
      </c>
      <c r="I76" s="154">
        <f>Inmunizaciones!M58</f>
        <v>0</v>
      </c>
      <c r="J76" s="572">
        <f>H76+I76</f>
        <v>0</v>
      </c>
      <c r="K76" s="91"/>
      <c r="L76" s="91"/>
      <c r="M76" s="106"/>
      <c r="N76" s="112" t="s">
        <v>299</v>
      </c>
      <c r="O76" s="306">
        <f>Inmunizaciones!C76</f>
        <v>0</v>
      </c>
      <c r="P76" s="306">
        <f>Inmunizaciones!D76</f>
        <v>0</v>
      </c>
      <c r="Q76" s="306">
        <f>Inmunizaciones!E76</f>
        <v>0</v>
      </c>
      <c r="R76" s="243">
        <f t="shared" si="1"/>
        <v>0</v>
      </c>
      <c r="S76" s="157"/>
      <c r="T76" s="631"/>
      <c r="U76" s="66"/>
    </row>
    <row r="77" spans="1:21" ht="13.5" thickBot="1" x14ac:dyDescent="0.25">
      <c r="A77" s="78"/>
      <c r="B77" s="422"/>
      <c r="C77" s="423"/>
      <c r="D77" s="458"/>
      <c r="E77" s="459"/>
      <c r="F77" s="80" t="s">
        <v>68</v>
      </c>
      <c r="G77" s="579"/>
      <c r="H77" s="154">
        <f>Inmunizaciones!L59</f>
        <v>0</v>
      </c>
      <c r="I77" s="154">
        <f>Inmunizaciones!M59</f>
        <v>0</v>
      </c>
      <c r="J77" s="572">
        <f>H77+I77</f>
        <v>0</v>
      </c>
      <c r="K77" s="91"/>
      <c r="L77" s="91"/>
      <c r="M77" s="106"/>
      <c r="N77" s="68" t="s">
        <v>236</v>
      </c>
      <c r="O77" s="66"/>
      <c r="P77" s="66"/>
      <c r="Q77" s="66"/>
      <c r="R77" s="100" t="s">
        <v>76</v>
      </c>
      <c r="S77" s="72"/>
      <c r="T77" s="66"/>
      <c r="U77" s="66"/>
    </row>
    <row r="78" spans="1:21" x14ac:dyDescent="0.2">
      <c r="A78" s="78"/>
      <c r="B78" s="422"/>
      <c r="C78" s="423"/>
      <c r="D78" s="460"/>
      <c r="E78" s="461"/>
      <c r="F78" s="82" t="s">
        <v>69</v>
      </c>
      <c r="G78" s="579"/>
      <c r="H78" s="154">
        <f>Inmunizaciones!L60</f>
        <v>0</v>
      </c>
      <c r="I78" s="154">
        <f>Inmunizaciones!M60</f>
        <v>0</v>
      </c>
      <c r="J78" s="572">
        <f>H78+I78</f>
        <v>0</v>
      </c>
      <c r="K78" s="91"/>
      <c r="L78" s="91"/>
      <c r="M78" s="106"/>
      <c r="N78" s="403" t="s">
        <v>129</v>
      </c>
      <c r="O78" s="462" t="s">
        <v>237</v>
      </c>
      <c r="P78" s="463"/>
      <c r="Q78" s="464"/>
      <c r="R78" s="209" t="s">
        <v>272</v>
      </c>
      <c r="S78" s="407" t="s">
        <v>25</v>
      </c>
      <c r="T78" s="408"/>
      <c r="U78" s="66"/>
    </row>
    <row r="79" spans="1:21" x14ac:dyDescent="0.2">
      <c r="A79" s="78"/>
      <c r="B79" s="422"/>
      <c r="C79" s="423"/>
      <c r="D79" s="465" t="s">
        <v>72</v>
      </c>
      <c r="E79" s="466"/>
      <c r="F79" s="467"/>
      <c r="G79" s="154">
        <f>Inmunizaciones!K61</f>
        <v>0</v>
      </c>
      <c r="H79" s="154">
        <f>Inmunizaciones!L61</f>
        <v>0</v>
      </c>
      <c r="I79" s="586"/>
      <c r="J79" s="235">
        <f>G79+H79</f>
        <v>0</v>
      </c>
      <c r="K79" s="91"/>
      <c r="L79" s="91"/>
      <c r="M79" s="106"/>
      <c r="N79" s="404"/>
      <c r="O79" s="76" t="s">
        <v>19</v>
      </c>
      <c r="P79" s="76" t="s">
        <v>20</v>
      </c>
      <c r="Q79" s="76" t="s">
        <v>21</v>
      </c>
      <c r="R79" s="210" t="s">
        <v>238</v>
      </c>
      <c r="S79" s="76" t="s">
        <v>13</v>
      </c>
      <c r="T79" s="86" t="s">
        <v>22</v>
      </c>
      <c r="U79" s="66"/>
    </row>
    <row r="80" spans="1:21" x14ac:dyDescent="0.2">
      <c r="A80" s="78"/>
      <c r="B80" s="424"/>
      <c r="C80" s="425"/>
      <c r="D80" s="443" t="s">
        <v>239</v>
      </c>
      <c r="E80" s="444"/>
      <c r="F80" s="445"/>
      <c r="G80" s="305">
        <f>Inmunizaciones!K63</f>
        <v>0</v>
      </c>
      <c r="H80" s="632"/>
      <c r="I80" s="570"/>
      <c r="J80" s="235">
        <f>G80</f>
        <v>0</v>
      </c>
      <c r="K80" s="91"/>
      <c r="L80" s="91"/>
      <c r="M80" s="106"/>
      <c r="N80" s="108" t="s">
        <v>300</v>
      </c>
      <c r="O80" s="144">
        <f>Inmunizaciones!C80</f>
        <v>0</v>
      </c>
      <c r="P80" s="144">
        <f>Inmunizaciones!D80</f>
        <v>0</v>
      </c>
      <c r="Q80" s="144">
        <f>Inmunizaciones!E80</f>
        <v>0</v>
      </c>
      <c r="R80" s="235">
        <f>Inmunizaciones!F80</f>
        <v>0</v>
      </c>
      <c r="S80" s="104"/>
      <c r="T80" s="109"/>
      <c r="U80" s="66"/>
    </row>
    <row r="81" spans="1:21" x14ac:dyDescent="0.2">
      <c r="A81" s="78"/>
      <c r="B81" s="307" t="s">
        <v>104</v>
      </c>
      <c r="C81" s="308"/>
      <c r="D81" s="308"/>
      <c r="E81" s="308"/>
      <c r="F81" s="309"/>
      <c r="G81" s="305">
        <f>Inmunizaciones!K62</f>
        <v>0</v>
      </c>
      <c r="H81" s="632"/>
      <c r="I81" s="570"/>
      <c r="J81" s="235">
        <f>G81</f>
        <v>0</v>
      </c>
      <c r="K81" s="91"/>
      <c r="L81" s="91"/>
      <c r="M81" s="106"/>
      <c r="N81" s="108" t="s">
        <v>295</v>
      </c>
      <c r="O81" s="144">
        <f>Inmunizaciones!C81</f>
        <v>0</v>
      </c>
      <c r="P81" s="144">
        <f>Inmunizaciones!D81</f>
        <v>0</v>
      </c>
      <c r="Q81" s="144">
        <f>Inmunizaciones!E81</f>
        <v>0</v>
      </c>
      <c r="R81" s="235">
        <f>Inmunizaciones!F81</f>
        <v>0</v>
      </c>
      <c r="S81" s="104"/>
      <c r="T81" s="109"/>
      <c r="U81" s="66"/>
    </row>
    <row r="82" spans="1:21" x14ac:dyDescent="0.2">
      <c r="A82" s="78"/>
      <c r="B82" s="102" t="s">
        <v>84</v>
      </c>
      <c r="C82" s="88"/>
      <c r="D82" s="177"/>
      <c r="E82" s="177"/>
      <c r="F82" s="82" t="s">
        <v>208</v>
      </c>
      <c r="G82" s="579"/>
      <c r="H82" s="154">
        <f>Inmunizaciones!L64</f>
        <v>0</v>
      </c>
      <c r="I82" s="570"/>
      <c r="J82" s="235">
        <f>H82</f>
        <v>0</v>
      </c>
      <c r="K82" s="91"/>
      <c r="L82" s="91"/>
      <c r="M82" s="106"/>
      <c r="N82" s="108" t="s">
        <v>296</v>
      </c>
      <c r="O82" s="144">
        <f>Inmunizaciones!C82</f>
        <v>0</v>
      </c>
      <c r="P82" s="144">
        <f>Inmunizaciones!D82</f>
        <v>0</v>
      </c>
      <c r="Q82" s="144">
        <f>Inmunizaciones!E82</f>
        <v>0</v>
      </c>
      <c r="R82" s="235">
        <f>Inmunizaciones!F82</f>
        <v>0</v>
      </c>
      <c r="S82" s="104"/>
      <c r="T82" s="109"/>
      <c r="U82" s="66"/>
    </row>
    <row r="83" spans="1:21" ht="13.5" thickBot="1" x14ac:dyDescent="0.25">
      <c r="A83" s="78"/>
      <c r="B83" s="110" t="s">
        <v>133</v>
      </c>
      <c r="C83" s="111"/>
      <c r="D83" s="111"/>
      <c r="E83" s="111"/>
      <c r="F83" s="159" t="s">
        <v>208</v>
      </c>
      <c r="G83" s="620"/>
      <c r="H83" s="156">
        <f>Inmunizaciones!L65</f>
        <v>0</v>
      </c>
      <c r="I83" s="619"/>
      <c r="J83" s="243">
        <f>H83</f>
        <v>0</v>
      </c>
      <c r="K83" s="105"/>
      <c r="L83" s="105"/>
      <c r="M83" s="113"/>
      <c r="N83" s="108" t="s">
        <v>297</v>
      </c>
      <c r="O83" s="144">
        <f>Inmunizaciones!C83</f>
        <v>0</v>
      </c>
      <c r="P83" s="144">
        <f>Inmunizaciones!D83</f>
        <v>0</v>
      </c>
      <c r="Q83" s="144">
        <f>Inmunizaciones!E83</f>
        <v>0</v>
      </c>
      <c r="R83" s="235">
        <f>Inmunizaciones!F83</f>
        <v>0</v>
      </c>
      <c r="S83" s="104"/>
      <c r="T83" s="109"/>
      <c r="U83" s="66"/>
    </row>
    <row r="84" spans="1:21" ht="13.5" thickBot="1" x14ac:dyDescent="0.25">
      <c r="A84" s="78"/>
      <c r="N84" s="112" t="s">
        <v>301</v>
      </c>
      <c r="O84" s="145">
        <f>Inmunizaciones!C84</f>
        <v>0</v>
      </c>
      <c r="P84" s="157">
        <f>Inmunizaciones!D84</f>
        <v>0</v>
      </c>
      <c r="Q84" s="157">
        <f>Inmunizaciones!E84</f>
        <v>0</v>
      </c>
      <c r="R84" s="243">
        <f>Inmunizaciones!F84</f>
        <v>0</v>
      </c>
      <c r="S84" s="97"/>
      <c r="T84" s="113"/>
      <c r="U84" s="66"/>
    </row>
    <row r="85" spans="1:21" x14ac:dyDescent="0.2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</row>
    <row r="86" spans="1:21" ht="15" thickBot="1" x14ac:dyDescent="0.25">
      <c r="A86" s="66"/>
      <c r="B86" s="68" t="s">
        <v>134</v>
      </c>
      <c r="C86" s="68"/>
      <c r="D86" s="66"/>
      <c r="E86" s="66"/>
      <c r="F86" s="204">
        <v>3</v>
      </c>
      <c r="G86" s="66"/>
      <c r="H86" s="68" t="s">
        <v>135</v>
      </c>
      <c r="I86" s="68"/>
      <c r="J86" s="66"/>
      <c r="K86" s="114"/>
      <c r="L86" s="204">
        <v>4</v>
      </c>
      <c r="M86" s="66"/>
      <c r="N86" s="68" t="s">
        <v>136</v>
      </c>
      <c r="O86" s="66"/>
      <c r="P86" s="66"/>
      <c r="Q86" s="66"/>
      <c r="R86" s="204">
        <v>2</v>
      </c>
      <c r="S86" s="66"/>
      <c r="T86" s="66"/>
      <c r="U86" s="66"/>
    </row>
    <row r="87" spans="1:21" ht="13.5" thickBot="1" x14ac:dyDescent="0.25">
      <c r="A87" s="66"/>
      <c r="B87" s="68" t="s">
        <v>137</v>
      </c>
      <c r="C87" s="66"/>
      <c r="D87" s="66"/>
      <c r="E87" s="114"/>
      <c r="F87" s="114"/>
      <c r="G87" s="98"/>
      <c r="H87" s="68" t="s">
        <v>138</v>
      </c>
      <c r="I87" s="66"/>
      <c r="J87" s="66"/>
      <c r="K87" s="66"/>
      <c r="L87" s="98"/>
      <c r="M87" s="66"/>
      <c r="N87" s="403" t="s">
        <v>129</v>
      </c>
      <c r="O87" s="405" t="s">
        <v>10</v>
      </c>
      <c r="P87" s="405"/>
      <c r="Q87" s="405"/>
      <c r="R87" s="406"/>
      <c r="S87" s="407" t="s">
        <v>25</v>
      </c>
      <c r="T87" s="408"/>
      <c r="U87" s="66"/>
    </row>
    <row r="88" spans="1:21" x14ac:dyDescent="0.2">
      <c r="A88" s="66"/>
      <c r="B88" s="409" t="s">
        <v>139</v>
      </c>
      <c r="C88" s="410"/>
      <c r="D88" s="410"/>
      <c r="E88" s="411"/>
      <c r="F88" s="415" t="s">
        <v>8</v>
      </c>
      <c r="G88" s="98"/>
      <c r="H88" s="409" t="s">
        <v>209</v>
      </c>
      <c r="I88" s="410"/>
      <c r="J88" s="410"/>
      <c r="K88" s="411"/>
      <c r="L88" s="415" t="s">
        <v>8</v>
      </c>
      <c r="M88" s="66"/>
      <c r="N88" s="404"/>
      <c r="O88" s="77" t="s">
        <v>19</v>
      </c>
      <c r="P88" s="74" t="s">
        <v>20</v>
      </c>
      <c r="Q88" s="74" t="s">
        <v>21</v>
      </c>
      <c r="R88" s="76" t="s">
        <v>8</v>
      </c>
      <c r="S88" s="76" t="s">
        <v>13</v>
      </c>
      <c r="T88" s="86" t="s">
        <v>22</v>
      </c>
      <c r="U88" s="66"/>
    </row>
    <row r="89" spans="1:21" x14ac:dyDescent="0.2">
      <c r="A89" s="66"/>
      <c r="B89" s="412"/>
      <c r="C89" s="413"/>
      <c r="D89" s="413"/>
      <c r="E89" s="414"/>
      <c r="F89" s="416"/>
      <c r="G89" s="98"/>
      <c r="H89" s="417"/>
      <c r="I89" s="418"/>
      <c r="J89" s="418"/>
      <c r="K89" s="419"/>
      <c r="L89" s="416"/>
      <c r="M89" s="115"/>
      <c r="N89" s="108" t="s">
        <v>302</v>
      </c>
      <c r="O89" s="144">
        <f>Inmunizaciones!C88</f>
        <v>0</v>
      </c>
      <c r="P89" s="144">
        <f>Inmunizaciones!D88</f>
        <v>0</v>
      </c>
      <c r="Q89" s="144">
        <f>Inmunizaciones!E88</f>
        <v>0</v>
      </c>
      <c r="R89" s="235">
        <f t="shared" ref="R89:R94" si="2">O89+P89+Q89</f>
        <v>0</v>
      </c>
      <c r="S89" s="104"/>
      <c r="T89" s="109"/>
      <c r="U89" s="66"/>
    </row>
    <row r="90" spans="1:21" ht="12.75" customHeight="1" x14ac:dyDescent="0.2">
      <c r="A90" s="78"/>
      <c r="B90" s="420" t="s">
        <v>210</v>
      </c>
      <c r="C90" s="421"/>
      <c r="D90" s="150" t="s">
        <v>140</v>
      </c>
      <c r="E90" s="117"/>
      <c r="F90" s="151">
        <f>Inmunizaciones!D98</f>
        <v>0</v>
      </c>
      <c r="G90" s="78"/>
      <c r="H90" s="420" t="s">
        <v>141</v>
      </c>
      <c r="I90" s="421"/>
      <c r="J90" s="116" t="s">
        <v>140</v>
      </c>
      <c r="K90" s="118"/>
      <c r="L90" s="151">
        <f>Inmunizaciones!C132</f>
        <v>0</v>
      </c>
      <c r="M90" s="115"/>
      <c r="N90" s="108" t="s">
        <v>130</v>
      </c>
      <c r="O90" s="144">
        <f>Inmunizaciones!C89</f>
        <v>0</v>
      </c>
      <c r="P90" s="144">
        <f>Inmunizaciones!D89</f>
        <v>0</v>
      </c>
      <c r="Q90" s="144">
        <f>Inmunizaciones!E89</f>
        <v>0</v>
      </c>
      <c r="R90" s="235">
        <f t="shared" si="2"/>
        <v>0</v>
      </c>
      <c r="S90" s="104"/>
      <c r="T90" s="109"/>
      <c r="U90" s="66"/>
    </row>
    <row r="91" spans="1:21" x14ac:dyDescent="0.2">
      <c r="A91" s="78"/>
      <c r="B91" s="422"/>
      <c r="C91" s="423"/>
      <c r="D91" s="150" t="s">
        <v>79</v>
      </c>
      <c r="E91" s="117"/>
      <c r="F91" s="151">
        <f>Inmunizaciones!D99</f>
        <v>0</v>
      </c>
      <c r="G91" s="78"/>
      <c r="H91" s="422"/>
      <c r="I91" s="423"/>
      <c r="J91" s="116" t="s">
        <v>79</v>
      </c>
      <c r="K91" s="118"/>
      <c r="L91" s="151">
        <f>Inmunizaciones!C133</f>
        <v>0</v>
      </c>
      <c r="M91" s="115"/>
      <c r="N91" s="108" t="s">
        <v>131</v>
      </c>
      <c r="O91" s="144">
        <f>Inmunizaciones!C90</f>
        <v>0</v>
      </c>
      <c r="P91" s="144">
        <f>Inmunizaciones!D90</f>
        <v>0</v>
      </c>
      <c r="Q91" s="144">
        <f>Inmunizaciones!E90</f>
        <v>0</v>
      </c>
      <c r="R91" s="235">
        <f t="shared" si="2"/>
        <v>0</v>
      </c>
      <c r="S91" s="104"/>
      <c r="T91" s="109"/>
      <c r="U91" s="66"/>
    </row>
    <row r="92" spans="1:21" x14ac:dyDescent="0.2">
      <c r="A92" s="78"/>
      <c r="B92" s="422"/>
      <c r="C92" s="423"/>
      <c r="D92" s="150" t="s">
        <v>80</v>
      </c>
      <c r="E92" s="117"/>
      <c r="F92" s="151">
        <f>Inmunizaciones!D100</f>
        <v>0</v>
      </c>
      <c r="G92" s="78"/>
      <c r="H92" s="422"/>
      <c r="I92" s="423"/>
      <c r="J92" s="116" t="s">
        <v>80</v>
      </c>
      <c r="K92" s="118"/>
      <c r="L92" s="151">
        <f>Inmunizaciones!C134</f>
        <v>0</v>
      </c>
      <c r="M92" s="115"/>
      <c r="N92" s="108" t="s">
        <v>132</v>
      </c>
      <c r="O92" s="144">
        <f>Inmunizaciones!C91</f>
        <v>0</v>
      </c>
      <c r="P92" s="144">
        <f>Inmunizaciones!D91</f>
        <v>0</v>
      </c>
      <c r="Q92" s="144">
        <f>Inmunizaciones!E91</f>
        <v>0</v>
      </c>
      <c r="R92" s="235">
        <f t="shared" si="2"/>
        <v>0</v>
      </c>
      <c r="S92" s="104"/>
      <c r="T92" s="109"/>
      <c r="U92" s="66"/>
    </row>
    <row r="93" spans="1:21" x14ac:dyDescent="0.2">
      <c r="A93" s="78"/>
      <c r="B93" s="422"/>
      <c r="C93" s="423"/>
      <c r="D93" s="150" t="s">
        <v>81</v>
      </c>
      <c r="E93" s="117"/>
      <c r="F93" s="151">
        <f>Inmunizaciones!D101</f>
        <v>0</v>
      </c>
      <c r="G93" s="78"/>
      <c r="H93" s="422"/>
      <c r="I93" s="423"/>
      <c r="J93" s="119" t="s">
        <v>81</v>
      </c>
      <c r="K93" s="120"/>
      <c r="L93" s="151">
        <f>Inmunizaciones!C135</f>
        <v>0</v>
      </c>
      <c r="M93" s="115"/>
      <c r="N93" s="108" t="s">
        <v>142</v>
      </c>
      <c r="O93" s="144">
        <f>Inmunizaciones!C92</f>
        <v>0</v>
      </c>
      <c r="P93" s="144">
        <f>Inmunizaciones!D92</f>
        <v>0</v>
      </c>
      <c r="Q93" s="144">
        <f>Inmunizaciones!E92</f>
        <v>0</v>
      </c>
      <c r="R93" s="235">
        <f t="shared" si="2"/>
        <v>0</v>
      </c>
      <c r="S93" s="104"/>
      <c r="T93" s="109"/>
      <c r="U93" s="66"/>
    </row>
    <row r="94" spans="1:21" ht="12.75" customHeight="1" x14ac:dyDescent="0.2">
      <c r="A94" s="78"/>
      <c r="B94" s="424"/>
      <c r="C94" s="425"/>
      <c r="D94" s="150" t="s">
        <v>212</v>
      </c>
      <c r="E94" s="117"/>
      <c r="F94" s="151">
        <f>Inmunizaciones!D102</f>
        <v>0</v>
      </c>
      <c r="G94" s="98"/>
      <c r="H94" s="424"/>
      <c r="I94" s="425"/>
      <c r="J94" s="241" t="s">
        <v>240</v>
      </c>
      <c r="K94" s="242"/>
      <c r="L94" s="151">
        <f>Inmunizaciones!C136</f>
        <v>0</v>
      </c>
      <c r="M94" s="66"/>
      <c r="N94" s="108" t="s">
        <v>211</v>
      </c>
      <c r="O94" s="144">
        <f>Inmunizaciones!C93</f>
        <v>0</v>
      </c>
      <c r="P94" s="144">
        <f>Inmunizaciones!D93</f>
        <v>0</v>
      </c>
      <c r="Q94" s="144">
        <f>Inmunizaciones!E93</f>
        <v>0</v>
      </c>
      <c r="R94" s="235">
        <f t="shared" si="2"/>
        <v>0</v>
      </c>
      <c r="S94" s="104"/>
      <c r="T94" s="109"/>
      <c r="U94" s="66"/>
    </row>
    <row r="95" spans="1:21" ht="12.75" customHeight="1" x14ac:dyDescent="0.2">
      <c r="A95" s="78"/>
      <c r="B95" s="439" t="s">
        <v>214</v>
      </c>
      <c r="C95" s="440"/>
      <c r="D95" s="150" t="s">
        <v>140</v>
      </c>
      <c r="E95" s="117"/>
      <c r="F95" s="151">
        <f>Inmunizaciones!D103</f>
        <v>0</v>
      </c>
      <c r="G95" s="98"/>
      <c r="H95" s="121" t="s">
        <v>213</v>
      </c>
      <c r="I95" s="122"/>
      <c r="J95" s="122"/>
      <c r="K95" s="123"/>
      <c r="L95" s="236">
        <f>Inmunizaciones!C137</f>
        <v>0</v>
      </c>
      <c r="M95" s="124" t="s">
        <v>152</v>
      </c>
      <c r="N95" s="426" t="s">
        <v>241</v>
      </c>
      <c r="O95" s="428">
        <f>Inmunizaciones!C94</f>
        <v>0</v>
      </c>
      <c r="P95" s="430"/>
      <c r="Q95" s="430"/>
      <c r="R95" s="435">
        <f>O95</f>
        <v>0</v>
      </c>
      <c r="S95" s="428"/>
      <c r="T95" s="437"/>
      <c r="U95" s="66"/>
    </row>
    <row r="96" spans="1:21" x14ac:dyDescent="0.2">
      <c r="A96" s="78"/>
      <c r="B96" s="439"/>
      <c r="C96" s="440"/>
      <c r="D96" s="150" t="s">
        <v>79</v>
      </c>
      <c r="E96" s="117"/>
      <c r="F96" s="151">
        <f>Inmunizaciones!D104</f>
        <v>0</v>
      </c>
      <c r="G96" s="98"/>
      <c r="H96" s="121" t="s">
        <v>215</v>
      </c>
      <c r="I96" s="122"/>
      <c r="J96" s="122"/>
      <c r="K96" s="123"/>
      <c r="L96" s="236">
        <f>Inmunizaciones!C138</f>
        <v>0</v>
      </c>
      <c r="M96" s="124" t="s">
        <v>152</v>
      </c>
      <c r="N96" s="426"/>
      <c r="O96" s="428">
        <f>Inmunizaciones!C170</f>
        <v>0</v>
      </c>
      <c r="P96" s="430"/>
      <c r="Q96" s="430"/>
      <c r="R96" s="435"/>
      <c r="S96" s="428"/>
      <c r="T96" s="437"/>
      <c r="U96" s="66"/>
    </row>
    <row r="97" spans="1:21" ht="13.5" thickBot="1" x14ac:dyDescent="0.25">
      <c r="A97" s="78"/>
      <c r="B97" s="439"/>
      <c r="C97" s="440"/>
      <c r="D97" s="150" t="s">
        <v>80</v>
      </c>
      <c r="E97" s="117"/>
      <c r="F97" s="151">
        <f>Inmunizaciones!D105</f>
        <v>0</v>
      </c>
      <c r="G97" s="98"/>
      <c r="H97" s="121" t="s">
        <v>216</v>
      </c>
      <c r="I97" s="122"/>
      <c r="J97" s="122"/>
      <c r="K97" s="123"/>
      <c r="L97" s="236">
        <f>Inmunizaciones!C139</f>
        <v>0</v>
      </c>
      <c r="M97" s="124" t="s">
        <v>152</v>
      </c>
      <c r="N97" s="427"/>
      <c r="O97" s="429" t="e">
        <f>Inmunizaciones!#REF!</f>
        <v>#REF!</v>
      </c>
      <c r="P97" s="431"/>
      <c r="Q97" s="431"/>
      <c r="R97" s="436"/>
      <c r="S97" s="429"/>
      <c r="T97" s="438"/>
      <c r="U97" s="66"/>
    </row>
    <row r="98" spans="1:21" ht="14.25" x14ac:dyDescent="0.2">
      <c r="A98" s="78"/>
      <c r="B98" s="439"/>
      <c r="C98" s="440"/>
      <c r="D98" s="150" t="s">
        <v>81</v>
      </c>
      <c r="E98" s="117"/>
      <c r="F98" s="151">
        <f>Inmunizaciones!D106</f>
        <v>0</v>
      </c>
      <c r="G98" s="124"/>
      <c r="H98" s="121" t="s">
        <v>217</v>
      </c>
      <c r="I98" s="122"/>
      <c r="J98" s="122"/>
      <c r="K98" s="123"/>
      <c r="L98" s="236">
        <f>Inmunizaciones!C140</f>
        <v>0</v>
      </c>
      <c r="M98" s="124" t="s">
        <v>152</v>
      </c>
      <c r="N98" s="68" t="s">
        <v>144</v>
      </c>
      <c r="O98" s="66"/>
      <c r="P98" s="204">
        <v>6</v>
      </c>
      <c r="Q98" s="66"/>
      <c r="R98" s="68" t="s">
        <v>242</v>
      </c>
      <c r="S98" s="66"/>
      <c r="T98" s="204">
        <v>8</v>
      </c>
      <c r="U98" s="66"/>
    </row>
    <row r="99" spans="1:21" ht="12.75" customHeight="1" x14ac:dyDescent="0.2">
      <c r="A99" s="78"/>
      <c r="B99" s="439"/>
      <c r="C99" s="440"/>
      <c r="D99" s="150" t="s">
        <v>212</v>
      </c>
      <c r="E99" s="117"/>
      <c r="F99" s="151">
        <f>Inmunizaciones!D107</f>
        <v>0</v>
      </c>
      <c r="G99" s="124"/>
      <c r="H99" s="121" t="s">
        <v>218</v>
      </c>
      <c r="I99" s="122"/>
      <c r="J99" s="122"/>
      <c r="K99" s="123"/>
      <c r="L99" s="236">
        <f>Inmunizaciones!C141</f>
        <v>0</v>
      </c>
      <c r="M99" s="124" t="s">
        <v>152</v>
      </c>
      <c r="N99" s="68" t="s">
        <v>243</v>
      </c>
      <c r="O99" s="66"/>
      <c r="P99" s="84"/>
      <c r="Q99" s="66"/>
      <c r="R99" s="441" t="s">
        <v>244</v>
      </c>
      <c r="S99" s="441"/>
      <c r="T99" s="441"/>
      <c r="U99" s="66"/>
    </row>
    <row r="100" spans="1:21" ht="13.5" thickBot="1" x14ac:dyDescent="0.25">
      <c r="A100" s="78"/>
      <c r="B100" s="139" t="s">
        <v>160</v>
      </c>
      <c r="C100" s="125"/>
      <c r="D100" s="66"/>
      <c r="E100" s="126"/>
      <c r="F100" s="151">
        <f>Inmunizaciones!D108</f>
        <v>0</v>
      </c>
      <c r="G100" s="124"/>
      <c r="H100" s="121" t="s">
        <v>200</v>
      </c>
      <c r="I100" s="122"/>
      <c r="J100" s="122"/>
      <c r="K100" s="123"/>
      <c r="L100" s="236">
        <f>Inmunizaciones!C142</f>
        <v>0</v>
      </c>
      <c r="M100" s="124" t="s">
        <v>152</v>
      </c>
      <c r="N100" s="68" t="s">
        <v>245</v>
      </c>
      <c r="O100" s="66"/>
      <c r="P100" s="84"/>
      <c r="Q100" s="66"/>
      <c r="R100" s="442"/>
      <c r="S100" s="442"/>
      <c r="T100" s="442"/>
      <c r="U100" s="66"/>
    </row>
    <row r="101" spans="1:21" x14ac:dyDescent="0.2">
      <c r="A101" s="78"/>
      <c r="B101" s="127" t="s">
        <v>107</v>
      </c>
      <c r="C101" s="128"/>
      <c r="D101" s="129"/>
      <c r="E101" s="129"/>
      <c r="F101" s="151">
        <f>Inmunizaciones!D109</f>
        <v>0</v>
      </c>
      <c r="G101" s="124" t="s">
        <v>152</v>
      </c>
      <c r="H101" s="121" t="s">
        <v>219</v>
      </c>
      <c r="I101" s="122"/>
      <c r="J101" s="122"/>
      <c r="K101" s="123"/>
      <c r="L101" s="236">
        <f>Inmunizaciones!C143</f>
        <v>0</v>
      </c>
      <c r="M101" s="124" t="s">
        <v>152</v>
      </c>
      <c r="N101" s="409" t="s">
        <v>209</v>
      </c>
      <c r="O101" s="411"/>
      <c r="P101" s="208" t="s">
        <v>8</v>
      </c>
      <c r="Q101" s="66"/>
      <c r="R101" s="409" t="s">
        <v>221</v>
      </c>
      <c r="S101" s="411"/>
      <c r="T101" s="415" t="s">
        <v>8</v>
      </c>
      <c r="U101" s="66"/>
    </row>
    <row r="102" spans="1:21" ht="13.5" thickBot="1" x14ac:dyDescent="0.25">
      <c r="A102" s="66"/>
      <c r="B102" s="127" t="s">
        <v>108</v>
      </c>
      <c r="C102" s="128"/>
      <c r="D102" s="129"/>
      <c r="E102" s="129"/>
      <c r="F102" s="151">
        <f>Inmunizaciones!D110</f>
        <v>0</v>
      </c>
      <c r="G102" s="133" t="s">
        <v>152</v>
      </c>
      <c r="H102" s="130" t="s">
        <v>220</v>
      </c>
      <c r="I102" s="131"/>
      <c r="J102" s="131"/>
      <c r="K102" s="132"/>
      <c r="L102" s="237">
        <f>Inmunizaciones!C144</f>
        <v>0</v>
      </c>
      <c r="M102" s="133" t="s">
        <v>152</v>
      </c>
      <c r="N102" s="135" t="s">
        <v>140</v>
      </c>
      <c r="O102" s="118"/>
      <c r="P102" s="236">
        <f>Inmunizaciones!C165</f>
        <v>0</v>
      </c>
      <c r="Q102" s="66"/>
      <c r="R102" s="412" t="s">
        <v>222</v>
      </c>
      <c r="S102" s="414"/>
      <c r="T102" s="416"/>
      <c r="U102" s="66"/>
    </row>
    <row r="103" spans="1:21" x14ac:dyDescent="0.2">
      <c r="A103" s="66"/>
      <c r="B103" s="127" t="s">
        <v>35</v>
      </c>
      <c r="C103" s="128"/>
      <c r="D103" s="129"/>
      <c r="E103" s="129"/>
      <c r="F103" s="151">
        <f>Inmunizaciones!D111</f>
        <v>0</v>
      </c>
      <c r="G103" s="133" t="s">
        <v>152</v>
      </c>
      <c r="H103" s="66"/>
      <c r="I103" s="66"/>
      <c r="J103" s="66"/>
      <c r="K103" s="66"/>
      <c r="L103" s="66"/>
      <c r="M103" s="66"/>
      <c r="N103" s="135" t="s">
        <v>79</v>
      </c>
      <c r="O103" s="118"/>
      <c r="P103" s="236">
        <f>Inmunizaciones!C166</f>
        <v>0</v>
      </c>
      <c r="Q103" s="66"/>
      <c r="R103" s="135" t="s">
        <v>140</v>
      </c>
      <c r="S103" s="118"/>
      <c r="T103" s="236">
        <f>Inmunizaciones!C181</f>
        <v>0</v>
      </c>
      <c r="U103" s="66"/>
    </row>
    <row r="104" spans="1:21" x14ac:dyDescent="0.2">
      <c r="A104" s="66"/>
      <c r="B104" s="127" t="s">
        <v>223</v>
      </c>
      <c r="C104" s="128"/>
      <c r="D104" s="129"/>
      <c r="E104" s="129"/>
      <c r="F104" s="143">
        <f>Inmunizaciones!D113</f>
        <v>0</v>
      </c>
      <c r="G104" s="133" t="s">
        <v>152</v>
      </c>
      <c r="H104" s="66"/>
      <c r="I104" s="66"/>
      <c r="J104" s="66"/>
      <c r="K104" s="66"/>
      <c r="L104" s="66"/>
      <c r="M104" s="66"/>
      <c r="N104" s="135" t="s">
        <v>80</v>
      </c>
      <c r="O104" s="118"/>
      <c r="P104" s="236">
        <f>Inmunizaciones!C167</f>
        <v>0</v>
      </c>
      <c r="Q104" s="66"/>
      <c r="R104" s="135" t="s">
        <v>79</v>
      </c>
      <c r="S104" s="118"/>
      <c r="T104" s="236">
        <f>Inmunizaciones!C182</f>
        <v>0</v>
      </c>
      <c r="U104" s="66"/>
    </row>
    <row r="105" spans="1:21" x14ac:dyDescent="0.2">
      <c r="A105" s="66"/>
      <c r="B105" s="127" t="s">
        <v>171</v>
      </c>
      <c r="C105" s="128"/>
      <c r="D105" s="129"/>
      <c r="E105" s="129"/>
      <c r="F105" s="143">
        <f>Inmunizaciones!D114</f>
        <v>0</v>
      </c>
      <c r="G105" s="133" t="s">
        <v>152</v>
      </c>
      <c r="H105" s="66"/>
      <c r="I105" s="66"/>
      <c r="J105" s="66"/>
      <c r="K105" s="66"/>
      <c r="L105" s="66"/>
      <c r="M105" s="66"/>
      <c r="N105" s="137" t="s">
        <v>82</v>
      </c>
      <c r="O105" s="120"/>
      <c r="P105" s="236">
        <f>Inmunizaciones!C168</f>
        <v>0</v>
      </c>
      <c r="Q105" s="66"/>
      <c r="R105" s="135" t="s">
        <v>80</v>
      </c>
      <c r="S105" s="118"/>
      <c r="T105" s="236">
        <f>Inmunizaciones!C183</f>
        <v>0</v>
      </c>
      <c r="U105" s="66"/>
    </row>
    <row r="106" spans="1:21" ht="15" thickBot="1" x14ac:dyDescent="0.25">
      <c r="A106" s="66"/>
      <c r="B106" s="127" t="s">
        <v>224</v>
      </c>
      <c r="C106" s="128"/>
      <c r="D106" s="66"/>
      <c r="E106" s="129"/>
      <c r="F106" s="143">
        <f>Inmunizaciones!D115</f>
        <v>0</v>
      </c>
      <c r="G106" s="133" t="s">
        <v>152</v>
      </c>
      <c r="H106" s="68" t="s">
        <v>143</v>
      </c>
      <c r="I106" s="68"/>
      <c r="J106" s="66"/>
      <c r="K106" s="66"/>
      <c r="L106" s="204">
        <v>5</v>
      </c>
      <c r="M106" s="98"/>
      <c r="N106" s="240" t="s">
        <v>211</v>
      </c>
      <c r="O106" s="239"/>
      <c r="P106" s="237">
        <f>Inmunizaciones!C169</f>
        <v>0</v>
      </c>
      <c r="Q106" s="66"/>
      <c r="R106" s="135" t="s">
        <v>82</v>
      </c>
      <c r="S106" s="118"/>
      <c r="T106" s="236">
        <f>Inmunizaciones!C184</f>
        <v>0</v>
      </c>
      <c r="U106" s="66"/>
    </row>
    <row r="107" spans="1:21" ht="13.5" thickBot="1" x14ac:dyDescent="0.25">
      <c r="A107" s="66"/>
      <c r="B107" s="127" t="s">
        <v>173</v>
      </c>
      <c r="C107" s="128"/>
      <c r="D107" s="129"/>
      <c r="E107" s="129"/>
      <c r="F107" s="143">
        <f>Inmunizaciones!D116</f>
        <v>0</v>
      </c>
      <c r="G107" s="133" t="s">
        <v>152</v>
      </c>
      <c r="H107" s="68" t="s">
        <v>145</v>
      </c>
      <c r="I107" s="66"/>
      <c r="J107" s="66"/>
      <c r="K107" s="66"/>
      <c r="L107" s="66"/>
      <c r="M107" s="66"/>
      <c r="N107" s="66"/>
      <c r="O107" s="78"/>
      <c r="P107" s="66"/>
      <c r="Q107" s="190" t="s">
        <v>152</v>
      </c>
      <c r="R107" s="238" t="s">
        <v>35</v>
      </c>
      <c r="S107" s="239"/>
      <c r="T107" s="237">
        <f>Inmunizaciones!C186</f>
        <v>0</v>
      </c>
      <c r="U107" s="133"/>
    </row>
    <row r="108" spans="1:21" x14ac:dyDescent="0.2">
      <c r="A108" s="66"/>
      <c r="B108" s="127" t="s">
        <v>225</v>
      </c>
      <c r="C108" s="128"/>
      <c r="D108" s="129"/>
      <c r="E108" s="129"/>
      <c r="F108" s="143">
        <f>Inmunizaciones!D117</f>
        <v>0</v>
      </c>
      <c r="G108" s="133" t="s">
        <v>152</v>
      </c>
      <c r="H108" s="389" t="s">
        <v>209</v>
      </c>
      <c r="I108" s="390"/>
      <c r="J108" s="390"/>
      <c r="K108" s="401" t="s">
        <v>10</v>
      </c>
      <c r="L108" s="401"/>
      <c r="M108" s="401"/>
      <c r="N108" s="401"/>
      <c r="O108" s="402"/>
      <c r="P108" s="66"/>
      <c r="Q108" s="66"/>
      <c r="R108" s="66"/>
      <c r="S108" s="66"/>
      <c r="T108" s="66"/>
      <c r="U108" s="66"/>
    </row>
    <row r="109" spans="1:21" ht="14.25" x14ac:dyDescent="0.2">
      <c r="A109" s="66"/>
      <c r="B109" s="127" t="s">
        <v>175</v>
      </c>
      <c r="C109" s="128"/>
      <c r="D109" s="129"/>
      <c r="E109" s="129"/>
      <c r="F109" s="143">
        <f>Inmunizaciones!D118</f>
        <v>0</v>
      </c>
      <c r="G109" s="133" t="s">
        <v>152</v>
      </c>
      <c r="H109" s="432"/>
      <c r="I109" s="433"/>
      <c r="J109" s="433"/>
      <c r="K109" s="76" t="s">
        <v>19</v>
      </c>
      <c r="L109" s="76" t="s">
        <v>20</v>
      </c>
      <c r="M109" s="76" t="s">
        <v>21</v>
      </c>
      <c r="N109" s="76" t="s">
        <v>246</v>
      </c>
      <c r="O109" s="86" t="s">
        <v>8</v>
      </c>
      <c r="P109" s="66"/>
      <c r="Q109" s="68" t="s">
        <v>226</v>
      </c>
      <c r="R109" s="66"/>
      <c r="S109" s="204">
        <v>7</v>
      </c>
      <c r="T109" s="66"/>
      <c r="U109" s="66"/>
    </row>
    <row r="110" spans="1:21" ht="13.5" customHeight="1" thickBot="1" x14ac:dyDescent="0.25">
      <c r="A110" s="66"/>
      <c r="B110" s="127" t="s">
        <v>176</v>
      </c>
      <c r="C110" s="66"/>
      <c r="D110" s="129"/>
      <c r="E110" s="129"/>
      <c r="F110" s="143">
        <f>Inmunizaciones!D119</f>
        <v>0</v>
      </c>
      <c r="G110" s="133" t="s">
        <v>152</v>
      </c>
      <c r="H110" s="372" t="s">
        <v>140</v>
      </c>
      <c r="I110" s="373"/>
      <c r="J110" s="374"/>
      <c r="K110" s="305">
        <f>Inmunizaciones!C150</f>
        <v>0</v>
      </c>
      <c r="L110" s="305">
        <f>Inmunizaciones!D150</f>
        <v>0</v>
      </c>
      <c r="M110" s="305">
        <f>Inmunizaciones!E150</f>
        <v>0</v>
      </c>
      <c r="N110" s="625"/>
      <c r="O110" s="624">
        <f>K110+L110+M110</f>
        <v>0</v>
      </c>
      <c r="P110" s="66"/>
      <c r="Q110" s="434" t="s">
        <v>227</v>
      </c>
      <c r="R110" s="434"/>
      <c r="S110" s="434"/>
      <c r="T110" s="434"/>
      <c r="U110" s="66"/>
    </row>
    <row r="111" spans="1:21" ht="12.75" customHeight="1" x14ac:dyDescent="0.2">
      <c r="A111" s="66"/>
      <c r="B111" s="391" t="s">
        <v>177</v>
      </c>
      <c r="C111" s="392"/>
      <c r="D111" s="392"/>
      <c r="E111" s="393"/>
      <c r="F111" s="397">
        <f>Inmunizaciones!D120</f>
        <v>0</v>
      </c>
      <c r="G111" s="133" t="s">
        <v>152</v>
      </c>
      <c r="H111" s="372" t="s">
        <v>79</v>
      </c>
      <c r="I111" s="373"/>
      <c r="J111" s="374"/>
      <c r="K111" s="305">
        <f>Inmunizaciones!C151</f>
        <v>0</v>
      </c>
      <c r="L111" s="305">
        <f>Inmunizaciones!D151</f>
        <v>0</v>
      </c>
      <c r="M111" s="305">
        <f>Inmunizaciones!E151</f>
        <v>0</v>
      </c>
      <c r="N111" s="626"/>
      <c r="O111" s="624">
        <f t="shared" ref="O111:O117" si="3">K111+L111+M111</f>
        <v>0</v>
      </c>
      <c r="P111" s="66"/>
      <c r="Q111" s="399" t="s">
        <v>209</v>
      </c>
      <c r="R111" s="401" t="s">
        <v>10</v>
      </c>
      <c r="S111" s="401"/>
      <c r="T111" s="402"/>
      <c r="U111" s="66"/>
    </row>
    <row r="112" spans="1:21" x14ac:dyDescent="0.2">
      <c r="A112" s="66"/>
      <c r="B112" s="394"/>
      <c r="C112" s="395"/>
      <c r="D112" s="395"/>
      <c r="E112" s="396"/>
      <c r="F112" s="398"/>
      <c r="G112" s="136" t="s">
        <v>152</v>
      </c>
      <c r="H112" s="372" t="s">
        <v>80</v>
      </c>
      <c r="I112" s="373"/>
      <c r="J112" s="374"/>
      <c r="K112" s="305">
        <f>Inmunizaciones!C152</f>
        <v>0</v>
      </c>
      <c r="L112" s="305">
        <f>Inmunizaciones!D152</f>
        <v>0</v>
      </c>
      <c r="M112" s="305">
        <f>Inmunizaciones!E152</f>
        <v>0</v>
      </c>
      <c r="N112" s="626"/>
      <c r="O112" s="624">
        <f t="shared" si="3"/>
        <v>0</v>
      </c>
      <c r="P112" s="66"/>
      <c r="Q112" s="400"/>
      <c r="R112" s="76" t="s">
        <v>19</v>
      </c>
      <c r="S112" s="76" t="s">
        <v>20</v>
      </c>
      <c r="T112" s="86" t="s">
        <v>21</v>
      </c>
      <c r="U112" s="66"/>
    </row>
    <row r="113" spans="1:21" x14ac:dyDescent="0.2">
      <c r="A113" s="66"/>
      <c r="B113" s="127" t="s">
        <v>179</v>
      </c>
      <c r="C113" s="178"/>
      <c r="D113" s="178"/>
      <c r="E113" s="179"/>
      <c r="F113" s="207">
        <f>Inmunizaciones!D122</f>
        <v>0</v>
      </c>
      <c r="G113" s="133" t="s">
        <v>152</v>
      </c>
      <c r="H113" s="372" t="s">
        <v>82</v>
      </c>
      <c r="I113" s="373"/>
      <c r="J113" s="374"/>
      <c r="K113" s="305">
        <f>Inmunizaciones!C153</f>
        <v>0</v>
      </c>
      <c r="L113" s="305">
        <f>Inmunizaciones!D153</f>
        <v>0</v>
      </c>
      <c r="M113" s="305">
        <f>Inmunizaciones!E153</f>
        <v>0</v>
      </c>
      <c r="N113" s="626"/>
      <c r="O113" s="624">
        <f t="shared" si="3"/>
        <v>0</v>
      </c>
      <c r="P113" s="66"/>
      <c r="Q113" s="191" t="s">
        <v>247</v>
      </c>
      <c r="R113" s="80">
        <f>Inmunizaciones!C174</f>
        <v>0</v>
      </c>
      <c r="S113" s="80">
        <f>Inmunizaciones!D174</f>
        <v>0</v>
      </c>
      <c r="T113" s="192"/>
      <c r="U113" s="66"/>
    </row>
    <row r="114" spans="1:21" x14ac:dyDescent="0.2">
      <c r="A114" s="66"/>
      <c r="B114" s="127" t="s">
        <v>180</v>
      </c>
      <c r="C114" s="128"/>
      <c r="D114" s="129"/>
      <c r="E114" s="129"/>
      <c r="F114" s="207">
        <f>Inmunizaciones!D123</f>
        <v>0</v>
      </c>
      <c r="G114" s="133" t="s">
        <v>152</v>
      </c>
      <c r="H114" s="372" t="s">
        <v>211</v>
      </c>
      <c r="I114" s="373"/>
      <c r="J114" s="374"/>
      <c r="K114" s="305">
        <f>Inmunizaciones!C154</f>
        <v>0</v>
      </c>
      <c r="L114" s="305">
        <f>Inmunizaciones!D154</f>
        <v>0</v>
      </c>
      <c r="M114" s="305">
        <f>Inmunizaciones!E154</f>
        <v>0</v>
      </c>
      <c r="N114" s="626"/>
      <c r="O114" s="624">
        <f t="shared" si="3"/>
        <v>0</v>
      </c>
      <c r="P114" s="66"/>
      <c r="Q114" s="193" t="s">
        <v>248</v>
      </c>
      <c r="R114" s="80">
        <f>Inmunizaciones!C175</f>
        <v>0</v>
      </c>
      <c r="S114" s="80">
        <f>Inmunizaciones!D175</f>
        <v>0</v>
      </c>
      <c r="T114" s="215">
        <f>Inmunizaciones!E175</f>
        <v>0</v>
      </c>
      <c r="U114" s="66"/>
    </row>
    <row r="115" spans="1:21" x14ac:dyDescent="0.2">
      <c r="A115" s="66"/>
      <c r="B115" s="139" t="s">
        <v>181</v>
      </c>
      <c r="C115" s="128"/>
      <c r="D115" s="129"/>
      <c r="E115" s="129"/>
      <c r="F115" s="207">
        <f>Inmunizaciones!D124</f>
        <v>0</v>
      </c>
      <c r="G115" s="133" t="s">
        <v>152</v>
      </c>
      <c r="H115" s="384" t="s">
        <v>35</v>
      </c>
      <c r="I115" s="385"/>
      <c r="J115" s="386"/>
      <c r="K115" s="305">
        <f>Inmunizaciones!C156</f>
        <v>0</v>
      </c>
      <c r="L115" s="305">
        <f>Inmunizaciones!D156</f>
        <v>0</v>
      </c>
      <c r="M115" s="305">
        <f>Inmunizaciones!E156</f>
        <v>0</v>
      </c>
      <c r="N115" s="626"/>
      <c r="O115" s="624">
        <f t="shared" si="3"/>
        <v>0</v>
      </c>
      <c r="P115" s="194" t="s">
        <v>152</v>
      </c>
      <c r="Q115" s="195" t="s">
        <v>249</v>
      </c>
      <c r="R115" s="196" t="s">
        <v>250</v>
      </c>
      <c r="S115" s="196" t="s">
        <v>251</v>
      </c>
      <c r="T115" s="197" t="s">
        <v>252</v>
      </c>
      <c r="U115" s="66"/>
    </row>
    <row r="116" spans="1:21" ht="13.5" thickBot="1" x14ac:dyDescent="0.25">
      <c r="A116" s="66"/>
      <c r="B116" s="205" t="s">
        <v>253</v>
      </c>
      <c r="C116" s="200"/>
      <c r="D116" s="201"/>
      <c r="E116" s="201"/>
      <c r="F116" s="207">
        <f>Inmunizaciones!D126</f>
        <v>0</v>
      </c>
      <c r="G116" s="133" t="s">
        <v>152</v>
      </c>
      <c r="H116" s="384" t="s">
        <v>253</v>
      </c>
      <c r="I116" s="385"/>
      <c r="J116" s="386"/>
      <c r="K116" s="80">
        <f>Inmunizaciones!C159</f>
        <v>0</v>
      </c>
      <c r="L116" s="80">
        <f>Inmunizaciones!D159</f>
        <v>0</v>
      </c>
      <c r="M116" s="80">
        <f>Inmunizaciones!E159</f>
        <v>0</v>
      </c>
      <c r="N116" s="626"/>
      <c r="O116" s="624">
        <f t="shared" si="3"/>
        <v>0</v>
      </c>
      <c r="P116" s="194" t="s">
        <v>152</v>
      </c>
      <c r="Q116" s="198" t="s">
        <v>254</v>
      </c>
      <c r="R116" s="159">
        <f>Inmunizaciones!C177</f>
        <v>0</v>
      </c>
      <c r="S116" s="159">
        <f>Inmunizaciones!D177</f>
        <v>0</v>
      </c>
      <c r="T116" s="160">
        <f>Inmunizaciones!E177</f>
        <v>0</v>
      </c>
      <c r="U116" s="66"/>
    </row>
    <row r="117" spans="1:21" ht="15" thickBot="1" x14ac:dyDescent="0.25">
      <c r="A117" s="66"/>
      <c r="B117" s="206" t="s">
        <v>255</v>
      </c>
      <c r="C117" s="202"/>
      <c r="D117" s="202"/>
      <c r="E117" s="203"/>
      <c r="F117" s="207">
        <f>Inmunizaciones!D127</f>
        <v>0</v>
      </c>
      <c r="G117" s="133" t="s">
        <v>152</v>
      </c>
      <c r="H117" s="384" t="s">
        <v>255</v>
      </c>
      <c r="I117" s="385"/>
      <c r="J117" s="386"/>
      <c r="K117" s="80">
        <f>Inmunizaciones!C160</f>
        <v>0</v>
      </c>
      <c r="L117" s="80">
        <f>Inmunizaciones!D160</f>
        <v>0</v>
      </c>
      <c r="M117" s="80">
        <f>Inmunizaciones!E160</f>
        <v>0</v>
      </c>
      <c r="N117" s="626"/>
      <c r="O117" s="624">
        <f t="shared" si="3"/>
        <v>0</v>
      </c>
      <c r="P117" s="194" t="s">
        <v>152</v>
      </c>
      <c r="Q117" s="68" t="s">
        <v>256</v>
      </c>
      <c r="R117" s="66"/>
      <c r="S117" s="204">
        <v>9</v>
      </c>
      <c r="T117" s="66"/>
      <c r="U117" s="66"/>
    </row>
    <row r="118" spans="1:21" ht="13.5" thickBot="1" x14ac:dyDescent="0.25">
      <c r="A118" s="66"/>
      <c r="B118" s="180" t="s">
        <v>64</v>
      </c>
      <c r="C118" s="186"/>
      <c r="D118" s="186"/>
      <c r="E118" s="186"/>
      <c r="F118" s="146">
        <f>Inmunizaciones!D125</f>
        <v>0</v>
      </c>
      <c r="G118" s="133" t="s">
        <v>152</v>
      </c>
      <c r="H118" s="181" t="s">
        <v>64</v>
      </c>
      <c r="I118" s="182"/>
      <c r="J118" s="182"/>
      <c r="K118" s="211">
        <f>Inmunizaciones!C157</f>
        <v>0</v>
      </c>
      <c r="L118" s="211">
        <f>Inmunizaciones!D157</f>
        <v>0</v>
      </c>
      <c r="M118" s="211">
        <f>Inmunizaciones!E157</f>
        <v>0</v>
      </c>
      <c r="N118" s="626"/>
      <c r="O118" s="624">
        <f>K118+L118+M118</f>
        <v>0</v>
      </c>
      <c r="P118" s="194" t="s">
        <v>152</v>
      </c>
      <c r="Q118" s="389" t="s">
        <v>209</v>
      </c>
      <c r="R118" s="390"/>
      <c r="S118" s="390"/>
      <c r="T118" s="107" t="s">
        <v>8</v>
      </c>
      <c r="U118" s="66"/>
    </row>
    <row r="119" spans="1:21" ht="12.75" customHeight="1" thickBot="1" x14ac:dyDescent="0.25">
      <c r="A119" s="66"/>
      <c r="B119" s="66"/>
      <c r="C119" s="141"/>
      <c r="D119" s="66"/>
      <c r="E119" s="66"/>
      <c r="F119" s="183"/>
      <c r="G119" s="133"/>
      <c r="H119" s="384" t="s">
        <v>107</v>
      </c>
      <c r="I119" s="385"/>
      <c r="J119" s="386"/>
      <c r="K119" s="305">
        <f>Inmunizaciones!H150</f>
        <v>0</v>
      </c>
      <c r="L119" s="305">
        <f>Inmunizaciones!I150</f>
        <v>0</v>
      </c>
      <c r="M119" s="305">
        <f>Inmunizaciones!J150</f>
        <v>0</v>
      </c>
      <c r="N119" s="626"/>
      <c r="O119" s="624">
        <f>K119+L119+M119</f>
        <v>0</v>
      </c>
      <c r="P119" s="194" t="s">
        <v>152</v>
      </c>
      <c r="Q119" s="221" t="s">
        <v>106</v>
      </c>
      <c r="R119" s="387" t="s">
        <v>167</v>
      </c>
      <c r="S119" s="387"/>
      <c r="T119" s="621">
        <f>Inmunizaciones!D190</f>
        <v>0</v>
      </c>
      <c r="U119" s="66"/>
    </row>
    <row r="120" spans="1:21" ht="21.75" customHeight="1" x14ac:dyDescent="0.2">
      <c r="A120" s="66"/>
      <c r="B120" s="140"/>
      <c r="C120" s="141"/>
      <c r="D120" s="66"/>
      <c r="E120" s="66"/>
      <c r="F120" s="142"/>
      <c r="G120" s="68"/>
      <c r="H120" s="381" t="s">
        <v>257</v>
      </c>
      <c r="I120" s="382"/>
      <c r="J120" s="383"/>
      <c r="K120" s="627">
        <f>Inmunizaciones!C158</f>
        <v>0</v>
      </c>
      <c r="L120" s="627">
        <f>Inmunizaciones!D158</f>
        <v>0</v>
      </c>
      <c r="M120" s="627">
        <f>Inmunizaciones!E158</f>
        <v>0</v>
      </c>
      <c r="N120" s="627">
        <f>Inmunizaciones!F158</f>
        <v>0</v>
      </c>
      <c r="O120" s="107">
        <f>K120+L120+M120+N120</f>
        <v>0</v>
      </c>
      <c r="P120" s="190"/>
      <c r="Q120" s="221" t="s">
        <v>54</v>
      </c>
      <c r="R120" s="387"/>
      <c r="S120" s="387"/>
      <c r="T120" s="621">
        <f>Inmunizaciones!D191</f>
        <v>0</v>
      </c>
      <c r="U120" s="66"/>
    </row>
    <row r="121" spans="1:21" x14ac:dyDescent="0.2">
      <c r="A121" s="66"/>
      <c r="B121" s="199"/>
      <c r="C121" s="68" t="s">
        <v>146</v>
      </c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190"/>
      <c r="Q121" s="221" t="s">
        <v>55</v>
      </c>
      <c r="R121" s="387"/>
      <c r="S121" s="387"/>
      <c r="T121" s="621">
        <f>Inmunizaciones!D192</f>
        <v>0</v>
      </c>
      <c r="U121" s="66"/>
    </row>
    <row r="122" spans="1:21" x14ac:dyDescent="0.2">
      <c r="A122" s="66"/>
      <c r="B122" s="138"/>
      <c r="C122" s="68" t="s">
        <v>147</v>
      </c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221" t="s">
        <v>56</v>
      </c>
      <c r="R122" s="387"/>
      <c r="S122" s="387"/>
      <c r="T122" s="621">
        <f>Inmunizaciones!D193</f>
        <v>0</v>
      </c>
      <c r="U122" s="66"/>
    </row>
    <row r="123" spans="1:21" x14ac:dyDescent="0.2">
      <c r="A123" s="66"/>
      <c r="B123" s="134" t="s">
        <v>151</v>
      </c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221" t="s">
        <v>159</v>
      </c>
      <c r="R123" s="387"/>
      <c r="S123" s="387"/>
      <c r="T123" s="621">
        <f>Inmunizaciones!D194</f>
        <v>0</v>
      </c>
      <c r="U123" s="66"/>
    </row>
    <row r="124" spans="1:21" x14ac:dyDescent="0.2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221" t="s">
        <v>106</v>
      </c>
      <c r="R124" s="387" t="s">
        <v>168</v>
      </c>
      <c r="S124" s="387"/>
      <c r="T124" s="621">
        <f>Inmunizaciones!D195</f>
        <v>0</v>
      </c>
      <c r="U124" s="66"/>
    </row>
    <row r="125" spans="1:21" x14ac:dyDescent="0.2">
      <c r="Q125" s="221" t="s">
        <v>54</v>
      </c>
      <c r="R125" s="387"/>
      <c r="S125" s="387"/>
      <c r="T125" s="621">
        <f>Inmunizaciones!D196</f>
        <v>0</v>
      </c>
    </row>
    <row r="126" spans="1:21" x14ac:dyDescent="0.2">
      <c r="Q126" s="221" t="s">
        <v>55</v>
      </c>
      <c r="R126" s="387"/>
      <c r="S126" s="387"/>
      <c r="T126" s="621">
        <f>Inmunizaciones!D197</f>
        <v>0</v>
      </c>
    </row>
    <row r="127" spans="1:21" x14ac:dyDescent="0.2">
      <c r="Q127" s="221" t="s">
        <v>56</v>
      </c>
      <c r="R127" s="387"/>
      <c r="S127" s="387"/>
      <c r="T127" s="621">
        <f>Inmunizaciones!D198</f>
        <v>0</v>
      </c>
    </row>
    <row r="128" spans="1:21" ht="13.5" thickBot="1" x14ac:dyDescent="0.25">
      <c r="Q128" s="222" t="s">
        <v>159</v>
      </c>
      <c r="R128" s="388"/>
      <c r="S128" s="388"/>
      <c r="T128" s="622">
        <f>Inmunizaciones!D199</f>
        <v>0</v>
      </c>
    </row>
    <row r="129" spans="17:20" x14ac:dyDescent="0.2">
      <c r="Q129" s="375" t="s">
        <v>211</v>
      </c>
      <c r="R129" s="376"/>
      <c r="S129" s="376"/>
      <c r="T129" s="107">
        <f>Inmunizaciones!D200</f>
        <v>0</v>
      </c>
    </row>
    <row r="130" spans="17:20" x14ac:dyDescent="0.2">
      <c r="Q130" s="377" t="s">
        <v>258</v>
      </c>
      <c r="R130" s="378"/>
      <c r="S130" s="378"/>
      <c r="T130" s="86">
        <f>Inmunizaciones!D201</f>
        <v>0</v>
      </c>
    </row>
    <row r="131" spans="17:20" x14ac:dyDescent="0.2">
      <c r="Q131" s="379" t="s">
        <v>259</v>
      </c>
      <c r="R131" s="380"/>
      <c r="S131" s="380"/>
      <c r="T131" s="86">
        <f>Inmunizaciones!D202</f>
        <v>0</v>
      </c>
    </row>
    <row r="132" spans="17:20" ht="13.5" thickBot="1" x14ac:dyDescent="0.25">
      <c r="Q132" s="514" t="s">
        <v>35</v>
      </c>
      <c r="R132" s="515"/>
      <c r="S132" s="515"/>
      <c r="T132" s="623">
        <f>Inmunizaciones!D203</f>
        <v>0</v>
      </c>
    </row>
  </sheetData>
  <mergeCells count="121">
    <mergeCell ref="E22:G22"/>
    <mergeCell ref="B45:F45"/>
    <mergeCell ref="B48:F49"/>
    <mergeCell ref="G48:J48"/>
    <mergeCell ref="F23:G23"/>
    <mergeCell ref="E25:G25"/>
    <mergeCell ref="B26:G27"/>
    <mergeCell ref="H26:K26"/>
    <mergeCell ref="L26:N26"/>
    <mergeCell ref="B32:C33"/>
    <mergeCell ref="B20:D20"/>
    <mergeCell ref="E20:G20"/>
    <mergeCell ref="B21:D21"/>
    <mergeCell ref="E21:G21"/>
    <mergeCell ref="B22:D22"/>
    <mergeCell ref="Q132:S132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E12:G12"/>
    <mergeCell ref="E13:G13"/>
    <mergeCell ref="B14:D15"/>
    <mergeCell ref="F14:G14"/>
    <mergeCell ref="F15:G15"/>
    <mergeCell ref="D42:E44"/>
    <mergeCell ref="K48:M48"/>
    <mergeCell ref="N48:Q48"/>
    <mergeCell ref="B2:T2"/>
    <mergeCell ref="E6:G6"/>
    <mergeCell ref="B16:D16"/>
    <mergeCell ref="E16:G16"/>
    <mergeCell ref="B17:D19"/>
    <mergeCell ref="F17:G17"/>
    <mergeCell ref="F18:G18"/>
    <mergeCell ref="F19:G19"/>
    <mergeCell ref="B12:D13"/>
    <mergeCell ref="R48:T48"/>
    <mergeCell ref="B28:C31"/>
    <mergeCell ref="Q28:S30"/>
    <mergeCell ref="B34:C36"/>
    <mergeCell ref="B37:C44"/>
    <mergeCell ref="D39:E40"/>
    <mergeCell ref="D41:F41"/>
    <mergeCell ref="K67:M67"/>
    <mergeCell ref="B53:C61"/>
    <mergeCell ref="D54:E55"/>
    <mergeCell ref="D56:F56"/>
    <mergeCell ref="D57:E59"/>
    <mergeCell ref="D60:F60"/>
    <mergeCell ref="D61:F61"/>
    <mergeCell ref="P40:P41"/>
    <mergeCell ref="Q40:S40"/>
    <mergeCell ref="B63:F63"/>
    <mergeCell ref="B64:F64"/>
    <mergeCell ref="D80:F80"/>
    <mergeCell ref="B62:F62"/>
    <mergeCell ref="D65:F65"/>
    <mergeCell ref="B67:F68"/>
    <mergeCell ref="O68:R68"/>
    <mergeCell ref="S68:T68"/>
    <mergeCell ref="D73:E74"/>
    <mergeCell ref="D75:F75"/>
    <mergeCell ref="D76:E78"/>
    <mergeCell ref="N78:N79"/>
    <mergeCell ref="O78:Q78"/>
    <mergeCell ref="S78:T78"/>
    <mergeCell ref="D79:F79"/>
    <mergeCell ref="N68:N69"/>
    <mergeCell ref="G67:J67"/>
    <mergeCell ref="B72:C80"/>
    <mergeCell ref="S95:S97"/>
    <mergeCell ref="T95:T97"/>
    <mergeCell ref="B95:C99"/>
    <mergeCell ref="R99:T100"/>
    <mergeCell ref="N101:O101"/>
    <mergeCell ref="R101:S101"/>
    <mergeCell ref="T101:T102"/>
    <mergeCell ref="R102:S102"/>
    <mergeCell ref="B90:C94"/>
    <mergeCell ref="B111:E112"/>
    <mergeCell ref="F111:F112"/>
    <mergeCell ref="H111:J111"/>
    <mergeCell ref="Q111:Q112"/>
    <mergeCell ref="R111:T111"/>
    <mergeCell ref="H112:J112"/>
    <mergeCell ref="N87:N88"/>
    <mergeCell ref="O87:R87"/>
    <mergeCell ref="S87:T87"/>
    <mergeCell ref="B88:E89"/>
    <mergeCell ref="F88:F89"/>
    <mergeCell ref="H88:K89"/>
    <mergeCell ref="L88:L89"/>
    <mergeCell ref="H90:I94"/>
    <mergeCell ref="N95:N97"/>
    <mergeCell ref="O95:O97"/>
    <mergeCell ref="P95:P97"/>
    <mergeCell ref="Q95:Q97"/>
    <mergeCell ref="H108:J109"/>
    <mergeCell ref="K108:O108"/>
    <mergeCell ref="H110:J110"/>
    <mergeCell ref="Q110:T110"/>
    <mergeCell ref="R95:R97"/>
    <mergeCell ref="H113:J113"/>
    <mergeCell ref="Q129:S129"/>
    <mergeCell ref="Q130:S130"/>
    <mergeCell ref="Q131:S131"/>
    <mergeCell ref="H120:J120"/>
    <mergeCell ref="H119:J119"/>
    <mergeCell ref="R119:S123"/>
    <mergeCell ref="R124:S128"/>
    <mergeCell ref="H117:J117"/>
    <mergeCell ref="Q118:S118"/>
    <mergeCell ref="H114:J114"/>
    <mergeCell ref="H115:J115"/>
    <mergeCell ref="H116:J116"/>
  </mergeCells>
  <pageMargins left="0.7" right="0.7" top="0.75" bottom="0.75" header="0.3" footer="0.3"/>
  <pageSetup paperSize="9" scale="62" orientation="portrait" r:id="rId1"/>
  <rowBreaks count="1" manualBreakCount="1">
    <brk id="85" max="20" man="1"/>
  </rowBreaks>
  <ignoredErrors>
    <ignoredError sqref="K34" formula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Inmunizaciones</vt:lpstr>
      <vt:lpstr>Informe Operacional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Elvis Castañeda Dueñas</dc:creator>
  <cp:lastModifiedBy>DIRESA</cp:lastModifiedBy>
  <cp:lastPrinted>2019-03-06T15:54:00Z</cp:lastPrinted>
  <dcterms:created xsi:type="dcterms:W3CDTF">1999-06-21T16:16:19Z</dcterms:created>
  <dcterms:modified xsi:type="dcterms:W3CDTF">2025-03-13T21:52:51Z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