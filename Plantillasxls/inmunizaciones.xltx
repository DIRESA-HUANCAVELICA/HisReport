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is report\HisReport 2022 - copia\Plantillasxls\"/>
    </mc:Choice>
  </mc:AlternateContent>
  <xr:revisionPtr revIDLastSave="0" documentId="13_ncr:1_{A33713D2-2891-488C-964D-7F48CBED35CB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<sst xmlns="http://schemas.openxmlformats.org/spreadsheetml/2006/main" count="1308" uniqueCount="439">
  <si>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</si>
  <si>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</si>
  <si>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</si>
  <si>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</si>
  <si>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</si>
  <si>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</si>
  <si>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</si>
  <si>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</si>
  <si>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</si>
  <si>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</si>
  <si>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</si>
  <si>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</si>
  <si>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</si>
  <si>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</si>
  <si>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</si>
  <si>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</si>
  <si>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</si>
  <si>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</si>
  <si>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</si>
  <si>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</si>
  <si>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</si>
  <si>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</si>
  <si>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</si>
  <si>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</si>
  <si>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</si>
  <si>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</si>
  <si>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</si>
  <si>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</si>
  <si>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</si>
  <si>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</si>
  <si>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</si>
  <si>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</si>
  <si>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</si>
  <si>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</si>
  <si>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</si>
  <si>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</si>
  <si>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</si>
  <si>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</si>
  <si>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</si>
  <si>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</si>
  <si>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</si>
  <si>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</si>
  <si>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</si>
  <si>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</si>
  <si>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</si>
  <si>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</si>
  <si>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</si>
  <si>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</si>
  <si>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</si>
  <si>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</si>
  <si>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</si>
  <si>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</si>
  <si>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</si>
  <si>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</si>
  <si>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</si>
  <si>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</si>
  <si>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</si>
  <si>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</si>
  <si>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</si>
  <si>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</si>
  <si>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</si>
  <si>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</si>
  <si>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</si>
  <si>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</si>
  <si>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</si>
  <si>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</si>
  <si>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</si>
  <si>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</si>
  <si>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</si>
  <si>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</si>
  <si>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</si>
  <si>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</si>
  <si>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</si>
  <si>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</si>
  <si>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</si>
  <si>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</si>
  <si>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</si>
  <si>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</si>
  <si>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</si>
  <si>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</si>
  <si>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</si>
  <si>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</si>
  <si>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</si>
  <si>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</si>
  <si>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</si>
  <si>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</si>
  <si>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</si>
  <si>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</si>
  <si>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</si>
  <si>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</si>
  <si>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</si>
  <si>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</si>
  <si>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</si>
  <si>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</si>
  <si>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</si>
  <si>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</si>
  <si>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</si>
  <si>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</si>
  <si>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</si>
  <si>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</si>
  <si>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</si>
  <si>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</si>
  <si>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</si>
  <si>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</si>
  <si>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</si>
  <si>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</si>
  <si>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</si>
  <si>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</si>
  <si>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</si>
  <si>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</si>
  <si>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</si>
  <si>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</si>
  <si>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</si>
  <si>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</si>
  <si>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</si>
  <si>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</si>
  <si>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</si>
  <si>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</si>
  <si>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</si>
  <si>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</si>
  <si>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</si>
  <si>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</si>
  <si>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</si>
  <si>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</si>
  <si>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</si>
  <si>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</si>
  <si>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</si>
  <si>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</si>
  <si>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</si>
  <si>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</si>
  <si>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</si>
  <si>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</si>
  <si>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</si>
  <si>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</si>
  <si>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</si>
  <si>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</si>
  <si>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</si>
  <si>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</si>
  <si>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</si>
  <si>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</si>
  <si>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</si>
  <si>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</si>
  <si>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</si>
  <si>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</si>
  <si>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</si>
  <si>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</si>
  <si>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</si>
  <si>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</si>
  <si>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</si>
  <si>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</si>
  <si>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</si>
  <si>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</si>
  <si>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</si>
  <si>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</si>
  <si>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</si>
  <si>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</si>
  <si>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</si>
  <si>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</si>
  <si>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</si>
  <si>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</si>
  <si>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</si>
  <si>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</si>
  <si>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</si>
  <si>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</si>
  <si>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</si>
  <si>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</si>
  <si>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</si>
  <si>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</si>
  <si>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</si>
  <si>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</si>
  <si>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</si>
  <si>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</si>
  <si>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</si>
  <si>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</si>
  <si>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</si>
  <si>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</si>
  <si>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</si>
  <si>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</si>
  <si>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</si>
  <si>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</si>
  <si>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</si>
  <si>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</si>
  <si>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</si>
  <si>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</si>
  <si>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</si>
  <si>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</si>
  <si>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</si>
  <si>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</si>
  <si>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</si>
  <si>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</si>
  <si>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</si>
  <si>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</si>
  <si>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</si>
  <si>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</si>
  <si>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</si>
  <si>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</si>
  <si>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</si>
  <si>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</si>
  <si>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</si>
  <si>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</si>
  <si>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</si>
  <si>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</si>
  <si>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</si>
  <si>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</si>
  <si>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</si>
  <si>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</si>
  <si>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</si>
  <si>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</si>
  <si>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</si>
  <si>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</si>
  <si>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</si>
  <si>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</si>
  <si>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</si>
  <si>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</si>
  <si>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</si>
  <si>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</si>
  <si>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</si>
  <si>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</si>
  <si>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</si>
  <si>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</si>
  <si>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</si>
  <si>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</si>
  <si>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</si>
  <si>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</si>
  <si>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</si>
  <si>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</si>
  <si>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</si>
  <si>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</si>
  <si>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</si>
  <si>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</si>
  <si>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</si>
  <si>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</si>
  <si>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</si>
  <si>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</si>
  <si>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</si>
  <si>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</si>
  <si>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</si>
  <si>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</si>
  <si>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</si>
  <si>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</si>
  <si>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</si>
  <si>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</si>
  <si>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</si>
  <si>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</si>
  <si>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</si>
  <si>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</si>
  <si>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</si>
  <si>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</si>
  <si>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</si>
  <si>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</si>
  <si>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</si>
  <si>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</si>
  <si>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</si>
  <si>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</si>
  <si>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</si>
  <si>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</si>
  <si>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</si>
  <si>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</si>
  <si>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</si>
  <si>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</si>
  <si>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</si>
  <si>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</si>
  <si>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</si>
  <si>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</si>
  <si>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</si>
  <si>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</si>
  <si>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</si>
  <si>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</si>
  <si>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</si>
  <si>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</si>
  <si>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</si>
  <si>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</si>
  <si>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</si>
  <si>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</si>
  <si>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</si>
  <si>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</si>
  <si>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</si>
  <si>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</si>
  <si>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</si>
  <si>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</si>
  <si>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</si>
  <si>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</si>
  <si>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</si>
  <si>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</si>
  <si>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</si>
  <si>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</si>
  <si>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</si>
  <si>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</si>
  <si>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</si>
  <si>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</si>
  <si>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</si>
  <si>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</si>
  <si>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</si>
  <si>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</si>
  <si>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</si>
  <si>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</si>
  <si>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</si>
  <si>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</si>
  <si>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</si>
  <si>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</si>
  <si>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</si>
  <si>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</si>
  <si>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</si>
  <si>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</si>
  <si>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</si>
  <si>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</si>
  <si>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</si>
  <si>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</si>
  <si>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</si>
  <si>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</si>
  <si>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</si>
  <si>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</si>
  <si>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</si>
  <si>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</si>
  <si>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</si>
  <si>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</si>
  <si>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</si>
  <si>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</si>
  <si>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</si>
  <si>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</si>
  <si>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</si>
  <si>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</si>
  <si>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</si>
  <si>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</si>
  <si>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</si>
  <si>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</si>
  <si>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</si>
  <si>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</si>
  <si>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</si>
  <si>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</si>
  <si>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</si>
  <si>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</si>
  <si>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</si>
  <si>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</si>
  <si>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</si>
  <si>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</si>
  <si>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- 90702</t>
    </r>
  </si>
  <si>
    <r>
      <rPr>
        <sz val="8"/>
        <color theme="0" tint="-0.34998626667073579"/>
        <rFont val="Tahoma"/>
        <family val="2"/>
      </rPr>
      <t>Z251</t>
    </r>
    <r>
      <rPr>
        <sz val="8"/>
        <color rgb="FF0066FF"/>
        <rFont val="Tahoma"/>
        <family val="2"/>
      </rPr>
      <t xml:space="preserve"> - 90648</t>
    </r>
  </si>
  <si>
    <r>
      <rPr>
        <sz val="8"/>
        <color theme="4" tint="0.39997558519241921"/>
        <rFont val="Tahoma"/>
        <family val="2"/>
      </rPr>
      <t>90669,</t>
    </r>
    <r>
      <rPr>
        <sz val="8"/>
        <color rgb="FF0066FF"/>
        <rFont val="Tahoma"/>
        <family val="2"/>
      </rPr>
      <t xml:space="preserve"> 90670</t>
    </r>
  </si>
  <si>
    <t>90657-90658(3a+años)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</si>
  <si>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</t>
    </r>
  </si>
  <si>
    <t>90746</t>
  </si>
  <si>
    <t>OM</t>
  </si>
  <si>
    <t>Reporte K: Vacunacion de la Hepatitis B, dosis adulta de usos intramuscular (esquema de 3 dosis 16-59 años)</t>
  </si>
  <si>
    <t>TIPO DE VACUNA</t>
  </si>
  <si>
    <r>
      <rPr>
        <sz val="8"/>
        <color theme="2" tint="-0.499984740745262"/>
        <rFont val="Tahoma"/>
        <family val="2"/>
      </rPr>
      <t>90657</t>
    </r>
    <r>
      <rPr>
        <sz val="8"/>
        <color rgb="FF0066FF"/>
        <rFont val="Tahoma"/>
        <family val="2"/>
      </rPr>
      <t>/90658</t>
    </r>
  </si>
  <si>
    <t>90715</t>
  </si>
  <si>
    <r>
      <rPr>
        <sz val="8"/>
        <color theme="0" tint="-0.34998626667073579"/>
        <rFont val="Tahoma"/>
        <family val="2"/>
      </rPr>
      <t>Z2781</t>
    </r>
    <r>
      <rPr>
        <sz val="8"/>
        <color rgb="FF0066FF"/>
        <rFont val="Tahoma"/>
        <family val="2"/>
      </rPr>
      <t xml:space="preserve"> - 90714 /</t>
    </r>
    <r>
      <rPr>
        <sz val="8"/>
        <color rgb="FFFFC000"/>
        <rFont val="Tahoma"/>
        <family val="2"/>
      </rPr>
      <t xml:space="preserve"> 90715</t>
    </r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</si>
  <si>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</si>
  <si>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</si>
  <si>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</si>
  <si>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</si>
  <si>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</si>
  <si>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</si>
  <si>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</si>
  <si>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</si>
  <si>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</si>
  <si>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r>
      <t xml:space="preserve">90650 - </t>
    </r>
    <r>
      <rPr>
        <sz val="8"/>
        <color rgb="FFFF0000"/>
        <rFont val="Tahoma"/>
        <family val="2"/>
      </rPr>
      <t>90649</t>
    </r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</si>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</sst>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5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theme="0" tint="-0.34998626667073579"/>
      <name val="Tahoma"/>
      <family val="2"/>
    </font>
    <font>
      <sz val="8"/>
      <color theme="4" tint="0.39997558519241921"/>
      <name val="Tahoma"/>
      <family val="2"/>
    </font>
    <font>
      <sz val="8"/>
      <color theme="2" tint="-0.499984740745262"/>
      <name val="Tahoma"/>
      <family val="2"/>
    </font>
    <font>
      <sz val="8"/>
      <color rgb="FFFFC000"/>
      <name val="Tahoma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166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164" fontId="2" fillId="0" borderId="0" applyFont="0" applyFill="0" applyBorder="0" applyAlignment="0" applyProtection="0"/>
  </cellStyleXfs>
  <cellXfs count="824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justify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9" fillId="0" borderId="0" xfId="7" applyNumberFormat="1" applyFont="1" applyAlignment="1">
      <alignment vertical="center"/>
    </xf>
    <xf numFmtId="1" fontId="20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49" fontId="15" fillId="0" borderId="0" xfId="0" applyNumberFormat="1" applyFont="1" applyAlignment="1">
      <alignment horizontal="right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3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5" fillId="0" borderId="0" xfId="7" applyFont="1" applyAlignment="1">
      <alignment vertical="center"/>
    </xf>
    <xf numFmtId="0" fontId="26" fillId="0" borderId="0" xfId="18" applyFont="1" applyAlignment="1">
      <alignment vertical="center"/>
    </xf>
    <xf numFmtId="0" fontId="25" fillId="0" borderId="0" xfId="7" applyFont="1" applyAlignment="1">
      <alignment horizontal="right" vertical="center"/>
    </xf>
    <xf numFmtId="0" fontId="29" fillId="0" borderId="0" xfId="7" applyFont="1" applyAlignment="1">
      <alignment horizontal="right" vertical="center" indent="1"/>
    </xf>
    <xf numFmtId="0" fontId="28" fillId="0" borderId="0" xfId="7" applyFont="1" applyAlignment="1">
      <alignment vertical="center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vertical="center"/>
    </xf>
    <xf numFmtId="0" fontId="29" fillId="0" borderId="0" xfId="7" applyFont="1" applyAlignment="1">
      <alignment horizontal="right" vertical="center"/>
    </xf>
    <xf numFmtId="0" fontId="29" fillId="0" borderId="6" xfId="7" applyFont="1" applyBorder="1" applyAlignment="1">
      <alignment vertical="center"/>
    </xf>
    <xf numFmtId="1" fontId="29" fillId="0" borderId="0" xfId="7" applyNumberFormat="1" applyFont="1" applyAlignment="1">
      <alignment vertical="center"/>
    </xf>
    <xf numFmtId="0" fontId="28" fillId="0" borderId="2" xfId="7" applyFont="1" applyBorder="1" applyAlignment="1">
      <alignment horizontal="center" vertical="center"/>
    </xf>
    <xf numFmtId="0" fontId="28" fillId="0" borderId="7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30" fillId="0" borderId="0" xfId="7" applyFont="1" applyAlignment="1">
      <alignment vertical="center"/>
    </xf>
    <xf numFmtId="167" fontId="31" fillId="0" borderId="2" xfId="20" applyNumberFormat="1" applyFont="1" applyBorder="1" applyAlignment="1">
      <alignment vertical="center"/>
    </xf>
    <xf numFmtId="167" fontId="31" fillId="0" borderId="8" xfId="20" applyNumberFormat="1" applyFont="1" applyBorder="1" applyAlignment="1">
      <alignment vertical="center"/>
    </xf>
    <xf numFmtId="168" fontId="31" fillId="0" borderId="2" xfId="20" applyNumberFormat="1" applyFont="1" applyBorder="1" applyAlignment="1">
      <alignment vertical="center"/>
    </xf>
    <xf numFmtId="169" fontId="31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9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9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7" fontId="31" fillId="0" borderId="12" xfId="20" applyNumberFormat="1" applyFont="1" applyBorder="1" applyAlignment="1">
      <alignment vertical="center"/>
    </xf>
    <xf numFmtId="167" fontId="31" fillId="0" borderId="15" xfId="20" applyNumberFormat="1" applyFont="1" applyBorder="1" applyAlignment="1">
      <alignment vertical="center"/>
    </xf>
    <xf numFmtId="168" fontId="31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7" fontId="31" fillId="0" borderId="31" xfId="20" applyNumberFormat="1" applyFont="1" applyBorder="1" applyAlignment="1">
      <alignment vertical="center"/>
    </xf>
    <xf numFmtId="167" fontId="31" fillId="0" borderId="16" xfId="20" applyNumberFormat="1" applyFont="1" applyBorder="1" applyAlignment="1">
      <alignment vertical="center"/>
    </xf>
    <xf numFmtId="168" fontId="31" fillId="0" borderId="31" xfId="20" applyNumberFormat="1" applyFont="1" applyBorder="1" applyAlignment="1">
      <alignment vertical="center"/>
    </xf>
    <xf numFmtId="169" fontId="3" fillId="0" borderId="32" xfId="20" applyNumberFormat="1" applyFont="1" applyBorder="1" applyAlignment="1">
      <alignment vertical="center"/>
    </xf>
    <xf numFmtId="0" fontId="31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8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1" fillId="0" borderId="8" xfId="7" applyNumberFormat="1" applyFont="1" applyBorder="1" applyAlignment="1">
      <alignment vertical="center"/>
    </xf>
    <xf numFmtId="2" fontId="31" fillId="0" borderId="28" xfId="7" applyNumberFormat="1" applyFont="1" applyBorder="1" applyAlignment="1">
      <alignment vertical="center"/>
    </xf>
    <xf numFmtId="0" fontId="18" fillId="0" borderId="0" xfId="7" applyFont="1" applyAlignment="1">
      <alignment horizontal="center" vertical="center" wrapText="1"/>
    </xf>
    <xf numFmtId="3" fontId="31" fillId="0" borderId="15" xfId="7" applyNumberFormat="1" applyFont="1" applyBorder="1" applyAlignment="1">
      <alignment vertical="center"/>
    </xf>
    <xf numFmtId="2" fontId="31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1" fillId="0" borderId="5" xfId="7" applyNumberFormat="1" applyFont="1" applyBorder="1" applyAlignment="1">
      <alignment vertical="center"/>
    </xf>
    <xf numFmtId="2" fontId="31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1" fillId="0" borderId="31" xfId="7" applyNumberFormat="1" applyFont="1" applyBorder="1" applyAlignment="1">
      <alignment vertical="center"/>
    </xf>
    <xf numFmtId="2" fontId="31" fillId="0" borderId="35" xfId="7" applyNumberFormat="1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1" fillId="0" borderId="10" xfId="7" applyNumberFormat="1" applyFont="1" applyBorder="1" applyAlignment="1">
      <alignment vertical="center"/>
    </xf>
    <xf numFmtId="2" fontId="31" fillId="0" borderId="27" xfId="7" applyNumberFormat="1" applyFont="1" applyBorder="1" applyAlignment="1">
      <alignment vertical="center"/>
    </xf>
    <xf numFmtId="3" fontId="31" fillId="0" borderId="12" xfId="7" applyNumberFormat="1" applyFont="1" applyBorder="1" applyAlignment="1">
      <alignment vertical="center"/>
    </xf>
    <xf numFmtId="3" fontId="31" fillId="0" borderId="16" xfId="7" applyNumberFormat="1" applyFont="1" applyBorder="1" applyAlignment="1">
      <alignment vertical="center"/>
    </xf>
    <xf numFmtId="2" fontId="31" fillId="0" borderId="32" xfId="7" applyNumberFormat="1" applyFont="1" applyBorder="1" applyAlignment="1">
      <alignment vertical="center"/>
    </xf>
    <xf numFmtId="4" fontId="31" fillId="0" borderId="28" xfId="7" applyNumberFormat="1" applyFont="1" applyBorder="1" applyAlignment="1">
      <alignment vertical="center"/>
    </xf>
    <xf numFmtId="0" fontId="28" fillId="0" borderId="15" xfId="7" applyFont="1" applyBorder="1" applyAlignment="1">
      <alignment horizontal="center" vertical="center"/>
    </xf>
    <xf numFmtId="4" fontId="31" fillId="0" borderId="29" xfId="7" applyNumberFormat="1" applyFont="1" applyBorder="1" applyAlignment="1">
      <alignment vertical="center"/>
    </xf>
    <xf numFmtId="0" fontId="28" fillId="0" borderId="16" xfId="7" applyFont="1" applyBorder="1" applyAlignment="1">
      <alignment horizontal="center" vertical="center"/>
    </xf>
    <xf numFmtId="4" fontId="31" fillId="0" borderId="32" xfId="7" applyNumberFormat="1" applyFont="1" applyBorder="1" applyAlignment="1">
      <alignment vertical="center"/>
    </xf>
    <xf numFmtId="4" fontId="31" fillId="0" borderId="11" xfId="7" applyNumberFormat="1" applyFont="1" applyBorder="1" applyAlignment="1">
      <alignment vertical="center"/>
    </xf>
    <xf numFmtId="0" fontId="29" fillId="0" borderId="45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4" fontId="31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1" fillId="0" borderId="17" xfId="7" applyNumberFormat="1" applyFont="1" applyBorder="1" applyAlignment="1">
      <alignment vertical="center"/>
    </xf>
    <xf numFmtId="0" fontId="28" fillId="0" borderId="20" xfId="7" applyFont="1" applyBorder="1" applyAlignment="1">
      <alignment horizontal="center" vertical="center"/>
    </xf>
    <xf numFmtId="4" fontId="31" fillId="0" borderId="35" xfId="7" applyNumberFormat="1" applyFont="1" applyBorder="1" applyAlignment="1">
      <alignment vertical="center"/>
    </xf>
    <xf numFmtId="0" fontId="30" fillId="0" borderId="0" xfId="7" applyFont="1" applyAlignment="1">
      <alignment horizontal="center"/>
    </xf>
    <xf numFmtId="0" fontId="30" fillId="0" borderId="0" xfId="7" applyFont="1" applyAlignment="1">
      <alignment horizontal="right"/>
    </xf>
    <xf numFmtId="1" fontId="28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8" fillId="0" borderId="15" xfId="7" applyFont="1" applyBorder="1" applyAlignment="1">
      <alignment vertical="center"/>
    </xf>
    <xf numFmtId="1" fontId="28" fillId="0" borderId="4" xfId="7" applyNumberFormat="1" applyFont="1" applyBorder="1" applyAlignment="1">
      <alignment horizontal="left" vertical="center" indent="1"/>
    </xf>
    <xf numFmtId="0" fontId="28" fillId="0" borderId="5" xfId="7" applyFont="1" applyBorder="1" applyAlignment="1">
      <alignment vertical="center"/>
    </xf>
    <xf numFmtId="0" fontId="32" fillId="0" borderId="24" xfId="7" applyFont="1" applyBorder="1" applyAlignment="1">
      <alignment vertical="center"/>
    </xf>
    <xf numFmtId="1" fontId="33" fillId="0" borderId="13" xfId="7" applyNumberFormat="1" applyFont="1" applyBorder="1" applyAlignment="1">
      <alignment vertical="center"/>
    </xf>
    <xf numFmtId="0" fontId="32" fillId="0" borderId="15" xfId="7" applyFont="1" applyBorder="1" applyAlignment="1">
      <alignment vertical="center"/>
    </xf>
    <xf numFmtId="1" fontId="23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3" fillId="0" borderId="23" xfId="7" applyNumberFormat="1" applyFont="1" applyBorder="1" applyAlignment="1">
      <alignment horizontal="left" vertical="center" indent="1"/>
    </xf>
    <xf numFmtId="0" fontId="28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2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2" fillId="0" borderId="26" xfId="7" applyFont="1" applyBorder="1" applyAlignment="1">
      <alignment vertical="center"/>
    </xf>
    <xf numFmtId="1" fontId="33" fillId="0" borderId="17" xfId="7" applyNumberFormat="1" applyFont="1" applyBorder="1" applyAlignment="1">
      <alignment vertical="center"/>
    </xf>
    <xf numFmtId="0" fontId="32" fillId="0" borderId="16" xfId="7" applyFont="1" applyBorder="1" applyAlignment="1">
      <alignment vertical="center"/>
    </xf>
    <xf numFmtId="0" fontId="23" fillId="0" borderId="0" xfId="7" applyFont="1" applyAlignment="1">
      <alignment vertical="center"/>
    </xf>
    <xf numFmtId="1" fontId="34" fillId="0" borderId="0" xfId="7" applyNumberFormat="1" applyFont="1" applyAlignment="1">
      <alignment vertical="center"/>
    </xf>
    <xf numFmtId="0" fontId="28" fillId="0" borderId="24" xfId="7" applyFont="1" applyBorder="1" applyAlignment="1">
      <alignment horizontal="left" vertical="center" indent="1"/>
    </xf>
    <xf numFmtId="0" fontId="28" fillId="0" borderId="26" xfId="7" applyFont="1" applyBorder="1" applyAlignment="1">
      <alignment horizontal="left" vertical="center" indent="1"/>
    </xf>
    <xf numFmtId="0" fontId="28" fillId="0" borderId="16" xfId="7" applyFont="1" applyBorder="1" applyAlignment="1">
      <alignment vertical="center"/>
    </xf>
    <xf numFmtId="0" fontId="28" fillId="0" borderId="13" xfId="7" applyFont="1" applyBorder="1" applyAlignment="1">
      <alignment vertical="center"/>
    </xf>
    <xf numFmtId="0" fontId="23" fillId="0" borderId="0" xfId="7" applyFont="1" applyAlignment="1">
      <alignment horizontal="left" vertical="center"/>
    </xf>
    <xf numFmtId="0" fontId="28" fillId="0" borderId="23" xfId="7" applyFont="1" applyBorder="1" applyAlignment="1">
      <alignment horizontal="left" vertical="center" indent="1"/>
    </xf>
    <xf numFmtId="0" fontId="28" fillId="0" borderId="21" xfId="7" applyFont="1" applyBorder="1" applyAlignment="1">
      <alignment vertical="center"/>
    </xf>
    <xf numFmtId="0" fontId="33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2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3" fillId="0" borderId="0" xfId="7" applyFont="1" applyAlignment="1">
      <alignment horizontal="center" vertical="center"/>
    </xf>
    <xf numFmtId="1" fontId="32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4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8" fillId="0" borderId="0" xfId="7" applyNumberFormat="1" applyFont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21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8" fillId="0" borderId="3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3" fontId="28" fillId="0" borderId="35" xfId="7" applyNumberFormat="1" applyFont="1" applyBorder="1" applyAlignment="1">
      <alignment horizontal="center" vertical="center"/>
    </xf>
    <xf numFmtId="167" fontId="3" fillId="0" borderId="12" xfId="20" applyNumberFormat="1" applyFont="1" applyBorder="1" applyAlignment="1">
      <alignment horizontal="center" vertical="center"/>
    </xf>
    <xf numFmtId="167" fontId="31" fillId="3" borderId="4" xfId="20" applyNumberFormat="1" applyFont="1" applyFill="1" applyBorder="1" applyAlignment="1">
      <alignment horizontal="center" vertical="center"/>
    </xf>
    <xf numFmtId="167" fontId="31" fillId="3" borderId="5" xfId="20" applyNumberFormat="1" applyFont="1" applyFill="1" applyBorder="1" applyAlignment="1">
      <alignment horizontal="center" vertical="center"/>
    </xf>
    <xf numFmtId="167" fontId="31" fillId="3" borderId="3" xfId="20" applyNumberFormat="1" applyFont="1" applyFill="1" applyBorder="1" applyAlignment="1">
      <alignment horizontal="center" vertical="center"/>
    </xf>
    <xf numFmtId="167" fontId="31" fillId="3" borderId="10" xfId="20" applyNumberFormat="1" applyFont="1" applyFill="1" applyBorder="1" applyAlignment="1">
      <alignment horizontal="center" vertical="center"/>
    </xf>
    <xf numFmtId="167" fontId="3" fillId="0" borderId="6" xfId="20" applyNumberFormat="1" applyFont="1" applyBorder="1" applyAlignment="1">
      <alignment horizontal="center" vertical="center"/>
    </xf>
    <xf numFmtId="167" fontId="3" fillId="0" borderId="1" xfId="20" applyNumberFormat="1" applyFont="1" applyBorder="1" applyAlignment="1">
      <alignment horizontal="center" vertical="center"/>
    </xf>
    <xf numFmtId="167" fontId="3" fillId="4" borderId="2" xfId="20" applyNumberFormat="1" applyFont="1" applyFill="1" applyBorder="1" applyAlignment="1">
      <alignment horizontal="center" vertical="center"/>
    </xf>
    <xf numFmtId="167" fontId="3" fillId="4" borderId="4" xfId="20" applyNumberFormat="1" applyFont="1" applyFill="1" applyBorder="1" applyAlignment="1">
      <alignment horizontal="center" vertical="center"/>
    </xf>
    <xf numFmtId="167" fontId="3" fillId="4" borderId="15" xfId="20" applyNumberFormat="1" applyFont="1" applyFill="1" applyBorder="1" applyAlignment="1">
      <alignment horizontal="center" vertical="center"/>
    </xf>
    <xf numFmtId="167" fontId="31" fillId="2" borderId="12" xfId="20" applyNumberFormat="1" applyFont="1" applyFill="1" applyBorder="1" applyAlignment="1">
      <alignment horizontal="center" vertical="center"/>
    </xf>
    <xf numFmtId="167" fontId="3" fillId="3" borderId="6" xfId="20" applyNumberFormat="1" applyFont="1" applyFill="1" applyBorder="1" applyAlignment="1">
      <alignment horizontal="center" vertical="center"/>
    </xf>
    <xf numFmtId="167" fontId="31" fillId="0" borderId="12" xfId="20" applyNumberFormat="1" applyFont="1" applyBorder="1" applyAlignment="1">
      <alignment horizontal="center" vertical="center"/>
    </xf>
    <xf numFmtId="167" fontId="3" fillId="3" borderId="1" xfId="20" applyNumberFormat="1" applyFont="1" applyFill="1" applyBorder="1" applyAlignment="1">
      <alignment horizontal="center" vertical="center"/>
    </xf>
    <xf numFmtId="167" fontId="31" fillId="0" borderId="4" xfId="20" applyNumberFormat="1" applyFont="1" applyBorder="1" applyAlignment="1">
      <alignment horizontal="center" vertical="center"/>
    </xf>
    <xf numFmtId="167" fontId="3" fillId="3" borderId="2" xfId="20" applyNumberFormat="1" applyFont="1" applyFill="1" applyBorder="1" applyAlignment="1">
      <alignment horizontal="center" vertical="center"/>
    </xf>
    <xf numFmtId="167" fontId="3" fillId="3" borderId="4" xfId="20" applyNumberFormat="1" applyFont="1" applyFill="1" applyBorder="1" applyAlignment="1">
      <alignment horizontal="center" vertical="center"/>
    </xf>
    <xf numFmtId="167" fontId="3" fillId="3" borderId="3" xfId="20" applyNumberFormat="1" applyFont="1" applyFill="1" applyBorder="1" applyAlignment="1">
      <alignment horizontal="center" vertical="center"/>
    </xf>
    <xf numFmtId="167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1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1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1" fillId="0" borderId="15" xfId="7" applyNumberFormat="1" applyFont="1" applyBorder="1" applyAlignment="1">
      <alignment horizontal="center" vertical="center"/>
    </xf>
    <xf numFmtId="3" fontId="29" fillId="0" borderId="15" xfId="7" applyNumberFormat="1" applyFont="1" applyBorder="1" applyAlignment="1">
      <alignment horizontal="center" vertical="center"/>
    </xf>
    <xf numFmtId="3" fontId="31" fillId="0" borderId="16" xfId="7" applyNumberFormat="1" applyFont="1" applyBorder="1" applyAlignment="1">
      <alignment horizontal="center" vertical="center"/>
    </xf>
    <xf numFmtId="3" fontId="29" fillId="0" borderId="16" xfId="7" applyNumberFormat="1" applyFont="1" applyBorder="1" applyAlignment="1">
      <alignment horizontal="center" vertical="center"/>
    </xf>
    <xf numFmtId="3" fontId="31" fillId="0" borderId="12" xfId="7" applyNumberFormat="1" applyFont="1" applyBorder="1" applyAlignment="1">
      <alignment horizontal="center" vertical="center"/>
    </xf>
    <xf numFmtId="3" fontId="29" fillId="0" borderId="12" xfId="7" applyNumberFormat="1" applyFont="1" applyBorder="1" applyAlignment="1">
      <alignment horizontal="center" vertical="center"/>
    </xf>
    <xf numFmtId="3" fontId="31" fillId="0" borderId="31" xfId="7" applyNumberFormat="1" applyFont="1" applyBorder="1" applyAlignment="1">
      <alignment horizontal="center" vertical="center"/>
    </xf>
    <xf numFmtId="3" fontId="29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9" fillId="0" borderId="29" xfId="7" applyNumberFormat="1" applyFont="1" applyBorder="1" applyAlignment="1">
      <alignment horizontal="center" vertical="center"/>
    </xf>
    <xf numFmtId="3" fontId="29" fillId="0" borderId="14" xfId="7" applyNumberFormat="1" applyFont="1" applyBorder="1" applyAlignment="1">
      <alignment horizontal="center" vertical="center"/>
    </xf>
    <xf numFmtId="0" fontId="28" fillId="0" borderId="35" xfId="7" applyFont="1" applyBorder="1" applyAlignment="1">
      <alignment horizontal="center" vertical="center"/>
    </xf>
    <xf numFmtId="3" fontId="29" fillId="0" borderId="8" xfId="7" applyNumberFormat="1" applyFont="1" applyBorder="1" applyAlignment="1">
      <alignment horizontal="center" vertical="center"/>
    </xf>
    <xf numFmtId="3" fontId="29" fillId="0" borderId="10" xfId="7" applyNumberFormat="1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9" fillId="0" borderId="5" xfId="7" applyNumberFormat="1" applyFont="1" applyBorder="1" applyAlignment="1">
      <alignment horizontal="center" vertical="center"/>
    </xf>
    <xf numFmtId="167" fontId="29" fillId="0" borderId="2" xfId="20" applyNumberFormat="1" applyFont="1" applyBorder="1" applyAlignment="1">
      <alignment horizontal="center" vertical="center"/>
    </xf>
    <xf numFmtId="167" fontId="29" fillId="0" borderId="12" xfId="20" applyNumberFormat="1" applyFont="1" applyBorder="1" applyAlignment="1">
      <alignment horizontal="center" vertical="center"/>
    </xf>
    <xf numFmtId="167" fontId="29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8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8" fillId="0" borderId="39" xfId="7" applyNumberFormat="1" applyFont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3" fontId="28" fillId="0" borderId="35" xfId="7" applyNumberFormat="1" applyFont="1" applyBorder="1" applyAlignment="1">
      <alignment vertical="center"/>
    </xf>
    <xf numFmtId="1" fontId="32" fillId="0" borderId="13" xfId="7" applyNumberFormat="1" applyFont="1" applyBorder="1" applyAlignment="1">
      <alignment vertical="center" wrapText="1"/>
    </xf>
    <xf numFmtId="1" fontId="32" fillId="0" borderId="15" xfId="7" applyNumberFormat="1" applyFont="1" applyBorder="1" applyAlignment="1">
      <alignment vertical="center" wrapText="1"/>
    </xf>
    <xf numFmtId="1" fontId="32" fillId="0" borderId="25" xfId="7" applyNumberFormat="1" applyFont="1" applyBorder="1" applyAlignment="1">
      <alignment horizontal="left" vertical="center" indent="1"/>
    </xf>
    <xf numFmtId="0" fontId="32" fillId="0" borderId="83" xfId="7" applyFont="1" applyBorder="1" applyAlignment="1">
      <alignment horizontal="left" vertical="center" indent="1"/>
    </xf>
    <xf numFmtId="0" fontId="32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7" fontId="31" fillId="3" borderId="4" xfId="20" applyNumberFormat="1" applyFont="1" applyFill="1" applyBorder="1" applyAlignment="1">
      <alignment vertical="center"/>
    </xf>
    <xf numFmtId="167" fontId="31" fillId="3" borderId="5" xfId="20" applyNumberFormat="1" applyFont="1" applyFill="1" applyBorder="1" applyAlignment="1">
      <alignment vertical="center"/>
    </xf>
    <xf numFmtId="167" fontId="29" fillId="0" borderId="2" xfId="20" applyNumberFormat="1" applyFont="1" applyBorder="1" applyAlignment="1">
      <alignment vertical="center"/>
    </xf>
    <xf numFmtId="167" fontId="31" fillId="3" borderId="3" xfId="20" applyNumberFormat="1" applyFont="1" applyFill="1" applyBorder="1" applyAlignment="1">
      <alignment vertical="center"/>
    </xf>
    <xf numFmtId="167" fontId="31" fillId="3" borderId="10" xfId="20" applyNumberFormat="1" applyFont="1" applyFill="1" applyBorder="1" applyAlignment="1">
      <alignment vertical="center"/>
    </xf>
    <xf numFmtId="167" fontId="3" fillId="4" borderId="2" xfId="20" applyNumberFormat="1" applyFont="1" applyFill="1" applyBorder="1" applyAlignment="1">
      <alignment vertical="center"/>
    </xf>
    <xf numFmtId="167" fontId="3" fillId="4" borderId="4" xfId="20" applyNumberFormat="1" applyFont="1" applyFill="1" applyBorder="1" applyAlignment="1">
      <alignment vertical="center"/>
    </xf>
    <xf numFmtId="167" fontId="3" fillId="4" borderId="15" xfId="20" applyNumberFormat="1" applyFont="1" applyFill="1" applyBorder="1" applyAlignment="1">
      <alignment vertical="center"/>
    </xf>
    <xf numFmtId="167" fontId="3" fillId="3" borderId="6" xfId="20" applyNumberFormat="1" applyFont="1" applyFill="1" applyBorder="1" applyAlignment="1">
      <alignment vertical="center"/>
    </xf>
    <xf numFmtId="167" fontId="29" fillId="0" borderId="12" xfId="20" applyNumberFormat="1" applyFont="1" applyBorder="1" applyAlignment="1">
      <alignment vertical="center"/>
    </xf>
    <xf numFmtId="167" fontId="3" fillId="3" borderId="1" xfId="20" applyNumberFormat="1" applyFont="1" applyFill="1" applyBorder="1" applyAlignment="1">
      <alignment vertical="center"/>
    </xf>
    <xf numFmtId="167" fontId="3" fillId="3" borderId="2" xfId="20" applyNumberFormat="1" applyFont="1" applyFill="1" applyBorder="1" applyAlignment="1">
      <alignment vertical="center"/>
    </xf>
    <xf numFmtId="167" fontId="3" fillId="3" borderId="4" xfId="20" applyNumberFormat="1" applyFont="1" applyFill="1" applyBorder="1" applyAlignment="1">
      <alignment vertical="center"/>
    </xf>
    <xf numFmtId="167" fontId="3" fillId="3" borderId="3" xfId="20" applyNumberFormat="1" applyFont="1" applyFill="1" applyBorder="1" applyAlignment="1">
      <alignment vertical="center"/>
    </xf>
    <xf numFmtId="167" fontId="29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9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9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8" fillId="0" borderId="44" xfId="7" applyFont="1" applyBorder="1" applyAlignment="1">
      <alignment vertical="center"/>
    </xf>
    <xf numFmtId="0" fontId="28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8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9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9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9" fillId="0" borderId="10" xfId="7" applyNumberFormat="1" applyFont="1" applyBorder="1" applyAlignment="1">
      <alignment vertical="center"/>
    </xf>
    <xf numFmtId="3" fontId="29" fillId="0" borderId="6" xfId="7" applyNumberFormat="1" applyFont="1" applyBorder="1" applyAlignment="1">
      <alignment vertical="center"/>
    </xf>
    <xf numFmtId="3" fontId="31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8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8" fillId="0" borderId="22" xfId="7" applyFont="1" applyBorder="1" applyAlignment="1">
      <alignment horizontal="right" vertical="center"/>
    </xf>
    <xf numFmtId="0" fontId="29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9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7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9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8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9" fillId="0" borderId="83" xfId="7" applyFont="1" applyBorder="1" applyAlignment="1">
      <alignment horizontal="left" vertical="center" indent="1"/>
    </xf>
    <xf numFmtId="0" fontId="37" fillId="0" borderId="0" xfId="7" applyFont="1" applyAlignment="1">
      <alignment vertical="center"/>
    </xf>
    <xf numFmtId="0" fontId="28" fillId="10" borderId="19" xfId="7" applyFont="1" applyFill="1" applyBorder="1" applyAlignment="1">
      <alignment horizontal="center" vertical="center"/>
    </xf>
    <xf numFmtId="0" fontId="28" fillId="10" borderId="12" xfId="7" applyFont="1" applyFill="1" applyBorder="1" applyAlignment="1">
      <alignment horizontal="center" vertical="center"/>
    </xf>
    <xf numFmtId="0" fontId="28" fillId="10" borderId="14" xfId="7" applyFont="1" applyFill="1" applyBorder="1" applyAlignment="1">
      <alignment horizontal="center" vertical="center"/>
    </xf>
    <xf numFmtId="0" fontId="28" fillId="0" borderId="14" xfId="7" applyFont="1" applyBorder="1" applyAlignment="1">
      <alignment vertical="center"/>
    </xf>
    <xf numFmtId="0" fontId="28" fillId="0" borderId="20" xfId="7" applyFont="1" applyBorder="1" applyAlignment="1">
      <alignment horizontal="left" vertical="center" indent="1"/>
    </xf>
    <xf numFmtId="0" fontId="21" fillId="0" borderId="6" xfId="0" applyFont="1" applyBorder="1" applyAlignment="1">
      <alignment horizontal="left" vertical="top" wrapText="1"/>
    </xf>
    <xf numFmtId="0" fontId="28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9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2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3" fillId="14" borderId="4" xfId="7" applyNumberFormat="1" applyFont="1" applyFill="1" applyBorder="1" applyAlignment="1">
      <alignment horizontal="left" vertical="center" indent="1"/>
    </xf>
    <xf numFmtId="0" fontId="23" fillId="14" borderId="5" xfId="7" applyFont="1" applyFill="1" applyBorder="1" applyAlignment="1">
      <alignment vertical="center"/>
    </xf>
    <xf numFmtId="0" fontId="38" fillId="0" borderId="0" xfId="7" applyFont="1" applyAlignment="1">
      <alignment horizontal="center" vertical="center"/>
    </xf>
    <xf numFmtId="1" fontId="23" fillId="14" borderId="26" xfId="7" applyNumberFormat="1" applyFont="1" applyFill="1" applyBorder="1" applyAlignment="1">
      <alignment horizontal="left" vertical="center" indent="1"/>
    </xf>
    <xf numFmtId="0" fontId="28" fillId="14" borderId="16" xfId="7" applyFont="1" applyFill="1" applyBorder="1" applyAlignment="1">
      <alignment vertical="center"/>
    </xf>
    <xf numFmtId="1" fontId="39" fillId="14" borderId="24" xfId="7" applyNumberFormat="1" applyFont="1" applyFill="1" applyBorder="1" applyAlignment="1">
      <alignment horizontal="left" vertical="center" indent="1"/>
    </xf>
    <xf numFmtId="0" fontId="39" fillId="14" borderId="24" xfId="7" applyFont="1" applyFill="1" applyBorder="1" applyAlignment="1">
      <alignment horizontal="left" vertical="center" indent="1"/>
    </xf>
    <xf numFmtId="0" fontId="28" fillId="14" borderId="24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8" fillId="14" borderId="18" xfId="7" applyNumberFormat="1" applyFont="1" applyFill="1" applyBorder="1" applyAlignment="1">
      <alignment horizontal="center" vertical="center"/>
    </xf>
    <xf numFmtId="17" fontId="28" fillId="14" borderId="19" xfId="7" applyNumberFormat="1" applyFont="1" applyFill="1" applyBorder="1" applyAlignment="1">
      <alignment horizontal="center" vertical="center"/>
    </xf>
    <xf numFmtId="0" fontId="28" fillId="14" borderId="20" xfId="7" applyFont="1" applyFill="1" applyBorder="1" applyAlignment="1">
      <alignment horizontal="center" vertical="center"/>
    </xf>
    <xf numFmtId="0" fontId="5" fillId="14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/>
    </xf>
    <xf numFmtId="0" fontId="5" fillId="14" borderId="57" xfId="0" applyFont="1" applyFill="1" applyBorder="1" applyAlignment="1">
      <alignment horizontal="center" vertical="center"/>
    </xf>
    <xf numFmtId="0" fontId="5" fillId="14" borderId="58" xfId="0" applyFont="1" applyFill="1" applyBorder="1" applyAlignment="1">
      <alignment horizontal="center" vertical="center"/>
    </xf>
    <xf numFmtId="0" fontId="5" fillId="14" borderId="6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center" vertical="center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14" borderId="4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3" fontId="29" fillId="14" borderId="12" xfId="7" applyNumberFormat="1" applyFont="1" applyFill="1" applyBorder="1" applyAlignment="1">
      <alignment horizontal="center" vertical="center"/>
    </xf>
    <xf numFmtId="0" fontId="29" fillId="14" borderId="51" xfId="7" applyFont="1" applyFill="1" applyBorder="1" applyAlignment="1">
      <alignment horizontal="center" vertical="center"/>
    </xf>
    <xf numFmtId="0" fontId="28" fillId="14" borderId="12" xfId="7" applyFont="1" applyFill="1" applyBorder="1" applyAlignment="1">
      <alignment horizontal="center" vertical="center"/>
    </xf>
    <xf numFmtId="0" fontId="5" fillId="14" borderId="9" xfId="0" applyFont="1" applyFill="1" applyBorder="1" applyAlignment="1">
      <alignment vertical="center"/>
    </xf>
    <xf numFmtId="0" fontId="4" fillId="14" borderId="13" xfId="0" applyFont="1" applyFill="1" applyBorder="1" applyAlignment="1">
      <alignment vertical="center"/>
    </xf>
    <xf numFmtId="1" fontId="40" fillId="14" borderId="7" xfId="7" applyNumberFormat="1" applyFont="1" applyFill="1" applyBorder="1" applyAlignment="1">
      <alignment vertical="center"/>
    </xf>
    <xf numFmtId="0" fontId="4" fillId="14" borderId="11" xfId="0" applyFont="1" applyFill="1" applyBorder="1" applyAlignment="1">
      <alignment vertical="center"/>
    </xf>
    <xf numFmtId="0" fontId="41" fillId="0" borderId="0" xfId="0" applyFont="1"/>
    <xf numFmtId="0" fontId="5" fillId="14" borderId="12" xfId="0" applyFont="1" applyFill="1" applyBorder="1" applyAlignment="1">
      <alignment vertical="center"/>
    </xf>
    <xf numFmtId="1" fontId="3" fillId="0" borderId="6" xfId="7" applyNumberFormat="1" applyFont="1" applyBorder="1" applyAlignment="1">
      <alignment horizontal="center" vertical="center"/>
    </xf>
    <xf numFmtId="0" fontId="5" fillId="14" borderId="73" xfId="0" applyFont="1" applyFill="1" applyBorder="1" applyAlignment="1">
      <alignment vertical="center"/>
    </xf>
    <xf numFmtId="0" fontId="28" fillId="14" borderId="12" xfId="7" applyFont="1" applyFill="1" applyBorder="1" applyAlignment="1">
      <alignment horizontal="left" vertical="center" indent="1"/>
    </xf>
    <xf numFmtId="0" fontId="3" fillId="14" borderId="12" xfId="7" applyFont="1" applyFill="1" applyBorder="1" applyAlignment="1">
      <alignment horizontal="left" vertical="center"/>
    </xf>
    <xf numFmtId="0" fontId="28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vertical="center"/>
    </xf>
    <xf numFmtId="0" fontId="5" fillId="10" borderId="79" xfId="0" applyFont="1" applyFill="1" applyBorder="1" applyAlignment="1">
      <alignment vertical="center"/>
    </xf>
    <xf numFmtId="49" fontId="45" fillId="0" borderId="0" xfId="0" applyNumberFormat="1" applyFont="1" applyAlignment="1">
      <alignment horizontal="right"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6" fillId="0" borderId="0" xfId="0" applyFont="1" applyAlignment="1">
      <alignment vertical="center"/>
    </xf>
    <xf numFmtId="3" fontId="3" fillId="0" borderId="12" xfId="7" applyNumberFormat="1" applyFont="1" applyBorder="1" applyAlignment="1">
      <alignment horizontal="center"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8" fillId="0" borderId="46" xfId="7" applyFont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5" fillId="0" borderId="83" xfId="0" applyFont="1" applyFill="1" applyBorder="1" applyAlignment="1">
      <alignment vertical="center"/>
    </xf>
    <xf numFmtId="0" fontId="5" fillId="0" borderId="39" xfId="0" applyFont="1" applyFill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2" borderId="0" xfId="0" applyFont="1" applyFill="1" applyAlignment="1">
      <alignment vertical="center"/>
    </xf>
    <xf numFmtId="0" fontId="27" fillId="0" borderId="0" xfId="6" applyFont="1" applyAlignment="1">
      <alignment vertical="center"/>
    </xf>
    <xf numFmtId="0" fontId="9" fillId="2" borderId="0" xfId="0" applyFont="1" applyFill="1" applyAlignment="1">
      <alignment vertical="center"/>
    </xf>
    <xf numFmtId="0" fontId="28" fillId="0" borderId="0" xfId="7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4" borderId="79" xfId="0" applyFont="1" applyFill="1" applyBorder="1" applyAlignment="1">
      <alignment horizontal="left" vertical="center" indent="1"/>
    </xf>
    <xf numFmtId="0" fontId="4" fillId="11" borderId="0" xfId="0" applyFont="1" applyFill="1" applyAlignment="1">
      <alignment vertical="center"/>
    </xf>
    <xf numFmtId="0" fontId="5" fillId="11" borderId="91" xfId="0" applyFont="1" applyFill="1" applyBorder="1" applyAlignment="1">
      <alignment horizontal="center" vertical="center"/>
    </xf>
    <xf numFmtId="0" fontId="5" fillId="11" borderId="90" xfId="0" applyFont="1" applyFill="1" applyBorder="1" applyAlignment="1">
      <alignment horizontal="left" vertical="center" indent="1"/>
    </xf>
    <xf numFmtId="0" fontId="48" fillId="19" borderId="90" xfId="0" applyFont="1" applyFill="1" applyBorder="1" applyAlignment="1">
      <alignment horizontal="left" vertical="center" indent="1"/>
    </xf>
    <xf numFmtId="0" fontId="5" fillId="19" borderId="91" xfId="0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9" fillId="6" borderId="12" xfId="5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8" fillId="14" borderId="9" xfId="7" applyFont="1" applyFill="1" applyBorder="1" applyAlignment="1">
      <alignment horizontal="left" vertical="center" indent="1"/>
    </xf>
    <xf numFmtId="0" fontId="28" fillId="14" borderId="13" xfId="7" applyFont="1" applyFill="1" applyBorder="1" applyAlignment="1">
      <alignment horizontal="left" vertical="center" indent="1"/>
    </xf>
    <xf numFmtId="0" fontId="28" fillId="14" borderId="15" xfId="7" applyFont="1" applyFill="1" applyBorder="1" applyAlignment="1">
      <alignment horizontal="left" vertical="center" indent="1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3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14" borderId="12" xfId="0" applyFont="1" applyFill="1" applyBorder="1" applyAlignment="1">
      <alignment horizontal="left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2" xfId="0" applyFont="1" applyBorder="1" applyAlignment="1">
      <alignment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5" fillId="7" borderId="62" xfId="0" applyFont="1" applyFill="1" applyBorder="1" applyAlignment="1">
      <alignment vertical="center"/>
    </xf>
    <xf numFmtId="0" fontId="5" fillId="0" borderId="63" xfId="0" applyFont="1" applyBorder="1" applyAlignment="1">
      <alignment horizontal="center" vertical="center" wrapText="1"/>
    </xf>
    <xf numFmtId="0" fontId="5" fillId="14" borderId="9" xfId="0" applyFont="1" applyFill="1" applyBorder="1" applyAlignment="1">
      <alignment horizontal="left" vertical="center"/>
    </xf>
    <xf numFmtId="0" fontId="5" fillId="14" borderId="15" xfId="0" applyFont="1" applyFill="1" applyBorder="1" applyAlignment="1">
      <alignment horizontal="left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70" xfId="0" applyFont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14" borderId="4" xfId="0" applyFont="1" applyFill="1" applyBorder="1" applyAlignment="1">
      <alignment horizontal="left" vertical="center"/>
    </xf>
    <xf numFmtId="0" fontId="5" fillId="14" borderId="5" xfId="0" applyFont="1" applyFill="1" applyBorder="1" applyAlignment="1">
      <alignment horizontal="left"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7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29" fillId="0" borderId="19" xfId="7" applyFont="1" applyBorder="1" applyAlignment="1">
      <alignment horizontal="center" vertical="center"/>
    </xf>
    <xf numFmtId="0" fontId="29" fillId="0" borderId="12" xfId="7" applyFont="1" applyBorder="1" applyAlignment="1">
      <alignment horizontal="center" vertical="center"/>
    </xf>
    <xf numFmtId="0" fontId="29" fillId="0" borderId="14" xfId="7" applyFont="1" applyBorder="1" applyAlignment="1">
      <alignment horizontal="center" vertical="center"/>
    </xf>
    <xf numFmtId="0" fontId="33" fillId="0" borderId="26" xfId="7" applyFont="1" applyBorder="1" applyAlignment="1">
      <alignment horizontal="center" vertical="center"/>
    </xf>
    <xf numFmtId="0" fontId="33" fillId="0" borderId="17" xfId="7" applyFont="1" applyBorder="1" applyAlignment="1">
      <alignment horizontal="center" vertical="center"/>
    </xf>
    <xf numFmtId="0" fontId="33" fillId="0" borderId="16" xfId="7" applyFont="1" applyBorder="1" applyAlignment="1">
      <alignment horizontal="center" vertical="center"/>
    </xf>
    <xf numFmtId="0" fontId="28" fillId="0" borderId="47" xfId="7" applyFont="1" applyBorder="1" applyAlignment="1">
      <alignment horizontal="center" vertical="center"/>
    </xf>
    <xf numFmtId="0" fontId="28" fillId="0" borderId="54" xfId="7" applyFont="1" applyBorder="1" applyAlignment="1">
      <alignment horizontal="center" vertical="center"/>
    </xf>
    <xf numFmtId="0" fontId="28" fillId="0" borderId="48" xfId="7" applyFont="1" applyBorder="1" applyAlignment="1">
      <alignment horizontal="center" vertical="center"/>
    </xf>
    <xf numFmtId="0" fontId="28" fillId="0" borderId="42" xfId="7" applyFont="1" applyBorder="1" applyAlignment="1">
      <alignment horizontal="center" vertical="center"/>
    </xf>
    <xf numFmtId="0" fontId="28" fillId="0" borderId="11" xfId="7" applyFont="1" applyBorder="1" applyAlignment="1">
      <alignment horizontal="center" vertical="center"/>
    </xf>
    <xf numFmtId="0" fontId="28" fillId="0" borderId="8" xfId="7" applyFont="1" applyBorder="1" applyAlignment="1">
      <alignment horizontal="center" vertical="center"/>
    </xf>
    <xf numFmtId="0" fontId="29" fillId="0" borderId="52" xfId="7" applyFont="1" applyBorder="1" applyAlignment="1">
      <alignment horizontal="center" vertical="center"/>
    </xf>
    <xf numFmtId="0" fontId="29" fillId="0" borderId="50" xfId="7" applyFont="1" applyBorder="1" applyAlignment="1">
      <alignment horizontal="center" vertical="center"/>
    </xf>
    <xf numFmtId="0" fontId="29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9" fillId="0" borderId="44" xfId="7" applyFont="1" applyBorder="1" applyAlignment="1">
      <alignment horizontal="center" vertical="center"/>
    </xf>
    <xf numFmtId="0" fontId="29" fillId="0" borderId="45" xfId="7" applyFont="1" applyBorder="1" applyAlignment="1">
      <alignment horizontal="center" vertical="center"/>
    </xf>
    <xf numFmtId="0" fontId="29" fillId="0" borderId="46" xfId="7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 textRotation="90" wrapText="1"/>
    </xf>
    <xf numFmtId="0" fontId="28" fillId="0" borderId="12" xfId="7" applyFont="1" applyBorder="1" applyAlignment="1">
      <alignment horizontal="center" vertical="center" textRotation="90" wrapText="1"/>
    </xf>
    <xf numFmtId="0" fontId="28" fillId="0" borderId="40" xfId="7" applyFont="1" applyBorder="1" applyAlignment="1">
      <alignment horizontal="center" vertical="center"/>
    </xf>
    <xf numFmtId="0" fontId="28" fillId="0" borderId="41" xfId="7" applyFont="1" applyBorder="1" applyAlignment="1">
      <alignment horizontal="center" vertical="center"/>
    </xf>
    <xf numFmtId="0" fontId="28" fillId="0" borderId="23" xfId="7" applyFont="1" applyBorder="1" applyAlignment="1">
      <alignment horizontal="center" vertical="center" textRotation="90" wrapText="1"/>
    </xf>
    <xf numFmtId="0" fontId="28" fillId="0" borderId="5" xfId="7" applyFont="1" applyBorder="1" applyAlignment="1">
      <alignment horizontal="center" vertical="center" textRotation="90" wrapText="1"/>
    </xf>
    <xf numFmtId="0" fontId="28" fillId="0" borderId="43" xfId="7" applyFont="1" applyBorder="1" applyAlignment="1">
      <alignment horizontal="center" vertical="center" textRotation="90" wrapText="1"/>
    </xf>
    <xf numFmtId="0" fontId="28" fillId="0" borderId="10" xfId="7" applyFont="1" applyBorder="1" applyAlignment="1">
      <alignment horizontal="center" vertical="center" textRotation="90" wrapText="1"/>
    </xf>
    <xf numFmtId="0" fontId="28" fillId="0" borderId="42" xfId="7" applyFont="1" applyBorder="1" applyAlignment="1">
      <alignment horizontal="center" vertical="center" textRotation="90" wrapText="1"/>
    </xf>
    <xf numFmtId="0" fontId="28" fillId="0" borderId="8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28" fillId="0" borderId="19" xfId="7" applyFont="1" applyBorder="1" applyAlignment="1">
      <alignment horizontal="center" vertical="center" wrapText="1"/>
    </xf>
    <xf numFmtId="0" fontId="28" fillId="0" borderId="20" xfId="7" applyFont="1" applyBorder="1" applyAlignment="1">
      <alignment horizontal="center" vertical="center" wrapText="1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8" fillId="0" borderId="49" xfId="7" applyFont="1" applyBorder="1" applyAlignment="1">
      <alignment horizontal="center" vertical="center" wrapText="1"/>
    </xf>
    <xf numFmtId="0" fontId="28" fillId="0" borderId="18" xfId="7" applyFont="1" applyBorder="1" applyAlignment="1">
      <alignment horizontal="center" vertical="center" wrapText="1"/>
    </xf>
    <xf numFmtId="0" fontId="29" fillId="0" borderId="51" xfId="7" applyFont="1" applyBorder="1" applyAlignment="1">
      <alignment horizontal="center" vertical="center"/>
    </xf>
    <xf numFmtId="0" fontId="28" fillId="0" borderId="52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28" fillId="0" borderId="43" xfId="7" applyFont="1" applyBorder="1" applyAlignment="1">
      <alignment horizontal="center" vertical="center"/>
    </xf>
    <xf numFmtId="0" fontId="28" fillId="0" borderId="0" xfId="7" applyFont="1" applyAlignment="1">
      <alignment horizontal="center" vertical="center"/>
    </xf>
    <xf numFmtId="0" fontId="28" fillId="0" borderId="10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4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 wrapText="1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8" fillId="0" borderId="50" xfId="7" applyFont="1" applyBorder="1" applyAlignment="1">
      <alignment horizontal="center" vertical="center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9" fillId="0" borderId="55" xfId="7" applyFont="1" applyBorder="1" applyAlignment="1">
      <alignment horizontal="center" vertical="center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7" fillId="0" borderId="4" xfId="7" applyFont="1" applyBorder="1" applyAlignment="1">
      <alignment horizontal="center" vertical="center" wrapText="1"/>
    </xf>
    <xf numFmtId="0" fontId="17" fillId="0" borderId="5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8" fillId="0" borderId="4" xfId="7" applyFont="1" applyBorder="1" applyAlignment="1">
      <alignment horizontal="center" vertical="center" wrapText="1"/>
    </xf>
    <xf numFmtId="0" fontId="18" fillId="0" borderId="21" xfId="7" applyFont="1" applyBorder="1" applyAlignment="1">
      <alignment horizontal="center" vertical="center" wrapText="1"/>
    </xf>
    <xf numFmtId="0" fontId="18" fillId="0" borderId="33" xfId="7" applyFont="1" applyBorder="1" applyAlignment="1">
      <alignment horizontal="center" vertical="center" wrapText="1"/>
    </xf>
    <xf numFmtId="0" fontId="18" fillId="0" borderId="3" xfId="7" applyFont="1" applyBorder="1" applyAlignment="1">
      <alignment horizontal="center" vertical="center" wrapText="1"/>
    </xf>
    <xf numFmtId="0" fontId="18" fillId="0" borderId="0" xfId="7" applyFont="1" applyAlignment="1">
      <alignment horizontal="center" vertical="center" wrapText="1"/>
    </xf>
    <xf numFmtId="0" fontId="18" fillId="0" borderId="27" xfId="7" applyFont="1" applyBorder="1" applyAlignment="1">
      <alignment horizontal="center" vertical="center" wrapText="1"/>
    </xf>
    <xf numFmtId="0" fontId="18" fillId="0" borderId="56" xfId="7" applyFont="1" applyBorder="1" applyAlignment="1">
      <alignment horizontal="center" vertical="center" wrapText="1"/>
    </xf>
    <xf numFmtId="0" fontId="18" fillId="0" borderId="22" xfId="7" applyFont="1" applyBorder="1" applyAlignment="1">
      <alignment horizontal="center" vertical="center" wrapText="1"/>
    </xf>
    <xf numFmtId="0" fontId="18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30" fillId="0" borderId="22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9" xfId="7" applyFont="1" applyBorder="1" applyAlignment="1">
      <alignment horizontal="center" vertical="center"/>
    </xf>
    <xf numFmtId="0" fontId="3" fillId="0" borderId="13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3" fillId="0" borderId="42" xfId="7" applyFont="1" applyBorder="1" applyAlignment="1">
      <alignment horizontal="left" vertical="center" indent="1"/>
    </xf>
    <xf numFmtId="0" fontId="28" fillId="0" borderId="51" xfId="7" applyFont="1" applyBorder="1" applyAlignment="1">
      <alignment horizontal="center" vertical="center"/>
    </xf>
    <xf numFmtId="0" fontId="28" fillId="0" borderId="40" xfId="7" applyFont="1" applyBorder="1" applyAlignment="1">
      <alignment horizontal="center" vertical="center" wrapText="1"/>
    </xf>
    <xf numFmtId="0" fontId="28" fillId="0" borderId="41" xfId="7" applyFont="1" applyBorder="1" applyAlignment="1">
      <alignment horizontal="center" vertical="center" wrapTex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24" fillId="0" borderId="0" xfId="7" applyFont="1" applyAlignment="1">
      <alignment horizontal="left" vertical="center" indent="22"/>
    </xf>
    <xf numFmtId="0" fontId="27" fillId="0" borderId="0" xfId="18" applyFont="1" applyAlignment="1">
      <alignment horizontal="left" vertical="center"/>
    </xf>
    <xf numFmtId="0" fontId="28" fillId="0" borderId="0" xfId="7" applyFont="1" applyAlignment="1">
      <alignment horizontal="left" vertical="center"/>
    </xf>
    <xf numFmtId="1" fontId="32" fillId="14" borderId="20" xfId="7" applyNumberFormat="1" applyFont="1" applyFill="1" applyBorder="1" applyAlignment="1">
      <alignment horizontal="left" vertical="center"/>
    </xf>
    <xf numFmtId="1" fontId="32" fillId="14" borderId="31" xfId="7" applyNumberFormat="1" applyFont="1" applyFill="1" applyBorder="1" applyAlignment="1">
      <alignment horizontal="left" vertical="center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  <xf numFmtId="0" fontId="18" fillId="0" borderId="5" xfId="7" applyFont="1" applyBorder="1" applyAlignment="1">
      <alignment horizontal="center" vertical="center" wrapText="1"/>
    </xf>
    <xf numFmtId="0" fontId="18" fillId="0" borderId="10" xfId="7" applyFont="1" applyBorder="1" applyAlignment="1">
      <alignment horizontal="center" vertical="center" wrapText="1"/>
    </xf>
    <xf numFmtId="0" fontId="18" fillId="0" borderId="7" xfId="7" applyFont="1" applyBorder="1" applyAlignment="1">
      <alignment horizontal="center" vertical="center" wrapText="1"/>
    </xf>
    <xf numFmtId="0" fontId="18" fillId="0" borderId="11" xfId="7" applyFont="1" applyBorder="1" applyAlignment="1">
      <alignment horizontal="center" vertical="center" wrapText="1"/>
    </xf>
    <xf numFmtId="0" fontId="18" fillId="0" borderId="8" xfId="7" applyFont="1" applyBorder="1" applyAlignment="1">
      <alignment horizontal="center" vertical="center" wrapTex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3" fillId="0" borderId="8" xfId="7" applyFont="1" applyBorder="1" applyAlignment="1">
      <alignment horizontal="center" vertical="center" textRotation="90" wrapText="1"/>
    </xf>
    <xf numFmtId="0" fontId="29" fillId="13" borderId="52" xfId="7" applyFont="1" applyFill="1" applyBorder="1" applyAlignment="1">
      <alignment horizontal="center" vertical="center"/>
    </xf>
    <xf numFmtId="0" fontId="29" fillId="13" borderId="50" xfId="7" applyFont="1" applyFill="1" applyBorder="1" applyAlignment="1">
      <alignment horizontal="center" vertical="center"/>
    </xf>
    <xf numFmtId="0" fontId="29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wrapText="1" indent="1"/>
    </xf>
    <xf numFmtId="1" fontId="32" fillId="0" borderId="21" xfId="7" applyNumberFormat="1" applyFont="1" applyBorder="1" applyAlignment="1">
      <alignment horizontal="left" vertical="center" wrapText="1" indent="1"/>
    </xf>
    <xf numFmtId="1" fontId="32" fillId="0" borderId="5" xfId="7" applyNumberFormat="1" applyFont="1" applyBorder="1" applyAlignment="1">
      <alignment horizontal="left" vertical="center" wrapText="1" indent="1"/>
    </xf>
    <xf numFmtId="1" fontId="32" fillId="0" borderId="43" xfId="7" applyNumberFormat="1" applyFont="1" applyBorder="1" applyAlignment="1">
      <alignment horizontal="left" vertical="center" wrapText="1" indent="1"/>
    </xf>
    <xf numFmtId="1" fontId="32" fillId="0" borderId="0" xfId="7" applyNumberFormat="1" applyFont="1" applyAlignment="1">
      <alignment horizontal="left" vertical="center" wrapText="1" indent="1"/>
    </xf>
    <xf numFmtId="1" fontId="32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0" fontId="28" fillId="0" borderId="24" xfId="7" applyFont="1" applyBorder="1" applyAlignment="1">
      <alignment horizontal="left" vertical="center" indent="1"/>
    </xf>
    <xf numFmtId="0" fontId="28" fillId="0" borderId="13" xfId="7" applyFont="1" applyBorder="1" applyAlignment="1">
      <alignment horizontal="left" vertical="center" indent="1"/>
    </xf>
    <xf numFmtId="0" fontId="28" fillId="0" borderId="15" xfId="7" applyFont="1" applyBorder="1" applyAlignment="1">
      <alignment horizontal="left" vertical="center" indent="1"/>
    </xf>
    <xf numFmtId="3" fontId="28" fillId="0" borderId="12" xfId="7" applyNumberFormat="1" applyFont="1" applyBorder="1" applyAlignment="1">
      <alignment horizontal="right" vertical="center"/>
    </xf>
    <xf numFmtId="3" fontId="28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8" fillId="0" borderId="0" xfId="7" applyFont="1" applyAlignment="1">
      <alignment vertical="top" wrapText="1"/>
    </xf>
    <xf numFmtId="0" fontId="28" fillId="0" borderId="22" xfId="7" applyFont="1" applyBorder="1" applyAlignment="1">
      <alignment vertical="top" wrapText="1"/>
    </xf>
    <xf numFmtId="0" fontId="33" fillId="0" borderId="19" xfId="7" applyFont="1" applyBorder="1" applyAlignment="1">
      <alignment horizontal="left" vertical="top" wrapText="1" indent="1"/>
    </xf>
    <xf numFmtId="0" fontId="33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0" fontId="32" fillId="0" borderId="24" xfId="7" applyFont="1" applyBorder="1" applyAlignment="1">
      <alignment horizontal="left" vertical="center" indent="1"/>
    </xf>
    <xf numFmtId="0" fontId="32" fillId="0" borderId="13" xfId="7" applyFont="1" applyBorder="1" applyAlignment="1">
      <alignment horizontal="left" vertical="center" indent="1"/>
    </xf>
    <xf numFmtId="0" fontId="32" fillId="0" borderId="15" xfId="7" applyFont="1" applyBorder="1" applyAlignment="1">
      <alignment horizontal="left" vertical="center" indent="1"/>
    </xf>
    <xf numFmtId="0" fontId="28" fillId="0" borderId="44" xfId="7" applyFont="1" applyBorder="1" applyAlignment="1">
      <alignment horizontal="center" vertical="center"/>
    </xf>
    <xf numFmtId="0" fontId="28" fillId="0" borderId="45" xfId="7" applyFont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14" borderId="44" xfId="7" applyFont="1" applyFill="1" applyBorder="1" applyAlignment="1">
      <alignment horizontal="left" vertical="center"/>
    </xf>
    <xf numFmtId="0" fontId="28" fillId="14" borderId="45" xfId="7" applyFont="1" applyFill="1" applyBorder="1" applyAlignment="1">
      <alignment horizontal="left" vertical="center"/>
    </xf>
    <xf numFmtId="1" fontId="32" fillId="14" borderId="19" xfId="7" applyNumberFormat="1" applyFont="1" applyFill="1" applyBorder="1" applyAlignment="1">
      <alignment horizontal="left" vertical="center"/>
    </xf>
    <xf numFmtId="1" fontId="32" fillId="14" borderId="12" xfId="7" applyNumberFormat="1" applyFont="1" applyFill="1" applyBorder="1" applyAlignment="1">
      <alignment horizontal="left" vertical="center"/>
    </xf>
    <xf numFmtId="0" fontId="32" fillId="14" borderId="19" xfId="7" applyFont="1" applyFill="1" applyBorder="1" applyAlignment="1">
      <alignment horizontal="left" vertical="center"/>
    </xf>
    <xf numFmtId="0" fontId="32" fillId="14" borderId="12" xfId="7" applyFont="1" applyFill="1" applyBorder="1" applyAlignment="1">
      <alignment horizontal="left" vertical="center"/>
    </xf>
    <xf numFmtId="0" fontId="33" fillId="14" borderId="55" xfId="7" applyFont="1" applyFill="1" applyBorder="1" applyAlignment="1">
      <alignment horizontal="center" vertical="center" wrapText="1"/>
    </xf>
    <xf numFmtId="0" fontId="33" fillId="14" borderId="50" xfId="7" applyFont="1" applyFill="1" applyBorder="1" applyAlignment="1">
      <alignment horizontal="center" vertical="center" wrapText="1"/>
    </xf>
    <xf numFmtId="0" fontId="33" fillId="14" borderId="51" xfId="7" applyFont="1" applyFill="1" applyBorder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288925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479425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137795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137795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479425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137795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137795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479425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213995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88"/>
  <sheetViews>
    <sheetView showGridLines="0" tabSelected="1" zoomScaleNormal="100" workbookViewId="0">
      <selection activeCell="B1" sqref="B1"/>
    </sheetView>
  </sheetViews>
  <sheetFormatPr baseColWidth="10" defaultColWidth="11.453125" defaultRowHeight="16" customHeight="1" x14ac:dyDescent="0.25"/>
  <cols>
    <col min="1" max="1" width="16.81640625" style="19" customWidth="1"/>
    <col min="2" max="2" width="23.1796875" style="2" customWidth="1"/>
    <col min="3" max="3" width="9.81640625" style="2" customWidth="1"/>
    <col min="4" max="4" width="9.453125" style="2" customWidth="1"/>
    <col min="5" max="14" width="10.453125" style="2" customWidth="1"/>
    <col min="15" max="16384" width="11.453125" style="2"/>
  </cols>
  <sheetData>
    <row r="1" spans="1:14" ht="16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" customHeight="1" x14ac:dyDescent="0.25">
      <c r="B2" s="498" t="s">
        <v>354</v>
      </c>
      <c r="C2" s="500"/>
      <c r="D2" s="500"/>
      <c r="E2" s="500"/>
      <c r="F2" s="5"/>
      <c r="G2" s="5"/>
      <c r="H2" s="5"/>
      <c r="I2" s="5"/>
      <c r="J2" s="5"/>
      <c r="K2" s="5"/>
      <c r="L2" s="6"/>
      <c r="M2" s="3"/>
      <c r="N2" s="1"/>
    </row>
    <row r="3" spans="1:14" ht="16" customHeight="1" x14ac:dyDescent="0.25">
      <c r="B3" s="5" t="s">
        <v>20</v>
      </c>
      <c r="C3" s="500"/>
      <c r="D3" s="500"/>
      <c r="E3" s="500"/>
      <c r="F3" s="5"/>
      <c r="G3" s="5"/>
      <c r="H3" s="5"/>
      <c r="I3" s="5"/>
      <c r="J3" s="5"/>
      <c r="K3" s="5"/>
      <c r="L3" s="5"/>
      <c r="M3" s="3"/>
      <c r="N3" s="1"/>
    </row>
    <row r="4" spans="1:14" ht="16" customHeight="1" x14ac:dyDescent="0.25">
      <c r="B4" s="5" t="s">
        <v>355</v>
      </c>
      <c r="C4" s="500"/>
      <c r="D4" s="500"/>
      <c r="E4" s="500"/>
      <c r="F4" s="5"/>
      <c r="G4" s="5"/>
      <c r="H4" s="5"/>
      <c r="I4" s="5"/>
      <c r="J4" s="5"/>
      <c r="K4" s="5"/>
      <c r="L4" s="5"/>
      <c r="M4" s="3"/>
      <c r="N4" s="1"/>
    </row>
    <row r="5" spans="1:14" ht="16" customHeight="1" x14ac:dyDescent="0.25">
      <c r="B5" s="571" t="s">
        <v>39</v>
      </c>
      <c r="C5" s="571"/>
      <c r="D5" s="571"/>
      <c r="E5" s="571"/>
      <c r="F5" s="571"/>
      <c r="G5" s="571"/>
      <c r="H5" s="571"/>
      <c r="I5" s="571"/>
      <c r="J5" s="571"/>
      <c r="K5" s="571"/>
      <c r="L5" s="12"/>
      <c r="M5" s="12"/>
    </row>
    <row r="6" spans="1:14" ht="16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" customHeight="1" x14ac:dyDescent="0.25">
      <c r="A7" s="570" t="s">
        <v>356</v>
      </c>
      <c r="B7" s="547" t="s">
        <v>38</v>
      </c>
      <c r="C7" s="548"/>
      <c r="D7" s="549"/>
      <c r="E7" s="572" t="s">
        <v>44</v>
      </c>
      <c r="F7" s="572"/>
      <c r="G7" s="572"/>
      <c r="H7" s="572"/>
      <c r="I7"/>
      <c r="J7" s="9"/>
    </row>
    <row r="8" spans="1:14" ht="16" customHeight="1" x14ac:dyDescent="0.25">
      <c r="A8" s="570"/>
      <c r="B8" s="550"/>
      <c r="C8" s="551"/>
      <c r="D8" s="552"/>
      <c r="E8" s="21" t="s">
        <v>0</v>
      </c>
      <c r="F8" s="22" t="s">
        <v>1</v>
      </c>
      <c r="G8" s="22" t="s">
        <v>2</v>
      </c>
      <c r="H8" s="23" t="s">
        <v>59</v>
      </c>
    </row>
    <row r="9" spans="1:14" ht="16" customHeight="1" x14ac:dyDescent="0.25">
      <c r="A9" s="19" t="s">
        <v>112</v>
      </c>
      <c r="B9" s="542" t="s">
        <v>6</v>
      </c>
      <c r="C9" s="553" t="s">
        <v>57</v>
      </c>
      <c r="D9" s="554"/>
      <c r="E9" s="33"/>
      <c r="F9" s="34"/>
      <c r="G9" s="34"/>
      <c r="H9" s="14"/>
    </row>
    <row r="10" spans="1:14" ht="16" customHeight="1" x14ac:dyDescent="0.25">
      <c r="A10" s="19" t="s">
        <v>113</v>
      </c>
      <c r="B10" s="543"/>
      <c r="C10" s="532" t="s">
        <v>58</v>
      </c>
      <c r="D10" s="555"/>
      <c r="E10" s="35"/>
      <c r="F10" s="36"/>
      <c r="G10" s="36"/>
      <c r="H10" s="15"/>
    </row>
    <row r="11" spans="1:14" ht="16" customHeight="1" x14ac:dyDescent="0.25">
      <c r="A11" s="19" t="s">
        <v>113</v>
      </c>
      <c r="B11" s="543"/>
      <c r="C11" s="532" t="s">
        <v>102</v>
      </c>
      <c r="D11" s="555"/>
      <c r="E11" s="35"/>
      <c r="F11" s="36"/>
      <c r="G11" s="36"/>
      <c r="H11" s="15"/>
    </row>
    <row r="12" spans="1:14" ht="16" customHeight="1" x14ac:dyDescent="0.25">
      <c r="A12" s="19" t="s">
        <v>110</v>
      </c>
      <c r="B12" s="543" t="s">
        <v>51</v>
      </c>
      <c r="C12" s="532" t="s">
        <v>103</v>
      </c>
      <c r="D12" s="555"/>
      <c r="E12" s="35"/>
      <c r="F12" s="37"/>
      <c r="G12" s="37"/>
      <c r="H12" s="16"/>
    </row>
    <row r="13" spans="1:14" ht="16" customHeight="1" x14ac:dyDescent="0.25">
      <c r="A13" s="19" t="s">
        <v>111</v>
      </c>
      <c r="B13" s="543"/>
      <c r="C13" s="532" t="s">
        <v>57</v>
      </c>
      <c r="D13" s="555"/>
      <c r="E13" s="35"/>
      <c r="F13" s="37"/>
      <c r="G13" s="37"/>
      <c r="H13" s="13"/>
    </row>
    <row r="14" spans="1:14" ht="16" customHeight="1" x14ac:dyDescent="0.25">
      <c r="A14" s="19">
        <v>90713</v>
      </c>
      <c r="B14" s="556" t="s">
        <v>7</v>
      </c>
      <c r="C14" s="44" t="s">
        <v>104</v>
      </c>
      <c r="D14" s="53" t="s">
        <v>106</v>
      </c>
      <c r="E14" s="35"/>
      <c r="F14" s="35"/>
      <c r="G14" s="38"/>
      <c r="H14" s="14"/>
    </row>
    <row r="15" spans="1:14" ht="16" customHeight="1" x14ac:dyDescent="0.25">
      <c r="A15" s="19" t="s">
        <v>109</v>
      </c>
      <c r="B15" s="556"/>
      <c r="C15" s="44" t="s">
        <v>105</v>
      </c>
      <c r="D15" s="53" t="s">
        <v>181</v>
      </c>
      <c r="E15" s="37"/>
      <c r="F15" s="37"/>
      <c r="G15" s="35"/>
      <c r="H15" s="15"/>
    </row>
    <row r="16" spans="1:14" ht="16" customHeight="1" x14ac:dyDescent="0.25">
      <c r="A16" s="19">
        <v>90723</v>
      </c>
      <c r="B16" s="40" t="s">
        <v>40</v>
      </c>
      <c r="C16" s="532" t="s">
        <v>107</v>
      </c>
      <c r="D16" s="555"/>
      <c r="E16" s="35"/>
      <c r="F16" s="35"/>
      <c r="G16" s="35"/>
      <c r="H16" s="10"/>
    </row>
    <row r="17" spans="1:14" ht="16" customHeight="1" x14ac:dyDescent="0.25">
      <c r="A17" s="19" t="s">
        <v>336</v>
      </c>
      <c r="B17" s="41" t="s">
        <v>17</v>
      </c>
      <c r="C17" s="557" t="s">
        <v>121</v>
      </c>
      <c r="D17" s="42" t="s">
        <v>116</v>
      </c>
      <c r="E17" s="38"/>
      <c r="F17" s="35"/>
      <c r="G17" s="35"/>
      <c r="H17" s="10"/>
    </row>
    <row r="18" spans="1:14" ht="16" customHeight="1" x14ac:dyDescent="0.25">
      <c r="A18" s="19">
        <v>90744</v>
      </c>
      <c r="B18" s="41" t="s">
        <v>51</v>
      </c>
      <c r="C18" s="557"/>
      <c r="D18" s="42" t="s">
        <v>84</v>
      </c>
      <c r="E18" s="38"/>
      <c r="F18" s="35"/>
      <c r="G18" s="35"/>
      <c r="H18" s="10"/>
    </row>
    <row r="19" spans="1:14" ht="16" customHeight="1" x14ac:dyDescent="0.25">
      <c r="A19" s="19" t="s">
        <v>337</v>
      </c>
      <c r="B19" s="41" t="s">
        <v>49</v>
      </c>
      <c r="C19" s="557"/>
      <c r="D19" s="42" t="s">
        <v>117</v>
      </c>
      <c r="E19" s="38"/>
      <c r="F19" s="35"/>
      <c r="G19" s="35"/>
      <c r="H19" s="10"/>
    </row>
    <row r="20" spans="1:14" ht="16" customHeight="1" x14ac:dyDescent="0.25">
      <c r="A20" s="19">
        <v>90681</v>
      </c>
      <c r="B20" s="40" t="s">
        <v>41</v>
      </c>
      <c r="C20" s="532" t="s">
        <v>106</v>
      </c>
      <c r="D20" s="555"/>
      <c r="E20" s="35"/>
      <c r="F20" s="35"/>
      <c r="G20" s="38"/>
      <c r="H20" s="10"/>
    </row>
    <row r="21" spans="1:14" ht="16" customHeight="1" x14ac:dyDescent="0.25">
      <c r="A21" s="19" t="s">
        <v>338</v>
      </c>
      <c r="B21" s="40" t="s">
        <v>42</v>
      </c>
      <c r="C21" s="532" t="s">
        <v>106</v>
      </c>
      <c r="D21" s="555"/>
      <c r="E21" s="35"/>
      <c r="F21" s="35"/>
      <c r="G21" s="38"/>
      <c r="H21" s="10"/>
    </row>
    <row r="22" spans="1:14" ht="16" customHeight="1" x14ac:dyDescent="0.25">
      <c r="A22" s="19">
        <v>90657</v>
      </c>
      <c r="B22" s="40" t="s">
        <v>43</v>
      </c>
      <c r="C22" s="532"/>
      <c r="D22" s="555"/>
      <c r="E22" s="35"/>
      <c r="F22" s="35"/>
      <c r="G22" s="38"/>
      <c r="H22" s="10"/>
    </row>
    <row r="23" spans="1:14" ht="16" customHeight="1" x14ac:dyDescent="0.25">
      <c r="A23" s="19">
        <v>90713</v>
      </c>
      <c r="B23" s="46" t="s">
        <v>108</v>
      </c>
      <c r="C23" s="55" t="s">
        <v>104</v>
      </c>
      <c r="D23" s="56" t="s">
        <v>120</v>
      </c>
      <c r="E23" s="39"/>
      <c r="F23" s="39"/>
      <c r="G23" s="39"/>
      <c r="H23" s="11"/>
    </row>
    <row r="24" spans="1:14" ht="16" customHeight="1" x14ac:dyDescent="0.25">
      <c r="M24" s="1"/>
    </row>
    <row r="25" spans="1:14" ht="16" customHeight="1" x14ac:dyDescent="0.25"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" customHeight="1" x14ac:dyDescent="0.25">
      <c r="B26" s="547" t="s">
        <v>38</v>
      </c>
      <c r="C26" s="548"/>
      <c r="D26" s="549"/>
      <c r="E26" s="572" t="s">
        <v>44</v>
      </c>
      <c r="F26" s="572"/>
      <c r="G26" s="572"/>
      <c r="H26"/>
    </row>
    <row r="27" spans="1:14" ht="16" customHeight="1" x14ac:dyDescent="0.25">
      <c r="B27" s="550"/>
      <c r="C27" s="551"/>
      <c r="D27" s="552"/>
      <c r="E27" s="21" t="s">
        <v>0</v>
      </c>
      <c r="F27" s="22" t="s">
        <v>1</v>
      </c>
      <c r="G27" s="22" t="s">
        <v>2</v>
      </c>
    </row>
    <row r="28" spans="1:14" s="1" customFormat="1" ht="16" customHeight="1" x14ac:dyDescent="0.25">
      <c r="A28" s="19" t="s">
        <v>338</v>
      </c>
      <c r="B28" s="57" t="s">
        <v>42</v>
      </c>
      <c r="C28" s="553" t="s">
        <v>114</v>
      </c>
      <c r="D28" s="561"/>
      <c r="E28" s="48"/>
      <c r="F28" s="48"/>
      <c r="G28" s="33"/>
    </row>
    <row r="29" spans="1:14" s="1" customFormat="1" ht="16" customHeight="1" x14ac:dyDescent="0.25">
      <c r="A29" s="19">
        <v>90707</v>
      </c>
      <c r="B29" s="40" t="s">
        <v>66</v>
      </c>
      <c r="C29" s="532"/>
      <c r="D29" s="533"/>
      <c r="E29" s="35"/>
      <c r="F29" s="35"/>
      <c r="G29" s="38"/>
      <c r="I29" s="4" t="s">
        <v>216</v>
      </c>
      <c r="J29" s="3"/>
      <c r="K29" s="2"/>
      <c r="L29" s="2"/>
      <c r="M29" s="2"/>
    </row>
    <row r="30" spans="1:14" s="1" customFormat="1" ht="16" customHeight="1" x14ac:dyDescent="0.25">
      <c r="A30" s="19">
        <v>90657</v>
      </c>
      <c r="B30" s="543" t="s">
        <v>43</v>
      </c>
      <c r="C30" s="532" t="s">
        <v>328</v>
      </c>
      <c r="D30" s="533"/>
      <c r="E30" s="35"/>
      <c r="F30" s="35"/>
      <c r="G30" s="38"/>
      <c r="I30" s="567" t="s">
        <v>269</v>
      </c>
      <c r="J30" s="568"/>
      <c r="K30" s="568"/>
      <c r="L30" s="569"/>
      <c r="M30" s="475" t="s">
        <v>218</v>
      </c>
    </row>
    <row r="31" spans="1:14" s="1" customFormat="1" ht="16" customHeight="1" x14ac:dyDescent="0.25">
      <c r="A31" s="19"/>
      <c r="B31" s="543"/>
      <c r="C31" s="532" t="s">
        <v>218</v>
      </c>
      <c r="D31" s="533"/>
      <c r="E31" s="35"/>
      <c r="F31" s="38"/>
      <c r="G31" s="38"/>
      <c r="I31" s="476" t="s">
        <v>124</v>
      </c>
      <c r="J31" s="516" t="s">
        <v>223</v>
      </c>
      <c r="K31" s="517"/>
      <c r="L31" s="518"/>
      <c r="M31" s="33"/>
    </row>
    <row r="32" spans="1:14" s="1" customFormat="1" ht="16" customHeight="1" x14ac:dyDescent="0.25">
      <c r="A32" s="19" t="s">
        <v>338</v>
      </c>
      <c r="B32" s="40" t="s">
        <v>217</v>
      </c>
      <c r="C32" s="532" t="s">
        <v>62</v>
      </c>
      <c r="D32" s="533"/>
      <c r="E32" s="35"/>
      <c r="F32" s="35"/>
      <c r="G32" s="38"/>
      <c r="I32" s="476" t="s">
        <v>69</v>
      </c>
      <c r="J32" s="519"/>
      <c r="K32" s="520"/>
      <c r="L32" s="521"/>
      <c r="M32" s="33"/>
      <c r="N32" s="2"/>
    </row>
    <row r="33" spans="1:16" s="1" customFormat="1" ht="16" customHeight="1" x14ac:dyDescent="0.25">
      <c r="A33" s="19">
        <v>90717</v>
      </c>
      <c r="B33" s="40" t="s">
        <v>12</v>
      </c>
      <c r="C33" s="532" t="s">
        <v>63</v>
      </c>
      <c r="D33" s="533"/>
      <c r="E33" s="35"/>
      <c r="F33" s="38"/>
      <c r="G33" s="38"/>
      <c r="I33" s="476" t="s">
        <v>70</v>
      </c>
      <c r="J33" s="519"/>
      <c r="K33" s="520"/>
      <c r="L33" s="521"/>
      <c r="M33" s="33"/>
      <c r="N33" s="2"/>
    </row>
    <row r="34" spans="1:16" s="1" customFormat="1" ht="16" customHeight="1" x14ac:dyDescent="0.25">
      <c r="A34" s="19">
        <v>90701</v>
      </c>
      <c r="B34" s="40" t="s">
        <v>90</v>
      </c>
      <c r="C34" s="532" t="s">
        <v>64</v>
      </c>
      <c r="D34" s="533"/>
      <c r="E34" s="35"/>
      <c r="F34" s="38"/>
      <c r="G34" s="38"/>
      <c r="I34" s="476" t="s">
        <v>71</v>
      </c>
      <c r="J34" s="519"/>
      <c r="K34" s="520"/>
      <c r="L34" s="521"/>
      <c r="M34" s="33"/>
    </row>
    <row r="35" spans="1:16" s="1" customFormat="1" ht="16" customHeight="1" x14ac:dyDescent="0.25">
      <c r="A35" s="19" t="s">
        <v>109</v>
      </c>
      <c r="B35" s="40" t="s">
        <v>115</v>
      </c>
      <c r="C35" s="532"/>
      <c r="D35" s="533"/>
      <c r="E35" s="35"/>
      <c r="F35" s="38"/>
      <c r="G35" s="38"/>
      <c r="I35" s="476" t="s">
        <v>214</v>
      </c>
      <c r="J35" s="522"/>
      <c r="K35" s="523"/>
      <c r="L35" s="524"/>
      <c r="M35" s="33"/>
    </row>
    <row r="36" spans="1:16" ht="16" customHeight="1" x14ac:dyDescent="0.25">
      <c r="A36" s="19">
        <v>90713</v>
      </c>
      <c r="B36" s="556" t="s">
        <v>7</v>
      </c>
      <c r="C36" s="557" t="s">
        <v>65</v>
      </c>
      <c r="D36" s="53" t="s">
        <v>104</v>
      </c>
      <c r="E36" s="35"/>
      <c r="F36" s="35"/>
      <c r="G36" s="38"/>
      <c r="H36"/>
      <c r="I36" s="476" t="s">
        <v>124</v>
      </c>
      <c r="J36" s="516" t="s">
        <v>224</v>
      </c>
      <c r="K36" s="517"/>
      <c r="L36" s="518"/>
      <c r="M36" s="33"/>
      <c r="N36" s="1"/>
    </row>
    <row r="37" spans="1:16" ht="16" customHeight="1" x14ac:dyDescent="0.25">
      <c r="A37" s="19" t="s">
        <v>109</v>
      </c>
      <c r="B37" s="556"/>
      <c r="C37" s="557"/>
      <c r="D37" s="53" t="s">
        <v>105</v>
      </c>
      <c r="E37" s="38"/>
      <c r="F37" s="38"/>
      <c r="G37" s="35"/>
      <c r="H37"/>
      <c r="I37" s="476" t="s">
        <v>69</v>
      </c>
      <c r="J37" s="519"/>
      <c r="K37" s="520"/>
      <c r="L37" s="521"/>
      <c r="M37" s="33"/>
      <c r="N37" s="1"/>
    </row>
    <row r="38" spans="1:16" ht="16" customHeight="1" x14ac:dyDescent="0.25">
      <c r="A38" s="19">
        <v>90723</v>
      </c>
      <c r="B38" s="40" t="s">
        <v>21</v>
      </c>
      <c r="C38" s="557"/>
      <c r="D38" s="58"/>
      <c r="E38" s="35"/>
      <c r="F38" s="35"/>
      <c r="G38" s="35"/>
      <c r="H38"/>
      <c r="I38" s="476" t="s">
        <v>70</v>
      </c>
      <c r="J38" s="519"/>
      <c r="K38" s="520"/>
      <c r="L38" s="521"/>
      <c r="M38" s="33"/>
      <c r="N38" s="1"/>
    </row>
    <row r="39" spans="1:16" ht="16" customHeight="1" x14ac:dyDescent="0.25">
      <c r="A39" s="19" t="s">
        <v>336</v>
      </c>
      <c r="B39" s="41" t="s">
        <v>17</v>
      </c>
      <c r="C39" s="557"/>
      <c r="D39" s="42" t="s">
        <v>116</v>
      </c>
      <c r="E39" s="38"/>
      <c r="F39" s="35"/>
      <c r="G39" s="35"/>
      <c r="H39"/>
      <c r="I39" s="476" t="s">
        <v>71</v>
      </c>
      <c r="J39" s="519"/>
      <c r="K39" s="520"/>
      <c r="L39" s="521"/>
      <c r="M39" s="33"/>
      <c r="N39" s="1"/>
    </row>
    <row r="40" spans="1:16" ht="16" customHeight="1" x14ac:dyDescent="0.25">
      <c r="A40" s="19">
        <v>90744</v>
      </c>
      <c r="B40" s="41" t="s">
        <v>51</v>
      </c>
      <c r="C40" s="557"/>
      <c r="D40" s="42" t="s">
        <v>84</v>
      </c>
      <c r="E40" s="38"/>
      <c r="F40" s="35"/>
      <c r="G40" s="35"/>
      <c r="H40"/>
      <c r="I40" s="476" t="s">
        <v>214</v>
      </c>
      <c r="J40" s="522"/>
      <c r="K40" s="523"/>
      <c r="L40" s="524"/>
      <c r="M40" s="33"/>
      <c r="N40" s="1"/>
    </row>
    <row r="41" spans="1:16" ht="16" customHeight="1" x14ac:dyDescent="0.25">
      <c r="A41" s="19" t="s">
        <v>337</v>
      </c>
      <c r="B41" s="41" t="s">
        <v>49</v>
      </c>
      <c r="C41" s="557"/>
      <c r="D41" s="42" t="s">
        <v>117</v>
      </c>
      <c r="E41" s="38"/>
      <c r="F41" s="35"/>
      <c r="G41" s="35"/>
      <c r="H41"/>
      <c r="I41" s="495" t="s">
        <v>271</v>
      </c>
      <c r="J41" s="496"/>
      <c r="K41" s="496"/>
      <c r="L41" s="497"/>
      <c r="M41" s="80"/>
      <c r="N41" s="1"/>
    </row>
    <row r="42" spans="1:16" ht="16" customHeight="1" x14ac:dyDescent="0.25">
      <c r="A42" s="19" t="s">
        <v>119</v>
      </c>
      <c r="B42" s="46" t="s">
        <v>118</v>
      </c>
      <c r="C42" s="564"/>
      <c r="D42" s="59"/>
      <c r="E42" s="39"/>
      <c r="F42" s="49"/>
      <c r="G42" s="49"/>
      <c r="H42"/>
      <c r="I42" s="495" t="s">
        <v>326</v>
      </c>
      <c r="J42" s="496"/>
      <c r="K42" s="496"/>
      <c r="L42" s="497"/>
      <c r="M42" s="471"/>
    </row>
    <row r="43" spans="1:16" ht="16" customHeight="1" x14ac:dyDescent="0.25">
      <c r="A43" s="19" t="s">
        <v>329</v>
      </c>
      <c r="B43" s="539" t="s">
        <v>295</v>
      </c>
      <c r="C43" s="539"/>
      <c r="D43" s="421" t="s">
        <v>294</v>
      </c>
      <c r="E43" s="80"/>
      <c r="F43" s="422"/>
      <c r="G43" s="422"/>
      <c r="H43" s="1"/>
      <c r="I43" s="495" t="s">
        <v>327</v>
      </c>
      <c r="J43" s="496"/>
      <c r="K43" s="496"/>
      <c r="L43" s="497"/>
      <c r="M43" s="494"/>
    </row>
    <row r="44" spans="1:16" ht="16" customHeight="1" thickBot="1" x14ac:dyDescent="0.3">
      <c r="B44" s="4" t="s">
        <v>61</v>
      </c>
      <c r="C44" s="3"/>
      <c r="D44" s="3"/>
      <c r="E44" s="5"/>
      <c r="F44" s="5"/>
      <c r="G44" s="5"/>
      <c r="H44" s="5"/>
      <c r="I44" s="525" t="s">
        <v>45</v>
      </c>
      <c r="J44" s="526"/>
      <c r="K44" s="526"/>
      <c r="L44" s="527"/>
      <c r="M44" s="494"/>
    </row>
    <row r="45" spans="1:16" ht="16" customHeight="1" x14ac:dyDescent="0.25">
      <c r="B45" s="547" t="s">
        <v>38</v>
      </c>
      <c r="C45" s="548"/>
      <c r="D45" s="548"/>
      <c r="E45" s="576" t="s">
        <v>54</v>
      </c>
      <c r="F45" s="577"/>
      <c r="G45" s="578"/>
      <c r="H45" s="576" t="s">
        <v>55</v>
      </c>
      <c r="I45" s="574"/>
      <c r="J45" s="575"/>
      <c r="K45" s="573" t="s">
        <v>56</v>
      </c>
      <c r="L45" s="574"/>
      <c r="M45" s="575"/>
      <c r="N45"/>
      <c r="O45"/>
      <c r="P45"/>
    </row>
    <row r="46" spans="1:16" ht="16" customHeight="1" x14ac:dyDescent="0.25">
      <c r="B46" s="550"/>
      <c r="C46" s="551"/>
      <c r="D46" s="551"/>
      <c r="E46" s="428" t="s">
        <v>0</v>
      </c>
      <c r="F46" s="22" t="s">
        <v>1</v>
      </c>
      <c r="G46" s="429" t="s">
        <v>2</v>
      </c>
      <c r="H46" s="428" t="s">
        <v>0</v>
      </c>
      <c r="I46" s="22" t="s">
        <v>1</v>
      </c>
      <c r="J46" s="429" t="s">
        <v>2</v>
      </c>
      <c r="K46" s="428" t="s">
        <v>0</v>
      </c>
      <c r="L46" s="22" t="s">
        <v>1</v>
      </c>
      <c r="M46" s="429" t="s">
        <v>2</v>
      </c>
      <c r="N46"/>
      <c r="O46"/>
      <c r="P46"/>
    </row>
    <row r="47" spans="1:16" s="1" customFormat="1" ht="16" customHeight="1" x14ac:dyDescent="0.25">
      <c r="A47" s="19" t="s">
        <v>339</v>
      </c>
      <c r="B47" s="542" t="s">
        <v>43</v>
      </c>
      <c r="C47" s="562" t="s">
        <v>219</v>
      </c>
      <c r="D47" s="563"/>
      <c r="E47" s="430"/>
      <c r="F47" s="48"/>
      <c r="G47" s="431"/>
      <c r="H47" s="430"/>
      <c r="I47" s="48"/>
      <c r="J47" s="431"/>
      <c r="K47" s="430"/>
      <c r="L47" s="48"/>
      <c r="M47" s="431"/>
      <c r="N47"/>
      <c r="O47"/>
      <c r="P47"/>
    </row>
    <row r="48" spans="1:16" s="1" customFormat="1" ht="16" customHeight="1" x14ac:dyDescent="0.25">
      <c r="A48" s="19"/>
      <c r="B48" s="543"/>
      <c r="C48" s="530" t="s">
        <v>220</v>
      </c>
      <c r="D48" s="531"/>
      <c r="E48" s="432"/>
      <c r="F48" s="38"/>
      <c r="G48" s="433"/>
      <c r="H48" s="432"/>
      <c r="I48" s="38"/>
      <c r="J48" s="433"/>
      <c r="K48" s="432"/>
      <c r="L48" s="38"/>
      <c r="M48" s="433"/>
      <c r="N48"/>
      <c r="O48"/>
      <c r="P48"/>
    </row>
    <row r="49" spans="1:22" s="1" customFormat="1" ht="16" customHeight="1" x14ac:dyDescent="0.25">
      <c r="A49" s="19" t="s">
        <v>338</v>
      </c>
      <c r="B49" s="40" t="s">
        <v>42</v>
      </c>
      <c r="C49" s="530" t="s">
        <v>67</v>
      </c>
      <c r="D49" s="531"/>
      <c r="E49" s="432"/>
      <c r="F49" s="38"/>
      <c r="G49" s="433"/>
      <c r="H49" s="432"/>
      <c r="I49" s="38"/>
      <c r="J49" s="433"/>
      <c r="K49" s="432"/>
      <c r="L49" s="38"/>
      <c r="M49" s="433"/>
      <c r="N49"/>
      <c r="O49"/>
      <c r="P49"/>
    </row>
    <row r="50" spans="1:22" s="1" customFormat="1" ht="16" customHeight="1" x14ac:dyDescent="0.25">
      <c r="A50" s="19">
        <v>90717</v>
      </c>
      <c r="B50" s="40" t="s">
        <v>12</v>
      </c>
      <c r="C50" s="532"/>
      <c r="D50" s="533"/>
      <c r="E50" s="432"/>
      <c r="F50" s="38"/>
      <c r="G50" s="433"/>
      <c r="H50" s="432"/>
      <c r="I50" s="38"/>
      <c r="J50" s="433"/>
      <c r="K50" s="432"/>
      <c r="L50" s="38"/>
      <c r="M50" s="433"/>
      <c r="N50"/>
      <c r="O50"/>
      <c r="P50"/>
    </row>
    <row r="51" spans="1:22" ht="16" customHeight="1" x14ac:dyDescent="0.25">
      <c r="A51" s="19">
        <v>90713</v>
      </c>
      <c r="B51" s="556" t="s">
        <v>7</v>
      </c>
      <c r="C51" s="557" t="s">
        <v>65</v>
      </c>
      <c r="D51" s="440" t="s">
        <v>104</v>
      </c>
      <c r="E51" s="432"/>
      <c r="F51" s="35"/>
      <c r="G51" s="434"/>
      <c r="H51" s="432"/>
      <c r="I51" s="35"/>
      <c r="J51" s="434"/>
      <c r="K51" s="432"/>
      <c r="L51" s="35"/>
      <c r="M51" s="434"/>
      <c r="N51"/>
      <c r="O51"/>
      <c r="P51"/>
    </row>
    <row r="52" spans="1:22" ht="16" customHeight="1" x14ac:dyDescent="0.25">
      <c r="A52" s="19" t="s">
        <v>109</v>
      </c>
      <c r="B52" s="556"/>
      <c r="C52" s="557"/>
      <c r="D52" s="440" t="s">
        <v>105</v>
      </c>
      <c r="E52" s="435"/>
      <c r="F52" s="38"/>
      <c r="G52" s="434"/>
      <c r="H52" s="435"/>
      <c r="I52" s="38"/>
      <c r="J52" s="434"/>
      <c r="K52" s="435"/>
      <c r="L52" s="38"/>
      <c r="M52" s="434"/>
      <c r="N52"/>
      <c r="O52"/>
      <c r="P52"/>
    </row>
    <row r="53" spans="1:22" ht="16" customHeight="1" x14ac:dyDescent="0.25">
      <c r="A53" s="19">
        <v>90723</v>
      </c>
      <c r="B53" s="40" t="s">
        <v>21</v>
      </c>
      <c r="C53" s="557"/>
      <c r="D53" s="58"/>
      <c r="E53" s="432"/>
      <c r="F53" s="35"/>
      <c r="G53" s="434"/>
      <c r="H53" s="432"/>
      <c r="I53" s="35"/>
      <c r="J53" s="434"/>
      <c r="K53" s="432"/>
      <c r="L53" s="35"/>
      <c r="M53" s="434"/>
      <c r="N53"/>
      <c r="O53"/>
      <c r="P53"/>
    </row>
    <row r="54" spans="1:22" ht="16" customHeight="1" x14ac:dyDescent="0.25">
      <c r="A54" s="19" t="s">
        <v>336</v>
      </c>
      <c r="B54" s="41" t="s">
        <v>17</v>
      </c>
      <c r="C54" s="557"/>
      <c r="D54" s="441" t="s">
        <v>116</v>
      </c>
      <c r="E54" s="435"/>
      <c r="F54" s="35"/>
      <c r="G54" s="434"/>
      <c r="H54" s="435"/>
      <c r="I54" s="35"/>
      <c r="J54" s="434"/>
      <c r="K54" s="435"/>
      <c r="L54" s="35"/>
      <c r="M54" s="434"/>
      <c r="N54"/>
      <c r="O54"/>
      <c r="P54"/>
    </row>
    <row r="55" spans="1:22" ht="16" customHeight="1" x14ac:dyDescent="0.25">
      <c r="A55" s="19">
        <v>90744</v>
      </c>
      <c r="B55" s="41" t="s">
        <v>51</v>
      </c>
      <c r="C55" s="557"/>
      <c r="D55" s="441" t="s">
        <v>84</v>
      </c>
      <c r="E55" s="435"/>
      <c r="F55" s="35"/>
      <c r="G55" s="434"/>
      <c r="H55" s="435"/>
      <c r="I55" s="35"/>
      <c r="J55" s="434"/>
      <c r="K55" s="435"/>
      <c r="L55" s="35"/>
      <c r="M55" s="434"/>
      <c r="N55"/>
      <c r="O55"/>
      <c r="P55"/>
    </row>
    <row r="56" spans="1:22" ht="16" customHeight="1" x14ac:dyDescent="0.25">
      <c r="A56" s="19" t="s">
        <v>337</v>
      </c>
      <c r="B56" s="41" t="s">
        <v>49</v>
      </c>
      <c r="C56" s="557"/>
      <c r="D56" s="441" t="s">
        <v>117</v>
      </c>
      <c r="E56" s="435"/>
      <c r="F56" s="35"/>
      <c r="G56" s="434"/>
      <c r="H56" s="435"/>
      <c r="I56" s="35"/>
      <c r="J56" s="434"/>
      <c r="K56" s="435"/>
      <c r="L56" s="35"/>
      <c r="M56" s="434"/>
      <c r="N56"/>
      <c r="O56"/>
      <c r="P56"/>
    </row>
    <row r="57" spans="1:22" s="1" customFormat="1" ht="16" customHeight="1" x14ac:dyDescent="0.25">
      <c r="A57" s="19" t="s">
        <v>172</v>
      </c>
      <c r="B57" s="45" t="s">
        <v>66</v>
      </c>
      <c r="C57" s="557"/>
      <c r="D57" s="442"/>
      <c r="E57" s="432"/>
      <c r="F57" s="35"/>
      <c r="G57" s="433"/>
      <c r="H57" s="432"/>
      <c r="I57" s="35"/>
      <c r="J57" s="433"/>
      <c r="K57" s="432"/>
      <c r="L57" s="35"/>
      <c r="M57" s="433"/>
      <c r="N57"/>
      <c r="O57"/>
      <c r="P57"/>
    </row>
    <row r="58" spans="1:22" s="1" customFormat="1" ht="16" customHeight="1" x14ac:dyDescent="0.25">
      <c r="A58" s="19" t="s">
        <v>119</v>
      </c>
      <c r="B58" s="54" t="s">
        <v>122</v>
      </c>
      <c r="C58" s="557"/>
      <c r="D58" s="440"/>
      <c r="E58" s="432"/>
      <c r="F58" s="38"/>
      <c r="G58" s="433"/>
      <c r="H58" s="432"/>
      <c r="I58" s="38"/>
      <c r="J58" s="433"/>
      <c r="K58" s="432"/>
      <c r="L58" s="38"/>
      <c r="M58" s="433"/>
      <c r="N58"/>
      <c r="O58"/>
      <c r="P58"/>
    </row>
    <row r="59" spans="1:22" s="1" customFormat="1" ht="16" customHeight="1" x14ac:dyDescent="0.25">
      <c r="A59" s="19">
        <v>90701</v>
      </c>
      <c r="B59" s="40" t="s">
        <v>47</v>
      </c>
      <c r="C59" s="43"/>
      <c r="D59" s="58"/>
      <c r="E59" s="435"/>
      <c r="F59" s="35"/>
      <c r="G59" s="433"/>
      <c r="H59" s="435"/>
      <c r="I59" s="35"/>
      <c r="J59" s="433"/>
      <c r="K59" s="435"/>
      <c r="L59" s="35"/>
      <c r="M59" s="433"/>
      <c r="N59"/>
      <c r="O59"/>
      <c r="P59"/>
    </row>
    <row r="60" spans="1:22" s="1" customFormat="1" ht="16" customHeight="1" x14ac:dyDescent="0.25">
      <c r="A60" s="19" t="s">
        <v>109</v>
      </c>
      <c r="B60" s="46" t="s">
        <v>123</v>
      </c>
      <c r="C60" s="47"/>
      <c r="D60" s="59"/>
      <c r="E60" s="436"/>
      <c r="F60" s="39"/>
      <c r="G60" s="437"/>
      <c r="H60" s="436"/>
      <c r="I60" s="39"/>
      <c r="J60" s="437"/>
      <c r="K60" s="436"/>
      <c r="L60" s="39"/>
      <c r="M60" s="437"/>
      <c r="N60"/>
      <c r="O60"/>
      <c r="P60"/>
    </row>
    <row r="61" spans="1:22" ht="16" customHeight="1" x14ac:dyDescent="0.25">
      <c r="A61" s="19" t="s">
        <v>329</v>
      </c>
      <c r="B61" s="565" t="s">
        <v>295</v>
      </c>
      <c r="C61" s="566"/>
      <c r="D61" s="446" t="s">
        <v>294</v>
      </c>
      <c r="E61" s="450"/>
      <c r="F61" s="447"/>
      <c r="G61" s="448"/>
      <c r="H61" s="449"/>
      <c r="I61" s="447"/>
      <c r="J61" s="448"/>
      <c r="K61" s="449"/>
      <c r="L61" s="447"/>
      <c r="M61" s="448"/>
      <c r="N61"/>
      <c r="O61"/>
      <c r="P61"/>
      <c r="Q61"/>
      <c r="R61"/>
      <c r="S61"/>
      <c r="T61"/>
      <c r="U61"/>
      <c r="V61"/>
    </row>
    <row r="62" spans="1:22" ht="16" customHeight="1" thickBot="1" x14ac:dyDescent="0.3">
      <c r="B62" s="558" t="s">
        <v>330</v>
      </c>
      <c r="C62" s="559"/>
      <c r="D62" s="443" t="s">
        <v>294</v>
      </c>
      <c r="E62" s="451"/>
      <c r="F62" s="438"/>
      <c r="G62" s="439"/>
      <c r="H62" s="451"/>
      <c r="I62" s="438"/>
      <c r="J62" s="439"/>
      <c r="K62" s="451"/>
      <c r="L62" s="438"/>
      <c r="M62" s="439"/>
      <c r="N62"/>
      <c r="O62"/>
      <c r="P62"/>
      <c r="Q62"/>
      <c r="R62"/>
      <c r="S62"/>
      <c r="T62"/>
      <c r="U62"/>
      <c r="V62"/>
    </row>
    <row r="63" spans="1:22" ht="16" customHeight="1" x14ac:dyDescent="0.25"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6" customHeight="1" x14ac:dyDescent="0.25">
      <c r="B64" s="540" t="s">
        <v>5</v>
      </c>
      <c r="C64" s="534" t="s">
        <v>18</v>
      </c>
      <c r="D64" s="535"/>
      <c r="E64" s="535"/>
      <c r="F64" s="535"/>
      <c r="G64" s="536"/>
      <c r="H64" s="6"/>
      <c r="I64" s="6"/>
    </row>
    <row r="65" spans="1:13" ht="16" customHeight="1" x14ac:dyDescent="0.25">
      <c r="B65" s="541"/>
      <c r="C65" s="22" t="s">
        <v>0</v>
      </c>
      <c r="D65" s="22" t="s">
        <v>1</v>
      </c>
      <c r="E65" s="22" t="s">
        <v>2</v>
      </c>
      <c r="F65" s="22" t="s">
        <v>3</v>
      </c>
      <c r="G65" s="22" t="s">
        <v>4</v>
      </c>
    </row>
    <row r="66" spans="1:13" ht="16" customHeight="1" x14ac:dyDescent="0.25">
      <c r="A66" s="19" t="s">
        <v>340</v>
      </c>
      <c r="B66" s="50" t="s">
        <v>68</v>
      </c>
      <c r="C66" s="33"/>
      <c r="D66" s="33"/>
      <c r="E66" s="33"/>
      <c r="F66" s="33"/>
      <c r="G66" s="33"/>
    </row>
    <row r="67" spans="1:13" ht="16" customHeight="1" x14ac:dyDescent="0.25">
      <c r="B67" s="51" t="s">
        <v>69</v>
      </c>
      <c r="C67" s="35"/>
      <c r="D67" s="35"/>
      <c r="E67" s="35"/>
      <c r="F67" s="35"/>
      <c r="G67" s="35"/>
    </row>
    <row r="68" spans="1:13" ht="16" customHeight="1" x14ac:dyDescent="0.25">
      <c r="B68" s="51" t="s">
        <v>70</v>
      </c>
      <c r="C68" s="35"/>
      <c r="D68" s="35"/>
      <c r="E68" s="35"/>
      <c r="F68" s="35"/>
      <c r="G68" s="35"/>
    </row>
    <row r="69" spans="1:13" ht="16" customHeight="1" x14ac:dyDescent="0.25">
      <c r="B69" s="51" t="s">
        <v>71</v>
      </c>
      <c r="C69" s="35"/>
      <c r="D69" s="35"/>
      <c r="E69" s="35"/>
      <c r="F69" s="35"/>
      <c r="G69" s="35"/>
    </row>
    <row r="70" spans="1:13" ht="16" customHeight="1" x14ac:dyDescent="0.25">
      <c r="B70" s="51" t="s">
        <v>214</v>
      </c>
      <c r="C70" s="35"/>
      <c r="D70" s="35"/>
      <c r="E70" s="35"/>
      <c r="F70" s="35"/>
      <c r="G70" s="35"/>
    </row>
    <row r="71" spans="1:13" ht="16" customHeight="1" x14ac:dyDescent="0.25">
      <c r="B71" s="52" t="s">
        <v>221</v>
      </c>
      <c r="C71" s="39"/>
      <c r="D71" s="39"/>
      <c r="E71" s="39"/>
      <c r="F71" s="39"/>
      <c r="G71" s="39"/>
    </row>
    <row r="72" spans="1:13" ht="16" customHeight="1" x14ac:dyDescent="0.25"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6" customHeight="1" x14ac:dyDescent="0.25">
      <c r="B73" s="540" t="s">
        <v>5</v>
      </c>
      <c r="C73" s="534" t="s">
        <v>18</v>
      </c>
      <c r="D73" s="535"/>
      <c r="E73" s="535"/>
      <c r="F73" s="535"/>
      <c r="G73" s="536"/>
      <c r="H73" s="452" t="s">
        <v>353</v>
      </c>
      <c r="I73" s="6"/>
    </row>
    <row r="74" spans="1:13" ht="16" customHeight="1" x14ac:dyDescent="0.25">
      <c r="B74" s="541"/>
      <c r="C74" s="22" t="s">
        <v>0</v>
      </c>
      <c r="D74" s="22" t="s">
        <v>1</v>
      </c>
      <c r="E74" s="22" t="s">
        <v>2</v>
      </c>
      <c r="F74" s="22" t="s">
        <v>3</v>
      </c>
      <c r="G74" s="22" t="s">
        <v>4</v>
      </c>
      <c r="H74" s="421" t="s">
        <v>305</v>
      </c>
    </row>
    <row r="75" spans="1:13" ht="16" customHeight="1" x14ac:dyDescent="0.25">
      <c r="A75" s="78" t="s">
        <v>347</v>
      </c>
      <c r="B75" s="50" t="s">
        <v>68</v>
      </c>
      <c r="C75" s="33"/>
      <c r="D75" s="33"/>
      <c r="E75" s="33"/>
      <c r="F75" s="33"/>
      <c r="G75" s="33"/>
      <c r="H75" s="425"/>
    </row>
    <row r="76" spans="1:13" ht="16" customHeight="1" x14ac:dyDescent="0.25">
      <c r="A76" s="478" t="s">
        <v>346</v>
      </c>
      <c r="B76" s="51" t="s">
        <v>69</v>
      </c>
      <c r="C76" s="35"/>
      <c r="D76" s="35"/>
      <c r="E76" s="35"/>
      <c r="F76" s="35"/>
      <c r="G76" s="35"/>
      <c r="H76" s="427"/>
    </row>
    <row r="77" spans="1:13" ht="16" customHeight="1" x14ac:dyDescent="0.25">
      <c r="A77" s="478" t="s">
        <v>346</v>
      </c>
      <c r="B77" s="51" t="s">
        <v>70</v>
      </c>
      <c r="C77" s="35"/>
      <c r="D77" s="35"/>
      <c r="E77" s="35"/>
      <c r="F77" s="35"/>
      <c r="G77" s="35"/>
      <c r="H77" s="427"/>
    </row>
    <row r="78" spans="1:13" ht="16" customHeight="1" x14ac:dyDescent="0.25">
      <c r="A78" s="478" t="s">
        <v>346</v>
      </c>
      <c r="B78" s="52" t="s">
        <v>71</v>
      </c>
      <c r="C78" s="39"/>
      <c r="D78" s="39"/>
      <c r="E78" s="39"/>
      <c r="F78" s="39"/>
      <c r="G78" s="39"/>
      <c r="H78" s="426"/>
    </row>
    <row r="79" spans="1:13" ht="16" customHeight="1" x14ac:dyDescent="0.25"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6" customHeight="1" x14ac:dyDescent="0.25">
      <c r="B80" s="528" t="s">
        <v>30</v>
      </c>
      <c r="C80" s="515" t="s">
        <v>13</v>
      </c>
      <c r="D80" s="515"/>
      <c r="E80" s="515"/>
      <c r="F80" s="515"/>
      <c r="G80" s="528" t="s">
        <v>30</v>
      </c>
      <c r="H80" s="515" t="s">
        <v>13</v>
      </c>
      <c r="I80" s="515"/>
      <c r="J80" s="515"/>
      <c r="K80" s="515"/>
    </row>
    <row r="81" spans="1:13" ht="16" customHeight="1" x14ac:dyDescent="0.25">
      <c r="B81" s="529"/>
      <c r="C81" s="24" t="s">
        <v>32</v>
      </c>
      <c r="D81" s="24" t="s">
        <v>26</v>
      </c>
      <c r="E81" s="24" t="s">
        <v>33</v>
      </c>
      <c r="F81" s="24" t="s">
        <v>173</v>
      </c>
      <c r="G81" s="529"/>
      <c r="H81" s="24" t="s">
        <v>32</v>
      </c>
      <c r="I81" s="24" t="s">
        <v>26</v>
      </c>
      <c r="J81" s="24" t="s">
        <v>33</v>
      </c>
      <c r="K81" s="24" t="s">
        <v>173</v>
      </c>
    </row>
    <row r="82" spans="1:13" ht="16" customHeight="1" x14ac:dyDescent="0.25">
      <c r="A82" s="19" t="s">
        <v>341</v>
      </c>
      <c r="B82" s="30" t="s">
        <v>127</v>
      </c>
      <c r="C82" s="31"/>
      <c r="D82" s="31"/>
      <c r="E82" s="31"/>
      <c r="F82" s="31"/>
      <c r="G82" s="485" t="s">
        <v>352</v>
      </c>
      <c r="H82" s="486"/>
      <c r="I82" s="485"/>
      <c r="J82" s="485"/>
      <c r="K82" s="487"/>
    </row>
    <row r="83" spans="1:13" ht="16" customHeight="1" x14ac:dyDescent="0.25">
      <c r="A83" s="19" t="s">
        <v>341</v>
      </c>
      <c r="B83" s="60" t="s">
        <v>77</v>
      </c>
      <c r="C83" s="61"/>
      <c r="D83" s="61"/>
      <c r="E83" s="61"/>
      <c r="F83" s="61"/>
      <c r="G83" s="3"/>
      <c r="H83" s="9"/>
      <c r="I83" s="3"/>
      <c r="J83" s="3"/>
      <c r="K83" s="3"/>
    </row>
    <row r="84" spans="1:13" ht="16" customHeight="1" x14ac:dyDescent="0.25">
      <c r="A84" s="19" t="s">
        <v>341</v>
      </c>
      <c r="B84" s="60" t="s">
        <v>78</v>
      </c>
      <c r="C84" s="61"/>
      <c r="D84" s="61"/>
      <c r="E84" s="61"/>
      <c r="F84" s="61"/>
      <c r="G84" s="3"/>
      <c r="H84" s="9"/>
      <c r="I84" s="3"/>
      <c r="J84" s="3"/>
      <c r="K84" s="3"/>
    </row>
    <row r="85" spans="1:13" ht="16" customHeight="1" x14ac:dyDescent="0.25">
      <c r="A85" s="19" t="s">
        <v>341</v>
      </c>
      <c r="B85" s="60" t="s">
        <v>79</v>
      </c>
      <c r="C85" s="61"/>
      <c r="D85" s="61"/>
      <c r="E85" s="61"/>
      <c r="F85" s="61"/>
      <c r="G85" s="3"/>
      <c r="H85" s="9"/>
      <c r="I85" s="3"/>
      <c r="J85" s="3"/>
      <c r="K85" s="3"/>
    </row>
    <row r="86" spans="1:13" ht="16" customHeight="1" thickBot="1" x14ac:dyDescent="0.3">
      <c r="A86" s="19" t="s">
        <v>341</v>
      </c>
      <c r="B86" s="62" t="s">
        <v>222</v>
      </c>
      <c r="C86" s="63"/>
      <c r="D86" s="63"/>
      <c r="E86" s="63"/>
      <c r="F86" s="63"/>
      <c r="G86" s="3"/>
      <c r="H86" s="9"/>
      <c r="I86" s="3"/>
      <c r="J86" s="3"/>
      <c r="K86" s="3"/>
    </row>
    <row r="87" spans="1:13" ht="16" customHeight="1" thickTop="1" x14ac:dyDescent="0.25">
      <c r="A87" s="19" t="s">
        <v>341</v>
      </c>
      <c r="B87" s="64" t="s">
        <v>48</v>
      </c>
      <c r="C87" s="65"/>
      <c r="D87" s="65"/>
      <c r="E87" s="65"/>
      <c r="F87" s="65"/>
      <c r="G87" s="32" t="s">
        <v>176</v>
      </c>
      <c r="H87" s="9"/>
      <c r="I87" s="3"/>
      <c r="J87" s="3"/>
      <c r="K87" s="3"/>
    </row>
    <row r="88" spans="1:13" ht="16" customHeight="1" x14ac:dyDescent="0.25">
      <c r="A88" s="19" t="s">
        <v>341</v>
      </c>
      <c r="B88" s="66" t="s">
        <v>80</v>
      </c>
      <c r="C88" s="67"/>
      <c r="D88" s="67"/>
      <c r="E88" s="67"/>
      <c r="F88" s="67"/>
      <c r="G88" s="32" t="s">
        <v>176</v>
      </c>
      <c r="H88" s="9"/>
      <c r="I88" s="3"/>
      <c r="J88" s="3"/>
      <c r="K88" s="3"/>
    </row>
    <row r="89" spans="1:13" ht="16" customHeight="1" x14ac:dyDescent="0.25">
      <c r="A89" s="19" t="s">
        <v>341</v>
      </c>
      <c r="B89" s="461" t="s">
        <v>325</v>
      </c>
      <c r="C89" s="474"/>
      <c r="D89" s="474"/>
      <c r="E89" s="474"/>
      <c r="F89" s="474"/>
      <c r="G89" s="32" t="s">
        <v>175</v>
      </c>
      <c r="H89" s="3"/>
      <c r="I89" s="3"/>
      <c r="J89" s="9"/>
      <c r="K89" s="3"/>
      <c r="L89" s="3"/>
      <c r="M89" s="3"/>
    </row>
    <row r="90" spans="1:13" ht="16" customHeight="1" x14ac:dyDescent="0.25">
      <c r="A90" s="19" t="s">
        <v>341</v>
      </c>
      <c r="B90" s="461" t="s">
        <v>321</v>
      </c>
      <c r="C90" s="474"/>
      <c r="D90" s="474"/>
      <c r="E90" s="474"/>
      <c r="F90" s="422"/>
      <c r="G90" s="3"/>
      <c r="H90" s="3"/>
      <c r="I90" s="3"/>
      <c r="J90" s="9"/>
      <c r="K90" s="3"/>
      <c r="L90" s="3"/>
      <c r="M90" s="3"/>
    </row>
    <row r="91" spans="1:13" ht="16" customHeight="1" x14ac:dyDescent="0.25">
      <c r="A91" s="19" t="s">
        <v>341</v>
      </c>
      <c r="B91" s="461" t="s">
        <v>323</v>
      </c>
      <c r="C91" s="474"/>
      <c r="D91" s="474"/>
      <c r="E91" s="474"/>
      <c r="F91" s="422"/>
      <c r="G91" s="3"/>
      <c r="H91" s="3"/>
      <c r="I91" s="3"/>
      <c r="J91" s="9"/>
      <c r="K91" s="3"/>
      <c r="L91" s="3"/>
      <c r="M91" s="3"/>
    </row>
    <row r="92" spans="1:13" ht="16" customHeight="1" x14ac:dyDescent="0.25"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6" customHeight="1" x14ac:dyDescent="0.25">
      <c r="B93" s="540" t="s">
        <v>5</v>
      </c>
      <c r="C93" s="540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6" customHeight="1" x14ac:dyDescent="0.25">
      <c r="B94" s="541"/>
      <c r="C94" s="541"/>
      <c r="D94" s="17"/>
      <c r="E94" s="7"/>
      <c r="F94" s="9"/>
      <c r="G94" s="9"/>
      <c r="H94" s="9"/>
      <c r="I94" s="9"/>
      <c r="J94" s="9"/>
      <c r="K94" s="9"/>
      <c r="L94" s="1"/>
    </row>
    <row r="95" spans="1:13" ht="16" customHeight="1" x14ac:dyDescent="0.25">
      <c r="B95" s="30" t="s">
        <v>128</v>
      </c>
      <c r="C95" s="31"/>
      <c r="D95" s="17"/>
      <c r="E95" s="7"/>
      <c r="F95" s="9"/>
      <c r="G95" s="9"/>
      <c r="H95" s="9"/>
      <c r="I95" s="9"/>
      <c r="J95" s="9"/>
      <c r="K95" s="9"/>
      <c r="L95" s="1"/>
    </row>
    <row r="96" spans="1:13" ht="16" customHeight="1" x14ac:dyDescent="0.25">
      <c r="A96" s="19">
        <v>90717</v>
      </c>
      <c r="B96" s="51" t="s">
        <v>69</v>
      </c>
      <c r="C96" s="35"/>
      <c r="D96" s="7"/>
      <c r="E96" s="1"/>
      <c r="F96" s="9"/>
      <c r="G96" s="9"/>
      <c r="H96" s="9"/>
      <c r="I96" s="9"/>
      <c r="J96" s="9"/>
      <c r="K96" s="9"/>
      <c r="L96" s="1"/>
    </row>
    <row r="97" spans="1:13" ht="16" customHeight="1" x14ac:dyDescent="0.25">
      <c r="B97" s="51" t="s">
        <v>70</v>
      </c>
      <c r="C97" s="35"/>
      <c r="D97" s="7"/>
      <c r="E97" s="1"/>
      <c r="F97" s="9"/>
      <c r="G97" s="9"/>
      <c r="H97" s="9"/>
      <c r="I97" s="9"/>
      <c r="J97" s="9"/>
      <c r="K97" s="9"/>
      <c r="L97" s="1"/>
    </row>
    <row r="98" spans="1:13" ht="16" customHeight="1" x14ac:dyDescent="0.25">
      <c r="B98" s="52" t="s">
        <v>75</v>
      </c>
      <c r="C98" s="39"/>
      <c r="D98" s="7"/>
      <c r="E98" s="1"/>
      <c r="F98" s="9"/>
      <c r="G98" s="9"/>
      <c r="H98" s="9"/>
      <c r="I98" s="9"/>
      <c r="J98" s="9"/>
      <c r="K98" s="9"/>
      <c r="L98" s="1"/>
    </row>
    <row r="99" spans="1:13" ht="16" customHeight="1" x14ac:dyDescent="0.25">
      <c r="B99" s="461" t="s">
        <v>331</v>
      </c>
      <c r="C99" s="80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6" customHeight="1" x14ac:dyDescent="0.25"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6" customHeight="1" x14ac:dyDescent="0.25">
      <c r="B101" s="560" t="s">
        <v>5</v>
      </c>
      <c r="C101" s="560"/>
      <c r="D101" s="25" t="s">
        <v>76</v>
      </c>
      <c r="E101" s="9"/>
      <c r="F101"/>
      <c r="G101"/>
      <c r="H101"/>
      <c r="I101"/>
      <c r="J101"/>
      <c r="K101" s="6"/>
    </row>
    <row r="102" spans="1:13" ht="16" customHeight="1" x14ac:dyDescent="0.25">
      <c r="A102" s="19" t="s">
        <v>345</v>
      </c>
      <c r="B102" s="57" t="s">
        <v>124</v>
      </c>
      <c r="C102" s="537" t="s">
        <v>223</v>
      </c>
      <c r="D102" s="33"/>
      <c r="E102" s="9"/>
      <c r="F102"/>
      <c r="G102"/>
      <c r="H102"/>
      <c r="I102"/>
      <c r="J102"/>
      <c r="K102" s="1"/>
    </row>
    <row r="103" spans="1:13" ht="16" customHeight="1" x14ac:dyDescent="0.25">
      <c r="B103" s="40" t="s">
        <v>69</v>
      </c>
      <c r="C103" s="538"/>
      <c r="D103" s="35"/>
      <c r="E103" s="9"/>
      <c r="F103"/>
      <c r="G103"/>
      <c r="H103"/>
      <c r="I103"/>
      <c r="J103"/>
      <c r="K103" s="1"/>
    </row>
    <row r="104" spans="1:13" ht="16" customHeight="1" x14ac:dyDescent="0.25">
      <c r="B104" s="40" t="s">
        <v>70</v>
      </c>
      <c r="C104" s="538"/>
      <c r="D104" s="35"/>
      <c r="E104" s="9"/>
      <c r="F104"/>
      <c r="G104"/>
      <c r="H104"/>
      <c r="I104"/>
      <c r="J104"/>
      <c r="K104" s="1"/>
    </row>
    <row r="105" spans="1:13" ht="16" customHeight="1" x14ac:dyDescent="0.25">
      <c r="B105" s="40" t="s">
        <v>71</v>
      </c>
      <c r="C105" s="538"/>
      <c r="D105" s="35"/>
      <c r="E105" s="9"/>
      <c r="F105"/>
      <c r="G105"/>
      <c r="H105"/>
      <c r="I105"/>
      <c r="J105"/>
      <c r="K105" s="1"/>
    </row>
    <row r="106" spans="1:13" ht="16" customHeight="1" x14ac:dyDescent="0.25">
      <c r="B106" s="40" t="s">
        <v>214</v>
      </c>
      <c r="C106" s="538"/>
      <c r="D106" s="35"/>
      <c r="E106" s="9"/>
      <c r="F106"/>
      <c r="G106"/>
      <c r="H106"/>
      <c r="I106"/>
      <c r="J106"/>
      <c r="K106" s="1"/>
    </row>
    <row r="107" spans="1:13" ht="16" customHeight="1" x14ac:dyDescent="0.25">
      <c r="B107" s="40" t="s">
        <v>124</v>
      </c>
      <c r="C107" s="538" t="s">
        <v>224</v>
      </c>
      <c r="D107" s="35"/>
      <c r="E107" s="9"/>
      <c r="F107"/>
      <c r="G107"/>
      <c r="H107"/>
      <c r="I107"/>
      <c r="J107"/>
      <c r="K107" s="1"/>
    </row>
    <row r="108" spans="1:13" ht="16" customHeight="1" x14ac:dyDescent="0.25">
      <c r="B108" s="40" t="s">
        <v>69</v>
      </c>
      <c r="C108" s="538"/>
      <c r="D108" s="35"/>
      <c r="E108" s="9"/>
      <c r="F108"/>
      <c r="G108"/>
      <c r="H108"/>
      <c r="I108"/>
      <c r="J108"/>
      <c r="K108" s="1"/>
    </row>
    <row r="109" spans="1:13" ht="16" customHeight="1" x14ac:dyDescent="0.25">
      <c r="B109" s="40" t="s">
        <v>70</v>
      </c>
      <c r="C109" s="538"/>
      <c r="D109" s="35"/>
      <c r="E109" s="9"/>
      <c r="F109"/>
      <c r="G109"/>
      <c r="H109"/>
      <c r="I109"/>
      <c r="J109"/>
      <c r="K109" s="1"/>
    </row>
    <row r="110" spans="1:13" ht="16" customHeight="1" x14ac:dyDescent="0.25">
      <c r="B110" s="40" t="s">
        <v>71</v>
      </c>
      <c r="C110" s="538"/>
      <c r="D110" s="35"/>
      <c r="E110" s="9"/>
      <c r="F110"/>
      <c r="G110"/>
      <c r="H110"/>
      <c r="I110"/>
      <c r="J110"/>
      <c r="K110" s="1"/>
    </row>
    <row r="111" spans="1:13" ht="16" customHeight="1" x14ac:dyDescent="0.25">
      <c r="B111" s="40" t="s">
        <v>214</v>
      </c>
      <c r="C111" s="538"/>
      <c r="D111" s="35"/>
      <c r="E111" s="9"/>
      <c r="F111"/>
      <c r="G111"/>
      <c r="H111"/>
      <c r="I111"/>
      <c r="J111"/>
      <c r="K111" s="1"/>
    </row>
    <row r="112" spans="1:13" ht="16" customHeight="1" thickBot="1" x14ac:dyDescent="0.3">
      <c r="B112" s="68" t="s">
        <v>215</v>
      </c>
      <c r="C112" s="76"/>
      <c r="D112" s="77"/>
      <c r="E112" s="9"/>
      <c r="F112"/>
      <c r="G112"/>
      <c r="H112"/>
      <c r="I112"/>
      <c r="J112"/>
      <c r="K112" s="1"/>
    </row>
    <row r="113" spans="1:11" ht="16" customHeight="1" thickTop="1" x14ac:dyDescent="0.25">
      <c r="A113" s="78" t="s">
        <v>238</v>
      </c>
      <c r="B113" s="69" t="s">
        <v>125</v>
      </c>
      <c r="C113" s="70"/>
      <c r="D113" s="71"/>
      <c r="E113" s="32" t="s">
        <v>176</v>
      </c>
      <c r="G113"/>
      <c r="H113"/>
      <c r="I113"/>
      <c r="J113"/>
      <c r="K113" s="1"/>
    </row>
    <row r="114" spans="1:11" ht="16" customHeight="1" x14ac:dyDescent="0.25">
      <c r="A114" s="78" t="s">
        <v>239</v>
      </c>
      <c r="B114" s="72" t="s">
        <v>126</v>
      </c>
      <c r="C114" s="73"/>
      <c r="D114" s="35"/>
      <c r="E114" s="32" t="s">
        <v>176</v>
      </c>
      <c r="F114"/>
      <c r="G114"/>
      <c r="H114"/>
      <c r="I114"/>
      <c r="J114"/>
      <c r="K114" s="1"/>
    </row>
    <row r="115" spans="1:11" ht="16" customHeight="1" x14ac:dyDescent="0.25">
      <c r="A115" s="78" t="s">
        <v>240</v>
      </c>
      <c r="B115" s="72" t="s">
        <v>45</v>
      </c>
      <c r="C115" s="73"/>
      <c r="D115" s="35"/>
      <c r="E115" s="32" t="s">
        <v>176</v>
      </c>
      <c r="F115"/>
      <c r="G115"/>
      <c r="H115"/>
      <c r="I115"/>
      <c r="J115"/>
      <c r="K115" s="1"/>
    </row>
    <row r="116" spans="1:11" ht="16" customHeight="1" x14ac:dyDescent="0.25">
      <c r="A116" s="78" t="s">
        <v>241</v>
      </c>
      <c r="B116" s="72" t="s">
        <v>225</v>
      </c>
      <c r="C116" s="73"/>
      <c r="D116" s="35"/>
      <c r="E116" s="32" t="s">
        <v>176</v>
      </c>
      <c r="F116"/>
      <c r="G116"/>
      <c r="H116"/>
      <c r="I116"/>
      <c r="J116"/>
      <c r="K116" s="1"/>
    </row>
    <row r="117" spans="1:11" ht="16" customHeight="1" x14ac:dyDescent="0.25">
      <c r="A117" s="78" t="s">
        <v>242</v>
      </c>
      <c r="B117" s="72" t="s">
        <v>226</v>
      </c>
      <c r="C117" s="73"/>
      <c r="D117" s="35"/>
      <c r="E117" s="32" t="s">
        <v>176</v>
      </c>
      <c r="F117"/>
      <c r="G117"/>
      <c r="H117"/>
      <c r="I117"/>
      <c r="J117"/>
      <c r="K117" s="1"/>
    </row>
    <row r="118" spans="1:11" ht="16" customHeight="1" x14ac:dyDescent="0.25">
      <c r="A118" s="78" t="s">
        <v>243</v>
      </c>
      <c r="B118" s="72" t="s">
        <v>227</v>
      </c>
      <c r="C118" s="73"/>
      <c r="D118" s="35"/>
      <c r="E118" s="32" t="s">
        <v>176</v>
      </c>
      <c r="F118"/>
      <c r="G118"/>
      <c r="H118"/>
      <c r="I118"/>
      <c r="J118"/>
      <c r="K118" s="1"/>
    </row>
    <row r="119" spans="1:11" ht="16" customHeight="1" x14ac:dyDescent="0.25">
      <c r="A119" s="78" t="s">
        <v>244</v>
      </c>
      <c r="B119" s="72" t="s">
        <v>228</v>
      </c>
      <c r="C119" s="73"/>
      <c r="D119" s="35"/>
      <c r="E119" s="32" t="s">
        <v>176</v>
      </c>
      <c r="F119"/>
      <c r="G119"/>
      <c r="H119"/>
      <c r="I119"/>
      <c r="J119"/>
      <c r="K119" s="1"/>
    </row>
    <row r="120" spans="1:11" ht="16" customHeight="1" x14ac:dyDescent="0.25">
      <c r="A120" s="78" t="s">
        <v>245</v>
      </c>
      <c r="B120" s="72" t="s">
        <v>229</v>
      </c>
      <c r="C120" s="73"/>
      <c r="D120" s="35"/>
      <c r="E120" s="32" t="s">
        <v>176</v>
      </c>
      <c r="F120"/>
      <c r="G120"/>
      <c r="H120"/>
      <c r="I120"/>
      <c r="J120"/>
      <c r="K120" s="1"/>
    </row>
    <row r="121" spans="1:11" ht="16" customHeight="1" x14ac:dyDescent="0.25">
      <c r="A121" s="78" t="s">
        <v>246</v>
      </c>
      <c r="B121" s="72" t="s">
        <v>230</v>
      </c>
      <c r="C121" s="73"/>
      <c r="D121" s="35"/>
      <c r="E121" s="32" t="s">
        <v>176</v>
      </c>
      <c r="F121"/>
      <c r="G121"/>
      <c r="H121"/>
      <c r="I121"/>
      <c r="J121"/>
      <c r="K121" s="1"/>
    </row>
    <row r="122" spans="1:11" ht="16" customHeight="1" x14ac:dyDescent="0.25">
      <c r="A122" s="78" t="s">
        <v>247</v>
      </c>
      <c r="B122" s="72" t="s">
        <v>231</v>
      </c>
      <c r="C122" s="73"/>
      <c r="D122" s="35"/>
      <c r="E122" s="32" t="s">
        <v>176</v>
      </c>
      <c r="F122"/>
      <c r="G122"/>
      <c r="H122"/>
      <c r="I122"/>
      <c r="J122"/>
      <c r="K122" s="1"/>
    </row>
    <row r="123" spans="1:11" ht="16" customHeight="1" x14ac:dyDescent="0.25">
      <c r="A123" s="78" t="s">
        <v>248</v>
      </c>
      <c r="B123" s="72" t="s">
        <v>232</v>
      </c>
      <c r="C123" s="73"/>
      <c r="D123" s="35"/>
      <c r="E123" s="32" t="s">
        <v>176</v>
      </c>
      <c r="F123"/>
      <c r="G123"/>
      <c r="H123"/>
      <c r="I123"/>
      <c r="J123"/>
      <c r="K123" s="1"/>
    </row>
    <row r="124" spans="1:11" ht="16" customHeight="1" x14ac:dyDescent="0.25">
      <c r="A124" s="78" t="s">
        <v>249</v>
      </c>
      <c r="B124" s="72" t="s">
        <v>233</v>
      </c>
      <c r="C124" s="73"/>
      <c r="D124" s="35"/>
      <c r="E124" s="32" t="s">
        <v>176</v>
      </c>
      <c r="F124"/>
      <c r="G124"/>
      <c r="H124"/>
      <c r="I124"/>
      <c r="J124"/>
      <c r="K124" s="1"/>
    </row>
    <row r="125" spans="1:11" ht="16" customHeight="1" x14ac:dyDescent="0.25">
      <c r="A125" s="78" t="s">
        <v>250</v>
      </c>
      <c r="B125" s="72" t="s">
        <v>234</v>
      </c>
      <c r="C125" s="73"/>
      <c r="D125" s="35"/>
      <c r="E125" s="32" t="s">
        <v>176</v>
      </c>
      <c r="F125"/>
      <c r="G125"/>
      <c r="H125"/>
      <c r="I125"/>
      <c r="J125"/>
      <c r="K125" s="1"/>
    </row>
    <row r="126" spans="1:11" ht="16" customHeight="1" x14ac:dyDescent="0.25">
      <c r="A126" s="78" t="s">
        <v>251</v>
      </c>
      <c r="B126" s="72" t="s">
        <v>235</v>
      </c>
      <c r="C126" s="73"/>
      <c r="D126" s="35"/>
      <c r="E126" s="32" t="s">
        <v>176</v>
      </c>
      <c r="F126"/>
      <c r="G126"/>
      <c r="H126"/>
      <c r="I126"/>
      <c r="J126"/>
      <c r="K126" s="1"/>
    </row>
    <row r="127" spans="1:11" ht="16" customHeight="1" x14ac:dyDescent="0.25">
      <c r="A127" s="78" t="s">
        <v>252</v>
      </c>
      <c r="B127" s="72" t="s">
        <v>236</v>
      </c>
      <c r="C127" s="73"/>
      <c r="D127" s="35"/>
      <c r="E127" s="32" t="s">
        <v>176</v>
      </c>
      <c r="F127"/>
      <c r="G127"/>
      <c r="H127"/>
      <c r="I127"/>
      <c r="J127"/>
      <c r="K127" s="1"/>
    </row>
    <row r="128" spans="1:11" ht="16" customHeight="1" x14ac:dyDescent="0.25">
      <c r="A128" s="78" t="s">
        <v>253</v>
      </c>
      <c r="B128" s="72" t="s">
        <v>237</v>
      </c>
      <c r="C128" s="73"/>
      <c r="D128" s="35"/>
      <c r="E128" s="32" t="s">
        <v>176</v>
      </c>
      <c r="F128"/>
      <c r="G128"/>
      <c r="H128"/>
      <c r="I128"/>
      <c r="J128"/>
      <c r="K128" s="1"/>
    </row>
    <row r="129" spans="1:13" ht="16" customHeight="1" x14ac:dyDescent="0.25">
      <c r="A129" s="78" t="s">
        <v>254</v>
      </c>
      <c r="B129" s="74" t="s">
        <v>46</v>
      </c>
      <c r="C129" s="75"/>
      <c r="D129" s="39"/>
      <c r="E129" s="32" t="s">
        <v>176</v>
      </c>
      <c r="H129" s="9"/>
      <c r="I129" s="9"/>
      <c r="J129" s="9"/>
      <c r="K129" s="1"/>
    </row>
    <row r="130" spans="1:13" ht="16" customHeight="1" x14ac:dyDescent="0.3">
      <c r="A130" s="78" t="s">
        <v>332</v>
      </c>
      <c r="B130" s="456" t="s">
        <v>321</v>
      </c>
      <c r="C130" s="457"/>
      <c r="D130" s="471"/>
      <c r="E130" s="460" t="s">
        <v>175</v>
      </c>
      <c r="F130" s="1"/>
      <c r="G130" s="1"/>
      <c r="H130" s="1"/>
    </row>
    <row r="131" spans="1:13" ht="16" customHeight="1" x14ac:dyDescent="0.25">
      <c r="A131" s="78" t="s">
        <v>342</v>
      </c>
      <c r="B131" s="458" t="s">
        <v>323</v>
      </c>
      <c r="C131" s="459"/>
      <c r="D131" s="473"/>
      <c r="F131" s="1"/>
      <c r="G131" s="1"/>
      <c r="H131" s="1"/>
    </row>
    <row r="132" spans="1:13" ht="16" customHeight="1" x14ac:dyDescent="0.25"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6" customHeight="1" x14ac:dyDescent="0.25">
      <c r="B133" s="540" t="s">
        <v>5</v>
      </c>
      <c r="C133" s="534" t="s">
        <v>13</v>
      </c>
      <c r="D133" s="535"/>
      <c r="E133" s="536"/>
      <c r="F133" s="6"/>
    </row>
    <row r="134" spans="1:13" ht="16" customHeight="1" x14ac:dyDescent="0.25">
      <c r="B134" s="541"/>
      <c r="C134" s="22" t="s">
        <v>9</v>
      </c>
      <c r="D134" s="22" t="s">
        <v>8</v>
      </c>
      <c r="E134" s="22" t="s">
        <v>2</v>
      </c>
      <c r="F134" s="7"/>
    </row>
    <row r="135" spans="1:13" ht="16" customHeight="1" x14ac:dyDescent="0.25">
      <c r="A135" s="19" t="s">
        <v>340</v>
      </c>
      <c r="B135" s="50" t="s">
        <v>68</v>
      </c>
      <c r="C135" s="33"/>
      <c r="D135" s="33"/>
      <c r="E135" s="33"/>
      <c r="F135" s="1"/>
    </row>
    <row r="136" spans="1:13" ht="16" customHeight="1" x14ac:dyDescent="0.25">
      <c r="B136" s="51" t="s">
        <v>69</v>
      </c>
      <c r="C136" s="35"/>
      <c r="D136" s="35"/>
      <c r="E136" s="35"/>
      <c r="F136" s="1"/>
    </row>
    <row r="137" spans="1:13" ht="16" customHeight="1" x14ac:dyDescent="0.25">
      <c r="B137" s="51" t="s">
        <v>70</v>
      </c>
      <c r="C137" s="35"/>
      <c r="D137" s="35"/>
      <c r="E137" s="35"/>
      <c r="F137" s="1"/>
    </row>
    <row r="138" spans="1:13" ht="16" customHeight="1" x14ac:dyDescent="0.25">
      <c r="B138" s="51" t="s">
        <v>72</v>
      </c>
      <c r="C138" s="35"/>
      <c r="D138" s="35"/>
      <c r="E138" s="35"/>
      <c r="F138" s="1"/>
    </row>
    <row r="139" spans="1:13" ht="16" customHeight="1" x14ac:dyDescent="0.25">
      <c r="B139" s="52" t="s">
        <v>73</v>
      </c>
      <c r="C139" s="39"/>
      <c r="D139" s="39"/>
      <c r="E139" s="39"/>
      <c r="F139" s="1"/>
    </row>
    <row r="140" spans="1:13" ht="16" customHeight="1" x14ac:dyDescent="0.25">
      <c r="B140" s="79" t="s">
        <v>255</v>
      </c>
      <c r="C140" s="80"/>
      <c r="D140" s="279"/>
      <c r="E140" s="279"/>
      <c r="F140" s="1"/>
      <c r="K140" s="1"/>
    </row>
    <row r="141" spans="1:13" ht="16" customHeight="1" x14ac:dyDescent="0.25">
      <c r="B141" s="1"/>
      <c r="F141" s="1"/>
      <c r="G141" s="1"/>
      <c r="M141" s="1"/>
    </row>
    <row r="142" spans="1:13" ht="16" customHeight="1" x14ac:dyDescent="0.25">
      <c r="B142" s="8" t="s">
        <v>37</v>
      </c>
      <c r="E142" s="1"/>
      <c r="F142" s="1"/>
      <c r="G142" s="1"/>
    </row>
    <row r="143" spans="1:13" ht="16" customHeight="1" x14ac:dyDescent="0.25">
      <c r="B143" s="26" t="s">
        <v>14</v>
      </c>
      <c r="C143" s="27" t="s">
        <v>11</v>
      </c>
      <c r="D143" s="18"/>
      <c r="E143" s="1"/>
      <c r="F143" s="1"/>
      <c r="G143" s="1"/>
    </row>
    <row r="144" spans="1:13" ht="16" customHeight="1" x14ac:dyDescent="0.25">
      <c r="A144" s="19" t="s">
        <v>52</v>
      </c>
      <c r="B144" s="50" t="s">
        <v>15</v>
      </c>
      <c r="C144" s="33"/>
      <c r="D144" s="7"/>
      <c r="E144" s="1"/>
      <c r="F144" s="1"/>
      <c r="G144" s="1"/>
    </row>
    <row r="145" spans="1:9" ht="16" customHeight="1" x14ac:dyDescent="0.25">
      <c r="A145" s="19" t="s">
        <v>53</v>
      </c>
      <c r="B145" s="52" t="s">
        <v>16</v>
      </c>
      <c r="C145" s="39"/>
      <c r="D145" s="7"/>
      <c r="E145" s="1"/>
      <c r="F145" s="1"/>
      <c r="G145" s="1"/>
    </row>
    <row r="146" spans="1:9" ht="16" customHeight="1" x14ac:dyDescent="0.25">
      <c r="B146" s="1"/>
      <c r="C146" s="1"/>
      <c r="D146" s="1"/>
      <c r="E146" s="1"/>
      <c r="F146" s="1"/>
      <c r="G146" s="1"/>
      <c r="H146" s="1"/>
      <c r="I146" s="1"/>
    </row>
    <row r="147" spans="1:9" ht="16" customHeight="1" x14ac:dyDescent="0.25">
      <c r="B147" s="8" t="s">
        <v>129</v>
      </c>
    </row>
    <row r="148" spans="1:9" ht="16" customHeight="1" x14ac:dyDescent="0.25">
      <c r="A148" s="19" t="s">
        <v>174</v>
      </c>
      <c r="B148" s="26" t="s">
        <v>130</v>
      </c>
      <c r="C148" s="27" t="s">
        <v>10</v>
      </c>
    </row>
    <row r="149" spans="1:9" ht="16" customHeight="1" x14ac:dyDescent="0.25">
      <c r="B149" s="50" t="s">
        <v>124</v>
      </c>
      <c r="C149" s="33"/>
    </row>
    <row r="150" spans="1:9" ht="16" customHeight="1" x14ac:dyDescent="0.25">
      <c r="B150" s="51" t="s">
        <v>69</v>
      </c>
      <c r="C150" s="35"/>
    </row>
    <row r="151" spans="1:9" ht="16" customHeight="1" x14ac:dyDescent="0.25">
      <c r="B151" s="51" t="s">
        <v>70</v>
      </c>
      <c r="C151" s="35"/>
    </row>
    <row r="152" spans="1:9" ht="16" customHeight="1" thickBot="1" x14ac:dyDescent="0.3">
      <c r="A152" s="20"/>
      <c r="B152" s="81" t="s">
        <v>71</v>
      </c>
      <c r="C152" s="77"/>
    </row>
    <row r="153" spans="1:9" ht="16" customHeight="1" thickTop="1" x14ac:dyDescent="0.25">
      <c r="B153" s="82" t="s">
        <v>45</v>
      </c>
      <c r="C153" s="71"/>
      <c r="D153" s="28" t="s">
        <v>176</v>
      </c>
    </row>
    <row r="154" spans="1:9" ht="16" customHeight="1" x14ac:dyDescent="0.25">
      <c r="B154" s="83" t="s">
        <v>177</v>
      </c>
      <c r="C154" s="35"/>
      <c r="D154" s="28" t="s">
        <v>176</v>
      </c>
    </row>
    <row r="155" spans="1:9" ht="16" customHeight="1" x14ac:dyDescent="0.25">
      <c r="B155" s="83" t="s">
        <v>178</v>
      </c>
      <c r="C155" s="35"/>
      <c r="D155" s="28" t="s">
        <v>176</v>
      </c>
    </row>
    <row r="156" spans="1:9" ht="16" customHeight="1" x14ac:dyDescent="0.25">
      <c r="B156" s="83" t="s">
        <v>179</v>
      </c>
      <c r="C156" s="35"/>
      <c r="D156" s="28" t="s">
        <v>176</v>
      </c>
    </row>
    <row r="157" spans="1:9" ht="16" customHeight="1" x14ac:dyDescent="0.25">
      <c r="B157" s="83" t="s">
        <v>180</v>
      </c>
      <c r="C157" s="35"/>
      <c r="D157" s="28" t="s">
        <v>176</v>
      </c>
    </row>
    <row r="158" spans="1:9" ht="16" customHeight="1" x14ac:dyDescent="0.25">
      <c r="B158" s="83" t="s">
        <v>256</v>
      </c>
      <c r="C158" s="35"/>
      <c r="D158" s="28" t="s">
        <v>176</v>
      </c>
    </row>
    <row r="159" spans="1:9" ht="16" customHeight="1" x14ac:dyDescent="0.25">
      <c r="B159" s="83" t="s">
        <v>257</v>
      </c>
      <c r="C159" s="35"/>
      <c r="D159" s="28" t="s">
        <v>176</v>
      </c>
    </row>
    <row r="160" spans="1:9" ht="16" customHeight="1" x14ac:dyDescent="0.25">
      <c r="B160" s="84" t="s">
        <v>80</v>
      </c>
      <c r="C160" s="39"/>
      <c r="D160" s="28" t="s">
        <v>176</v>
      </c>
    </row>
    <row r="161" spans="1:4" ht="16" customHeight="1" thickBot="1" x14ac:dyDescent="0.3">
      <c r="B161" s="463" t="s">
        <v>333</v>
      </c>
      <c r="C161" s="39"/>
    </row>
    <row r="162" spans="1:4" ht="16" customHeight="1" thickTop="1" x14ac:dyDescent="0.25">
      <c r="B162" s="29" t="s">
        <v>175</v>
      </c>
    </row>
    <row r="163" spans="1:4" ht="16" customHeight="1" x14ac:dyDescent="0.25">
      <c r="B163" s="8" t="s">
        <v>211</v>
      </c>
    </row>
    <row r="164" spans="1:4" ht="16" customHeight="1" x14ac:dyDescent="0.25">
      <c r="B164" s="26" t="s">
        <v>184</v>
      </c>
      <c r="C164" s="27" t="s">
        <v>14</v>
      </c>
      <c r="D164" s="27" t="s">
        <v>183</v>
      </c>
    </row>
    <row r="165" spans="1:4" ht="16" customHeight="1" x14ac:dyDescent="0.25">
      <c r="A165" s="19" t="s">
        <v>190</v>
      </c>
      <c r="B165" s="50" t="s">
        <v>188</v>
      </c>
      <c r="C165" s="544" t="s">
        <v>185</v>
      </c>
      <c r="D165" s="33"/>
    </row>
    <row r="166" spans="1:4" ht="16" customHeight="1" x14ac:dyDescent="0.25">
      <c r="A166" s="19" t="s">
        <v>191</v>
      </c>
      <c r="B166" s="51" t="s">
        <v>189</v>
      </c>
      <c r="C166" s="545"/>
      <c r="D166" s="35"/>
    </row>
    <row r="167" spans="1:4" ht="16" customHeight="1" x14ac:dyDescent="0.25">
      <c r="A167" s="19" t="s">
        <v>192</v>
      </c>
      <c r="B167" s="51" t="s">
        <v>193</v>
      </c>
      <c r="C167" s="545"/>
      <c r="D167" s="35"/>
    </row>
    <row r="168" spans="1:4" ht="16" customHeight="1" x14ac:dyDescent="0.25">
      <c r="A168" s="19" t="s">
        <v>200</v>
      </c>
      <c r="B168" s="51" t="s">
        <v>194</v>
      </c>
      <c r="C168" s="545"/>
      <c r="D168" s="35"/>
    </row>
    <row r="169" spans="1:4" ht="16" customHeight="1" x14ac:dyDescent="0.25">
      <c r="A169" s="19" t="s">
        <v>201</v>
      </c>
      <c r="B169" s="51" t="s">
        <v>195</v>
      </c>
      <c r="C169" s="545"/>
      <c r="D169" s="35"/>
    </row>
    <row r="170" spans="1:4" ht="16" customHeight="1" x14ac:dyDescent="0.25">
      <c r="A170" s="19" t="s">
        <v>202</v>
      </c>
      <c r="B170" s="51" t="s">
        <v>196</v>
      </c>
      <c r="C170" s="545"/>
      <c r="D170" s="35"/>
    </row>
    <row r="171" spans="1:4" ht="16" customHeight="1" x14ac:dyDescent="0.25">
      <c r="A171" s="19" t="s">
        <v>203</v>
      </c>
      <c r="B171" s="51" t="s">
        <v>197</v>
      </c>
      <c r="C171" s="545"/>
      <c r="D171" s="35"/>
    </row>
    <row r="172" spans="1:4" ht="16" customHeight="1" x14ac:dyDescent="0.25">
      <c r="A172" s="19" t="s">
        <v>204</v>
      </c>
      <c r="B172" s="51" t="s">
        <v>198</v>
      </c>
      <c r="C172" s="545"/>
      <c r="D172" s="35"/>
    </row>
    <row r="173" spans="1:4" ht="16" customHeight="1" x14ac:dyDescent="0.25">
      <c r="A173" s="19" t="s">
        <v>205</v>
      </c>
      <c r="B173" s="51" t="s">
        <v>199</v>
      </c>
      <c r="C173" s="545"/>
      <c r="D173" s="35"/>
    </row>
    <row r="174" spans="1:4" ht="16" customHeight="1" x14ac:dyDescent="0.25">
      <c r="B174" s="51" t="s">
        <v>188</v>
      </c>
      <c r="C174" s="545" t="s">
        <v>186</v>
      </c>
      <c r="D174" s="35"/>
    </row>
    <row r="175" spans="1:4" ht="16" customHeight="1" x14ac:dyDescent="0.25">
      <c r="B175" s="51" t="s">
        <v>189</v>
      </c>
      <c r="C175" s="545"/>
      <c r="D175" s="35"/>
    </row>
    <row r="176" spans="1:4" ht="16" customHeight="1" x14ac:dyDescent="0.25">
      <c r="B176" s="51" t="s">
        <v>193</v>
      </c>
      <c r="C176" s="545"/>
      <c r="D176" s="35"/>
    </row>
    <row r="177" spans="2:5" ht="16" customHeight="1" x14ac:dyDescent="0.25">
      <c r="B177" s="51" t="s">
        <v>194</v>
      </c>
      <c r="C177" s="545"/>
      <c r="D177" s="35"/>
    </row>
    <row r="178" spans="2:5" ht="16" customHeight="1" x14ac:dyDescent="0.25">
      <c r="B178" s="51" t="s">
        <v>195</v>
      </c>
      <c r="C178" s="545"/>
      <c r="D178" s="35"/>
    </row>
    <row r="179" spans="2:5" ht="16" customHeight="1" x14ac:dyDescent="0.25">
      <c r="B179" s="51" t="s">
        <v>196</v>
      </c>
      <c r="C179" s="545"/>
      <c r="D179" s="35"/>
    </row>
    <row r="180" spans="2:5" ht="16" customHeight="1" x14ac:dyDescent="0.25">
      <c r="B180" s="51" t="s">
        <v>197</v>
      </c>
      <c r="C180" s="545"/>
      <c r="D180" s="35"/>
    </row>
    <row r="181" spans="2:5" ht="16" customHeight="1" x14ac:dyDescent="0.25">
      <c r="B181" s="51" t="s">
        <v>198</v>
      </c>
      <c r="C181" s="545"/>
      <c r="D181" s="35"/>
    </row>
    <row r="182" spans="2:5" ht="16" customHeight="1" x14ac:dyDescent="0.25">
      <c r="B182" s="51" t="s">
        <v>199</v>
      </c>
      <c r="C182" s="545"/>
      <c r="D182" s="35"/>
    </row>
    <row r="183" spans="2:5" ht="16" customHeight="1" x14ac:dyDescent="0.25">
      <c r="B183" s="51" t="s">
        <v>206</v>
      </c>
      <c r="C183" s="545" t="s">
        <v>187</v>
      </c>
      <c r="D183" s="35"/>
    </row>
    <row r="184" spans="2:5" ht="16" customHeight="1" x14ac:dyDescent="0.25">
      <c r="B184" s="51" t="s">
        <v>207</v>
      </c>
      <c r="C184" s="545"/>
      <c r="D184" s="35"/>
    </row>
    <row r="185" spans="2:5" ht="16" customHeight="1" x14ac:dyDescent="0.25">
      <c r="B185" s="51" t="s">
        <v>208</v>
      </c>
      <c r="C185" s="545"/>
      <c r="D185" s="35"/>
    </row>
    <row r="186" spans="2:5" ht="16" customHeight="1" x14ac:dyDescent="0.25">
      <c r="B186" s="51" t="s">
        <v>209</v>
      </c>
      <c r="C186" s="545"/>
      <c r="D186" s="35"/>
    </row>
    <row r="187" spans="2:5" ht="16" customHeight="1" x14ac:dyDescent="0.25">
      <c r="B187" s="51" t="s">
        <v>196</v>
      </c>
      <c r="C187" s="545"/>
      <c r="D187" s="35"/>
    </row>
    <row r="188" spans="2:5" ht="16" customHeight="1" x14ac:dyDescent="0.25">
      <c r="B188" s="52" t="s">
        <v>210</v>
      </c>
      <c r="C188" s="546"/>
      <c r="D188" s="39"/>
    </row>
    <row r="190" spans="2:5" ht="16" customHeight="1" x14ac:dyDescent="0.25">
      <c r="B190" s="4" t="s">
        <v>212</v>
      </c>
      <c r="C190" s="3"/>
      <c r="D190" s="3"/>
      <c r="E190" s="3"/>
    </row>
    <row r="191" spans="2:5" ht="16" customHeight="1" x14ac:dyDescent="0.25">
      <c r="B191" s="528" t="s">
        <v>30</v>
      </c>
      <c r="C191" s="528" t="s">
        <v>294</v>
      </c>
      <c r="D191" s="528" t="s">
        <v>258</v>
      </c>
      <c r="E191" s="528" t="s">
        <v>259</v>
      </c>
    </row>
    <row r="192" spans="2:5" ht="16" customHeight="1" x14ac:dyDescent="0.25">
      <c r="B192" s="529"/>
      <c r="C192" s="529"/>
      <c r="D192" s="529"/>
      <c r="E192" s="529"/>
    </row>
    <row r="193" spans="2:5" ht="16" customHeight="1" x14ac:dyDescent="0.25">
      <c r="B193" s="467" t="s">
        <v>315</v>
      </c>
      <c r="C193" s="108"/>
      <c r="D193" s="108"/>
      <c r="E193" s="383"/>
    </row>
    <row r="194" spans="2:5" ht="16" customHeight="1" x14ac:dyDescent="0.25">
      <c r="B194" s="468" t="s">
        <v>316</v>
      </c>
      <c r="C194" s="110"/>
      <c r="D194" s="110"/>
      <c r="E194" s="472"/>
    </row>
    <row r="195" spans="2:5" ht="16" customHeight="1" x14ac:dyDescent="0.25">
      <c r="B195" s="386" t="s">
        <v>317</v>
      </c>
      <c r="C195" s="387" t="s">
        <v>318</v>
      </c>
      <c r="D195" s="387" t="s">
        <v>319</v>
      </c>
      <c r="E195" s="388" t="s">
        <v>320</v>
      </c>
    </row>
    <row r="196" spans="2:5" ht="16" customHeight="1" thickBot="1" x14ac:dyDescent="0.3">
      <c r="B196" s="469" t="s">
        <v>322</v>
      </c>
      <c r="C196" s="280"/>
      <c r="D196" s="280"/>
      <c r="E196" s="282"/>
    </row>
    <row r="197" spans="2:5" ht="16" customHeight="1" x14ac:dyDescent="0.25">
      <c r="B197" s="466"/>
      <c r="C197" s="86"/>
      <c r="D197" s="86"/>
      <c r="E197" s="86"/>
    </row>
    <row r="198" spans="2:5" ht="16" customHeight="1" x14ac:dyDescent="0.25">
      <c r="B198" s="4" t="s">
        <v>334</v>
      </c>
    </row>
    <row r="199" spans="2:5" ht="16" customHeight="1" x14ac:dyDescent="0.25">
      <c r="B199" s="26" t="s">
        <v>335</v>
      </c>
      <c r="C199" s="26" t="s">
        <v>76</v>
      </c>
    </row>
    <row r="200" spans="2:5" ht="16" customHeight="1" x14ac:dyDescent="0.25">
      <c r="B200" s="464" t="s">
        <v>162</v>
      </c>
      <c r="C200" s="80"/>
    </row>
    <row r="201" spans="2:5" ht="16" customHeight="1" x14ac:dyDescent="0.25">
      <c r="B201" s="464" t="s">
        <v>95</v>
      </c>
      <c r="C201" s="80"/>
    </row>
    <row r="202" spans="2:5" ht="16" customHeight="1" x14ac:dyDescent="0.25">
      <c r="B202" s="464" t="s">
        <v>96</v>
      </c>
      <c r="C202" s="80"/>
    </row>
    <row r="203" spans="2:5" ht="16" customHeight="1" x14ac:dyDescent="0.25">
      <c r="B203" s="464" t="s">
        <v>98</v>
      </c>
      <c r="C203" s="80"/>
    </row>
    <row r="204" spans="2:5" ht="16" customHeight="1" x14ac:dyDescent="0.25">
      <c r="B204" s="465" t="s">
        <v>45</v>
      </c>
      <c r="C204" s="80"/>
    </row>
    <row r="207" spans="2:5" ht="16" customHeight="1" x14ac:dyDescent="0.25">
      <c r="B207" s="4" t="s">
        <v>343</v>
      </c>
    </row>
    <row r="208" spans="2:5" ht="16" customHeight="1" x14ac:dyDescent="0.25">
      <c r="B208" s="26" t="s">
        <v>344</v>
      </c>
      <c r="C208" s="21" t="s">
        <v>0</v>
      </c>
      <c r="D208" s="22" t="s">
        <v>1</v>
      </c>
      <c r="E208" s="22" t="s">
        <v>2</v>
      </c>
    </row>
    <row r="209" spans="1:5" ht="16" customHeight="1" x14ac:dyDescent="0.25">
      <c r="A209" s="19" t="s">
        <v>341</v>
      </c>
      <c r="B209" s="477" t="s">
        <v>51</v>
      </c>
      <c r="C209" s="80"/>
      <c r="D209" s="80"/>
      <c r="E209" s="80"/>
    </row>
    <row r="212" spans="1:5" ht="16" customHeight="1" x14ac:dyDescent="0.25">
      <c r="B212" s="483" t="s">
        <v>351</v>
      </c>
    </row>
    <row r="213" spans="1:5" ht="16" customHeight="1" x14ac:dyDescent="0.25">
      <c r="B213" s="479" t="s">
        <v>348</v>
      </c>
    </row>
    <row r="214" spans="1:5" ht="16" customHeight="1" x14ac:dyDescent="0.25">
      <c r="B214" s="480" t="s">
        <v>344</v>
      </c>
      <c r="C214" s="481" t="s">
        <v>349</v>
      </c>
    </row>
    <row r="215" spans="1:5" ht="16" customHeight="1" x14ac:dyDescent="0.25">
      <c r="A215" s="19" t="s">
        <v>172</v>
      </c>
      <c r="B215" s="482" t="s">
        <v>350</v>
      </c>
      <c r="C215" s="13"/>
    </row>
    <row r="217" spans="1:5" ht="16" customHeight="1" x14ac:dyDescent="0.25">
      <c r="B217" s="479" t="s">
        <v>358</v>
      </c>
    </row>
    <row r="218" spans="1:5" ht="16" customHeight="1" x14ac:dyDescent="0.25">
      <c r="B218" s="480" t="s">
        <v>150</v>
      </c>
      <c r="C218" s="502" t="s">
        <v>25</v>
      </c>
      <c r="D218" s="502" t="s">
        <v>26</v>
      </c>
      <c r="E218" s="502" t="s">
        <v>27</v>
      </c>
    </row>
    <row r="219" spans="1:5" ht="16" customHeight="1" x14ac:dyDescent="0.25">
      <c r="A219" s="19" t="s">
        <v>357</v>
      </c>
      <c r="B219" s="503" t="s">
        <v>297</v>
      </c>
      <c r="C219" s="80"/>
      <c r="D219" s="80"/>
      <c r="E219" s="80"/>
    </row>
    <row r="220" spans="1:5" ht="16" customHeight="1" x14ac:dyDescent="0.25">
      <c r="B220" s="503" t="s">
        <v>298</v>
      </c>
      <c r="C220" s="80"/>
      <c r="D220" s="80"/>
      <c r="E220" s="80"/>
    </row>
    <row r="221" spans="1:5" ht="16" customHeight="1" x14ac:dyDescent="0.25">
      <c r="B221" s="503" t="s">
        <v>299</v>
      </c>
      <c r="C221" s="80"/>
      <c r="D221" s="80"/>
      <c r="E221" s="80"/>
    </row>
    <row r="223" spans="1:5" ht="16" customHeight="1" x14ac:dyDescent="0.25">
      <c r="A223" s="19" t="s">
        <v>360</v>
      </c>
      <c r="B223" s="479" t="s">
        <v>359</v>
      </c>
    </row>
    <row r="224" spans="1:5" ht="16" customHeight="1" thickBot="1" x14ac:dyDescent="0.3">
      <c r="B224" s="480" t="s">
        <v>150</v>
      </c>
      <c r="C224" s="502" t="s">
        <v>25</v>
      </c>
      <c r="D224" s="502" t="s">
        <v>26</v>
      </c>
      <c r="E224" s="502" t="s">
        <v>27</v>
      </c>
    </row>
    <row r="225" spans="1:6" ht="16" customHeight="1" thickTop="1" x14ac:dyDescent="0.25">
      <c r="A225" s="78" t="s">
        <v>244</v>
      </c>
      <c r="B225" s="69" t="s">
        <v>369</v>
      </c>
      <c r="C225" s="71"/>
      <c r="D225" s="71"/>
      <c r="E225" s="71"/>
    </row>
    <row r="226" spans="1:6" ht="16" customHeight="1" x14ac:dyDescent="0.25">
      <c r="A226" s="78" t="s">
        <v>246</v>
      </c>
      <c r="B226" s="72" t="s">
        <v>370</v>
      </c>
      <c r="C226" s="35"/>
      <c r="D226" s="35"/>
      <c r="E226" s="35"/>
    </row>
    <row r="227" spans="1:6" ht="16" customHeight="1" x14ac:dyDescent="0.25">
      <c r="A227" s="78" t="s">
        <v>238</v>
      </c>
      <c r="B227" s="72" t="s">
        <v>395</v>
      </c>
      <c r="C227" s="35"/>
      <c r="D227" s="35"/>
      <c r="E227" s="35"/>
      <c r="F227" s="509"/>
    </row>
    <row r="228" spans="1:6" ht="16" customHeight="1" x14ac:dyDescent="0.25">
      <c r="A228" s="78" t="s">
        <v>243</v>
      </c>
      <c r="B228" s="72" t="s">
        <v>380</v>
      </c>
      <c r="C228" s="35"/>
      <c r="D228" s="35"/>
      <c r="E228" s="35"/>
    </row>
    <row r="229" spans="1:6" ht="16" customHeight="1" x14ac:dyDescent="0.25">
      <c r="A229" s="78" t="s">
        <v>242</v>
      </c>
      <c r="B229" s="72" t="s">
        <v>371</v>
      </c>
      <c r="C229" s="35"/>
      <c r="D229" s="35"/>
      <c r="E229" s="35"/>
    </row>
    <row r="230" spans="1:6" ht="16" customHeight="1" x14ac:dyDescent="0.25">
      <c r="A230" s="78" t="s">
        <v>240</v>
      </c>
      <c r="B230" s="72" t="s">
        <v>372</v>
      </c>
      <c r="C230" s="35"/>
      <c r="D230" s="35"/>
      <c r="E230" s="35"/>
    </row>
    <row r="231" spans="1:6" ht="16" customHeight="1" x14ac:dyDescent="0.25">
      <c r="A231" s="78" t="s">
        <v>361</v>
      </c>
      <c r="B231" s="72" t="s">
        <v>373</v>
      </c>
      <c r="C231" s="35"/>
      <c r="D231" s="35"/>
      <c r="E231" s="35"/>
      <c r="F231" s="509"/>
    </row>
    <row r="232" spans="1:6" ht="16" customHeight="1" x14ac:dyDescent="0.25">
      <c r="A232" s="78" t="s">
        <v>251</v>
      </c>
      <c r="B232" s="508" t="s">
        <v>235</v>
      </c>
      <c r="C232" s="427"/>
      <c r="D232" s="427"/>
      <c r="E232" s="427"/>
    </row>
    <row r="233" spans="1:6" ht="16" customHeight="1" x14ac:dyDescent="0.25">
      <c r="A233" s="78" t="s">
        <v>247</v>
      </c>
      <c r="B233" s="72" t="s">
        <v>231</v>
      </c>
      <c r="C233" s="35"/>
      <c r="D233" s="35"/>
      <c r="E233" s="35"/>
    </row>
    <row r="234" spans="1:6" ht="16" customHeight="1" x14ac:dyDescent="0.25">
      <c r="A234" s="78" t="s">
        <v>249</v>
      </c>
      <c r="B234" s="72" t="s">
        <v>379</v>
      </c>
      <c r="C234" s="35"/>
      <c r="D234" s="35"/>
      <c r="E234" s="35"/>
    </row>
    <row r="235" spans="1:6" ht="16" customHeight="1" x14ac:dyDescent="0.25">
      <c r="A235" s="78" t="s">
        <v>363</v>
      </c>
      <c r="B235" s="72" t="s">
        <v>375</v>
      </c>
      <c r="C235" s="35"/>
      <c r="D235" s="35"/>
      <c r="E235" s="35"/>
      <c r="F235" s="509"/>
    </row>
    <row r="236" spans="1:6" ht="16" customHeight="1" x14ac:dyDescent="0.25">
      <c r="A236" s="78" t="s">
        <v>362</v>
      </c>
      <c r="B236" s="72" t="s">
        <v>374</v>
      </c>
      <c r="C236" s="35"/>
      <c r="D236" s="35"/>
      <c r="E236" s="35"/>
    </row>
    <row r="237" spans="1:6" ht="16" customHeight="1" x14ac:dyDescent="0.25">
      <c r="A237" s="78" t="s">
        <v>364</v>
      </c>
      <c r="B237" s="72" t="s">
        <v>381</v>
      </c>
      <c r="C237" s="35"/>
      <c r="D237" s="35"/>
      <c r="E237" s="35"/>
    </row>
    <row r="238" spans="1:6" ht="16" customHeight="1" x14ac:dyDescent="0.25">
      <c r="A238" s="78" t="s">
        <v>391</v>
      </c>
      <c r="B238" s="72" t="s">
        <v>387</v>
      </c>
      <c r="C238" s="35"/>
      <c r="D238" s="35"/>
      <c r="E238" s="35"/>
    </row>
    <row r="239" spans="1:6" ht="16" customHeight="1" x14ac:dyDescent="0.25">
      <c r="A239" s="78" t="s">
        <v>252</v>
      </c>
      <c r="B239" s="72" t="s">
        <v>236</v>
      </c>
      <c r="C239" s="35"/>
      <c r="D239" s="35"/>
      <c r="E239" s="35"/>
      <c r="F239" s="509"/>
    </row>
    <row r="240" spans="1:6" ht="16" customHeight="1" x14ac:dyDescent="0.25">
      <c r="A240" s="78" t="s">
        <v>365</v>
      </c>
      <c r="B240" s="72" t="s">
        <v>376</v>
      </c>
      <c r="C240" s="35"/>
      <c r="D240" s="35"/>
      <c r="E240" s="35"/>
    </row>
    <row r="241" spans="1:6" ht="16" customHeight="1" x14ac:dyDescent="0.25">
      <c r="A241" s="78" t="s">
        <v>366</v>
      </c>
      <c r="B241" s="72" t="s">
        <v>382</v>
      </c>
      <c r="C241" s="35"/>
      <c r="D241" s="35"/>
      <c r="E241" s="35"/>
    </row>
    <row r="242" spans="1:6" ht="16" customHeight="1" x14ac:dyDescent="0.25">
      <c r="A242" s="78" t="s">
        <v>367</v>
      </c>
      <c r="B242" s="72" t="s">
        <v>377</v>
      </c>
      <c r="C242" s="35"/>
      <c r="D242" s="35"/>
      <c r="E242" s="35"/>
    </row>
    <row r="243" spans="1:6" ht="16" customHeight="1" x14ac:dyDescent="0.25">
      <c r="A243" s="78" t="s">
        <v>368</v>
      </c>
      <c r="B243" s="72" t="s">
        <v>378</v>
      </c>
      <c r="C243" s="35"/>
      <c r="D243" s="35"/>
      <c r="E243" s="35"/>
      <c r="F243" s="509"/>
    </row>
    <row r="244" spans="1:6" ht="16" customHeight="1" x14ac:dyDescent="0.25">
      <c r="A244" s="78" t="s">
        <v>385</v>
      </c>
      <c r="B244" s="72" t="s">
        <v>386</v>
      </c>
      <c r="C244" s="35"/>
      <c r="D244" s="35"/>
      <c r="E244" s="35"/>
    </row>
    <row r="245" spans="1:6" ht="16" customHeight="1" x14ac:dyDescent="0.25">
      <c r="A245" s="78" t="s">
        <v>392</v>
      </c>
      <c r="B245" s="72" t="s">
        <v>388</v>
      </c>
      <c r="C245" s="35"/>
      <c r="D245" s="35"/>
      <c r="E245" s="35"/>
    </row>
    <row r="246" spans="1:6" ht="16" customHeight="1" x14ac:dyDescent="0.25">
      <c r="A246" s="78" t="s">
        <v>393</v>
      </c>
      <c r="B246" s="72" t="s">
        <v>389</v>
      </c>
      <c r="C246" s="35"/>
      <c r="D246" s="35"/>
      <c r="E246" s="35"/>
    </row>
    <row r="247" spans="1:6" ht="16" customHeight="1" x14ac:dyDescent="0.25">
      <c r="A247" s="78" t="s">
        <v>394</v>
      </c>
      <c r="B247" s="72" t="s">
        <v>390</v>
      </c>
      <c r="C247" s="35"/>
      <c r="D247" s="35"/>
      <c r="E247" s="35"/>
      <c r="F247" s="509"/>
    </row>
    <row r="248" spans="1:6" ht="16" customHeight="1" x14ac:dyDescent="0.25">
      <c r="A248" s="78" t="s">
        <v>401</v>
      </c>
      <c r="B248" s="72" t="s">
        <v>396</v>
      </c>
      <c r="C248" s="35"/>
      <c r="D248" s="35"/>
      <c r="E248" s="35"/>
    </row>
    <row r="249" spans="1:6" ht="16" customHeight="1" x14ac:dyDescent="0.25">
      <c r="A249" s="78" t="s">
        <v>402</v>
      </c>
      <c r="B249" s="72" t="s">
        <v>397</v>
      </c>
      <c r="C249" s="35"/>
      <c r="D249" s="35"/>
      <c r="E249" s="35"/>
    </row>
    <row r="250" spans="1:6" ht="16" customHeight="1" x14ac:dyDescent="0.25">
      <c r="A250" s="78" t="s">
        <v>403</v>
      </c>
      <c r="B250" s="72" t="s">
        <v>398</v>
      </c>
      <c r="C250" s="35"/>
      <c r="D250" s="35"/>
      <c r="E250" s="35"/>
    </row>
    <row r="251" spans="1:6" ht="16" customHeight="1" x14ac:dyDescent="0.25">
      <c r="A251" s="78" t="s">
        <v>404</v>
      </c>
      <c r="B251" s="72" t="s">
        <v>399</v>
      </c>
      <c r="C251" s="35"/>
      <c r="D251" s="35"/>
      <c r="E251" s="35"/>
      <c r="F251" s="509"/>
    </row>
    <row r="252" spans="1:6" ht="16" customHeight="1" x14ac:dyDescent="0.25">
      <c r="A252" s="78" t="s">
        <v>405</v>
      </c>
      <c r="B252" s="72" t="s">
        <v>321</v>
      </c>
      <c r="C252" s="35"/>
      <c r="D252" s="35"/>
      <c r="E252" s="35"/>
    </row>
    <row r="253" spans="1:6" ht="16" customHeight="1" x14ac:dyDescent="0.25">
      <c r="A253" s="78" t="s">
        <v>406</v>
      </c>
      <c r="B253" s="72" t="s">
        <v>400</v>
      </c>
      <c r="C253" s="35"/>
      <c r="D253" s="35"/>
      <c r="E253" s="35"/>
    </row>
    <row r="254" spans="1:6" ht="16" customHeight="1" x14ac:dyDescent="0.25">
      <c r="A254" s="78" t="s">
        <v>407</v>
      </c>
      <c r="B254" s="72" t="s">
        <v>408</v>
      </c>
      <c r="C254" s="35"/>
      <c r="D254" s="35"/>
      <c r="E254" s="35"/>
    </row>
    <row r="255" spans="1:6" ht="16" customHeight="1" x14ac:dyDescent="0.25">
      <c r="A255" s="78" t="s">
        <v>409</v>
      </c>
      <c r="B255" s="72" t="s">
        <v>410</v>
      </c>
      <c r="C255" s="35"/>
      <c r="D255" s="35"/>
      <c r="E255" s="35"/>
      <c r="F255" s="509"/>
    </row>
    <row r="256" spans="1:6" ht="16" customHeight="1" x14ac:dyDescent="0.25">
      <c r="A256" s="78" t="s">
        <v>411</v>
      </c>
      <c r="B256" s="72" t="s">
        <v>412</v>
      </c>
      <c r="C256" s="35"/>
      <c r="D256" s="35"/>
      <c r="E256" s="35"/>
    </row>
    <row r="257" spans="1:6" ht="16" customHeight="1" x14ac:dyDescent="0.25">
      <c r="A257" s="78" t="s">
        <v>413</v>
      </c>
      <c r="B257" s="72" t="s">
        <v>417</v>
      </c>
      <c r="C257" s="35"/>
      <c r="D257" s="35"/>
      <c r="E257" s="35"/>
    </row>
    <row r="258" spans="1:6" ht="16" customHeight="1" x14ac:dyDescent="0.25">
      <c r="A258" s="78" t="s">
        <v>414</v>
      </c>
      <c r="B258" s="72" t="s">
        <v>418</v>
      </c>
      <c r="C258" s="35"/>
      <c r="D258" s="35"/>
      <c r="E258" s="35"/>
    </row>
    <row r="259" spans="1:6" ht="16" customHeight="1" x14ac:dyDescent="0.25">
      <c r="A259" s="78" t="s">
        <v>420</v>
      </c>
      <c r="B259" s="72" t="s">
        <v>419</v>
      </c>
      <c r="C259" s="35"/>
      <c r="D259" s="35"/>
      <c r="E259" s="35"/>
      <c r="F259" s="509"/>
    </row>
    <row r="260" spans="1:6" ht="16" customHeight="1" x14ac:dyDescent="0.25">
      <c r="A260" s="78" t="s">
        <v>415</v>
      </c>
      <c r="B260" s="72" t="s">
        <v>416</v>
      </c>
      <c r="C260" s="35"/>
      <c r="D260" s="35"/>
      <c r="E260" s="35"/>
    </row>
    <row r="261" spans="1:6" ht="16" customHeight="1" x14ac:dyDescent="0.25">
      <c r="A261" s="78" t="s">
        <v>426</v>
      </c>
      <c r="B261" s="72" t="s">
        <v>421</v>
      </c>
      <c r="C261" s="35"/>
      <c r="D261" s="35"/>
      <c r="E261" s="35"/>
    </row>
    <row r="262" spans="1:6" ht="16" customHeight="1" x14ac:dyDescent="0.25">
      <c r="A262" s="78" t="s">
        <v>427</v>
      </c>
      <c r="B262" s="72" t="s">
        <v>424</v>
      </c>
      <c r="C262" s="35"/>
      <c r="D262" s="35"/>
      <c r="E262" s="35"/>
    </row>
    <row r="263" spans="1:6" ht="16" customHeight="1" x14ac:dyDescent="0.25">
      <c r="A263" s="78" t="s">
        <v>428</v>
      </c>
      <c r="B263" s="72" t="s">
        <v>422</v>
      </c>
      <c r="C263" s="35"/>
      <c r="D263" s="35"/>
      <c r="E263" s="35"/>
      <c r="F263" s="509"/>
    </row>
    <row r="264" spans="1:6" ht="16" customHeight="1" x14ac:dyDescent="0.25">
      <c r="A264" s="78" t="s">
        <v>429</v>
      </c>
      <c r="B264" s="72" t="s">
        <v>423</v>
      </c>
      <c r="C264" s="35"/>
      <c r="D264" s="35"/>
      <c r="E264" s="35"/>
    </row>
    <row r="265" spans="1:6" ht="16" customHeight="1" x14ac:dyDescent="0.25">
      <c r="A265" s="78" t="s">
        <v>430</v>
      </c>
      <c r="B265" s="72" t="s">
        <v>425</v>
      </c>
      <c r="C265" s="35"/>
      <c r="D265" s="35"/>
      <c r="E265" s="35"/>
    </row>
    <row r="266" spans="1:6" ht="16" customHeight="1" x14ac:dyDescent="0.25">
      <c r="B266" s="504" t="s">
        <v>383</v>
      </c>
      <c r="C266" s="505"/>
      <c r="D266" s="505"/>
      <c r="E266" s="505"/>
    </row>
    <row r="267" spans="1:6" ht="16" customHeight="1" x14ac:dyDescent="0.25">
      <c r="A267" s="19" t="s">
        <v>437</v>
      </c>
      <c r="B267" s="512" t="s">
        <v>436</v>
      </c>
      <c r="C267" s="513"/>
      <c r="D267" s="513"/>
      <c r="E267" s="513"/>
      <c r="F267" s="509"/>
    </row>
    <row r="268" spans="1:6" ht="16" customHeight="1" x14ac:dyDescent="0.25">
      <c r="B268" s="511" t="s">
        <v>431</v>
      </c>
      <c r="C268" s="510"/>
      <c r="D268" s="510"/>
      <c r="E268" s="510"/>
    </row>
    <row r="269" spans="1:6" ht="16" customHeight="1" x14ac:dyDescent="0.25">
      <c r="B269" s="511" t="s">
        <v>432</v>
      </c>
      <c r="C269" s="510"/>
      <c r="D269" s="510"/>
      <c r="E269" s="510"/>
    </row>
    <row r="270" spans="1:6" ht="16" customHeight="1" x14ac:dyDescent="0.25">
      <c r="B270" s="511" t="s">
        <v>433</v>
      </c>
      <c r="C270" s="510"/>
      <c r="D270" s="510"/>
      <c r="E270" s="510"/>
    </row>
    <row r="271" spans="1:6" ht="16" customHeight="1" x14ac:dyDescent="0.25">
      <c r="A271" s="78" t="s">
        <v>385</v>
      </c>
      <c r="B271" s="72" t="s">
        <v>386</v>
      </c>
      <c r="C271" s="510"/>
      <c r="D271" s="510"/>
      <c r="E271" s="510"/>
      <c r="F271" s="509"/>
    </row>
    <row r="272" spans="1:6" ht="16" customHeight="1" x14ac:dyDescent="0.25">
      <c r="A272" s="78" t="s">
        <v>392</v>
      </c>
      <c r="B272" s="72" t="s">
        <v>388</v>
      </c>
      <c r="C272" s="510"/>
      <c r="D272" s="510"/>
      <c r="E272" s="510"/>
    </row>
    <row r="273" spans="1:6" ht="16" customHeight="1" x14ac:dyDescent="0.25">
      <c r="A273" s="78" t="s">
        <v>249</v>
      </c>
      <c r="B273" s="72" t="s">
        <v>379</v>
      </c>
      <c r="C273" s="510"/>
      <c r="D273" s="510"/>
      <c r="E273" s="510"/>
    </row>
    <row r="274" spans="1:6" ht="16" customHeight="1" x14ac:dyDescent="0.25">
      <c r="A274" s="78" t="s">
        <v>435</v>
      </c>
      <c r="B274" s="511" t="s">
        <v>434</v>
      </c>
      <c r="C274" s="510"/>
      <c r="D274" s="510"/>
      <c r="E274" s="510"/>
    </row>
    <row r="275" spans="1:6" ht="16" customHeight="1" x14ac:dyDescent="0.25">
      <c r="A275" s="78" t="s">
        <v>420</v>
      </c>
      <c r="B275" s="511" t="s">
        <v>419</v>
      </c>
      <c r="C275" s="510"/>
      <c r="D275" s="510"/>
      <c r="E275" s="510"/>
      <c r="F275" s="514" t="s">
        <v>438</v>
      </c>
    </row>
    <row r="276" spans="1:6" ht="16" customHeight="1" x14ac:dyDescent="0.25">
      <c r="A276" s="78" t="s">
        <v>430</v>
      </c>
      <c r="B276" s="511" t="s">
        <v>425</v>
      </c>
      <c r="C276" s="510"/>
      <c r="D276" s="510"/>
      <c r="E276" s="510"/>
      <c r="F276" s="514"/>
    </row>
    <row r="277" spans="1:6" ht="16" customHeight="1" x14ac:dyDescent="0.25">
      <c r="A277" s="78" t="s">
        <v>394</v>
      </c>
      <c r="B277" s="511" t="s">
        <v>390</v>
      </c>
      <c r="C277" s="510"/>
      <c r="D277" s="510"/>
      <c r="E277" s="510"/>
      <c r="F277" s="514"/>
    </row>
    <row r="278" spans="1:6" ht="16" customHeight="1" x14ac:dyDescent="0.25">
      <c r="A278" s="78" t="s">
        <v>428</v>
      </c>
      <c r="B278" s="511" t="s">
        <v>422</v>
      </c>
      <c r="C278" s="510"/>
      <c r="D278" s="510"/>
      <c r="E278" s="510"/>
      <c r="F278" s="514"/>
    </row>
    <row r="279" spans="1:6" ht="16" customHeight="1" x14ac:dyDescent="0.25">
      <c r="A279" s="78" t="s">
        <v>426</v>
      </c>
      <c r="B279" s="72" t="s">
        <v>421</v>
      </c>
      <c r="C279" s="510"/>
      <c r="D279" s="510"/>
      <c r="E279" s="510"/>
      <c r="F279" s="514"/>
    </row>
    <row r="280" spans="1:6" ht="16" customHeight="1" x14ac:dyDescent="0.25">
      <c r="A280" s="78" t="s">
        <v>427</v>
      </c>
      <c r="B280" s="72" t="s">
        <v>424</v>
      </c>
      <c r="C280" s="510"/>
      <c r="D280" s="510"/>
      <c r="E280" s="510"/>
      <c r="F280" s="514"/>
    </row>
    <row r="281" spans="1:6" ht="16" customHeight="1" x14ac:dyDescent="0.25">
      <c r="A281" s="78" t="s">
        <v>404</v>
      </c>
      <c r="B281" s="72" t="s">
        <v>399</v>
      </c>
      <c r="C281" s="510"/>
      <c r="D281" s="510"/>
      <c r="E281" s="510"/>
      <c r="F281" s="514"/>
    </row>
    <row r="282" spans="1:6" ht="16" customHeight="1" x14ac:dyDescent="0.25">
      <c r="A282" s="78" t="s">
        <v>391</v>
      </c>
      <c r="B282" s="72" t="s">
        <v>387</v>
      </c>
      <c r="C282" s="510"/>
      <c r="D282" s="510"/>
      <c r="E282" s="510"/>
      <c r="F282" s="514"/>
    </row>
    <row r="283" spans="1:6" ht="16" customHeight="1" x14ac:dyDescent="0.25">
      <c r="A283" s="78" t="s">
        <v>405</v>
      </c>
      <c r="B283" s="72" t="s">
        <v>321</v>
      </c>
      <c r="C283" s="510"/>
      <c r="D283" s="510"/>
      <c r="E283" s="510"/>
      <c r="F283" s="514"/>
    </row>
    <row r="284" spans="1:6" ht="16" customHeight="1" x14ac:dyDescent="0.25">
      <c r="A284" s="78" t="s">
        <v>393</v>
      </c>
      <c r="B284" s="72" t="s">
        <v>389</v>
      </c>
      <c r="C284" s="510"/>
      <c r="D284" s="510"/>
      <c r="E284" s="510"/>
      <c r="F284" s="514"/>
    </row>
    <row r="285" spans="1:6" ht="16" customHeight="1" x14ac:dyDescent="0.25">
      <c r="A285" s="78" t="s">
        <v>429</v>
      </c>
      <c r="B285" s="72" t="s">
        <v>423</v>
      </c>
      <c r="C285" s="510"/>
      <c r="D285" s="510"/>
      <c r="E285" s="510"/>
      <c r="F285" s="514"/>
    </row>
    <row r="286" spans="1:6" ht="16" customHeight="1" x14ac:dyDescent="0.25">
      <c r="A286" s="78" t="s">
        <v>415</v>
      </c>
      <c r="B286" s="72" t="s">
        <v>416</v>
      </c>
      <c r="C286" s="510"/>
      <c r="D286" s="510"/>
      <c r="E286" s="510"/>
      <c r="F286" s="514"/>
    </row>
    <row r="287" spans="1:6" ht="16" customHeight="1" x14ac:dyDescent="0.25">
      <c r="B287" s="506" t="s">
        <v>384</v>
      </c>
      <c r="C287" s="507"/>
      <c r="D287" s="507"/>
      <c r="E287" s="507"/>
    </row>
    <row r="288" spans="1:6" ht="16" customHeight="1" x14ac:dyDescent="0.25">
      <c r="B288" s="29" t="s">
        <v>175</v>
      </c>
    </row>
  </sheetData>
  <mergeCells count="68"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B61:C61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62:C62"/>
    <mergeCell ref="B191:B192"/>
    <mergeCell ref="C191:C192"/>
    <mergeCell ref="C165:C173"/>
    <mergeCell ref="C174:C182"/>
    <mergeCell ref="C183:C188"/>
    <mergeCell ref="H80:K80"/>
    <mergeCell ref="J31:L35"/>
    <mergeCell ref="J36:L40"/>
    <mergeCell ref="I44:L44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5"/>
  <cols>
    <col min="1" max="1" width="2.7265625" style="86" customWidth="1"/>
    <col min="2" max="2" width="4.7265625" style="86" customWidth="1"/>
    <col min="3" max="3" width="4" style="86" customWidth="1"/>
    <col min="4" max="4" width="12.26953125" style="86" customWidth="1"/>
    <col min="5" max="5" width="4.7265625" style="86" customWidth="1"/>
    <col min="6" max="6" width="7.1796875" style="86" customWidth="1"/>
    <col min="7" max="7" width="7.453125" style="86" customWidth="1"/>
    <col min="8" max="10" width="6.7265625" style="86" customWidth="1"/>
    <col min="11" max="11" width="7.54296875" style="86" customWidth="1"/>
    <col min="12" max="13" width="6.7265625" style="86" customWidth="1"/>
    <col min="14" max="14" width="15.1796875" style="86" customWidth="1"/>
    <col min="15" max="19" width="6.7265625" style="86" customWidth="1"/>
    <col min="20" max="20" width="8.26953125" style="86" customWidth="1"/>
    <col min="21" max="21" width="1.7265625" style="86" customWidth="1"/>
    <col min="22" max="27" width="6.7265625" style="86" hidden="1" customWidth="1"/>
    <col min="28" max="16384" width="11.453125" style="86" hidden="1"/>
  </cols>
  <sheetData>
    <row r="1" spans="1:20" ht="12.75" customHeight="1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</row>
    <row r="2" spans="1:20" ht="18" x14ac:dyDescent="0.25">
      <c r="B2" s="748" t="s">
        <v>131</v>
      </c>
      <c r="C2" s="748"/>
      <c r="D2" s="748"/>
      <c r="E2" s="748"/>
      <c r="F2" s="748"/>
      <c r="G2" s="748"/>
      <c r="H2" s="748"/>
      <c r="I2" s="748"/>
      <c r="J2" s="748"/>
      <c r="K2" s="748"/>
      <c r="L2" s="748"/>
      <c r="M2" s="748"/>
      <c r="N2" s="748"/>
      <c r="O2" s="748"/>
      <c r="P2" s="748"/>
      <c r="Q2" s="748"/>
      <c r="R2" s="748"/>
      <c r="S2" s="748"/>
      <c r="T2" s="748"/>
    </row>
    <row r="3" spans="1:20" s="87" customFormat="1" ht="16.5" customHeight="1" x14ac:dyDescent="0.25">
      <c r="D3" s="88"/>
      <c r="M3" s="89"/>
    </row>
    <row r="4" spans="1:20" ht="16.5" customHeight="1" x14ac:dyDescent="0.25">
      <c r="B4" s="749" t="s">
        <v>260</v>
      </c>
      <c r="C4" s="749"/>
      <c r="D4" s="749"/>
      <c r="E4" s="749"/>
      <c r="F4" s="749"/>
      <c r="G4" s="750"/>
      <c r="H4" s="750"/>
      <c r="I4" s="750"/>
      <c r="J4" s="750"/>
      <c r="K4" s="750"/>
      <c r="L4" s="750"/>
      <c r="M4" s="750"/>
      <c r="N4" s="750"/>
      <c r="O4" s="750"/>
      <c r="P4" s="750"/>
      <c r="Q4" s="750"/>
      <c r="R4" s="750"/>
      <c r="S4" s="750"/>
    </row>
    <row r="5" spans="1:20" ht="16.5" customHeight="1" x14ac:dyDescent="0.25">
      <c r="B5" s="749" t="s">
        <v>261</v>
      </c>
      <c r="C5" s="749"/>
      <c r="D5" s="749"/>
      <c r="E5" s="749"/>
      <c r="F5" s="749"/>
      <c r="G5" s="750"/>
      <c r="H5" s="750"/>
      <c r="I5" s="750"/>
      <c r="J5" s="750"/>
      <c r="K5" s="750"/>
      <c r="L5" s="750"/>
      <c r="M5" s="750"/>
      <c r="N5" s="750"/>
      <c r="O5" s="750"/>
      <c r="P5" s="750"/>
      <c r="Q5" s="750"/>
      <c r="R5" s="750"/>
      <c r="S5" s="750"/>
    </row>
    <row r="6" spans="1:20" ht="10.5" x14ac:dyDescent="0.25">
      <c r="D6" s="90"/>
      <c r="G6" s="91"/>
    </row>
    <row r="7" spans="1:20" ht="11" thickBot="1" x14ac:dyDescent="0.3">
      <c r="B7" s="91" t="s">
        <v>81</v>
      </c>
      <c r="C7" s="91"/>
      <c r="E7" s="723"/>
      <c r="F7" s="723"/>
      <c r="G7" s="723"/>
      <c r="H7" s="92"/>
      <c r="I7" s="92"/>
      <c r="J7" s="92"/>
      <c r="K7" s="92"/>
      <c r="M7" s="93"/>
      <c r="N7" s="94" t="s">
        <v>23</v>
      </c>
      <c r="O7" s="95"/>
      <c r="P7" s="93"/>
      <c r="Q7" s="96"/>
    </row>
    <row r="8" spans="1:20" ht="12.75" customHeight="1" x14ac:dyDescent="0.25">
      <c r="B8" s="585" t="s">
        <v>38</v>
      </c>
      <c r="C8" s="586"/>
      <c r="D8" s="586"/>
      <c r="E8" s="586"/>
      <c r="F8" s="586"/>
      <c r="G8" s="587"/>
      <c r="H8" s="625" t="s">
        <v>82</v>
      </c>
      <c r="I8" s="657"/>
      <c r="J8" s="657"/>
      <c r="K8" s="657"/>
      <c r="L8" s="742"/>
      <c r="M8" s="625" t="s">
        <v>24</v>
      </c>
      <c r="N8" s="657"/>
      <c r="O8" s="742"/>
      <c r="P8" s="743" t="s">
        <v>132</v>
      </c>
      <c r="Q8" s="86" t="s">
        <v>22</v>
      </c>
    </row>
    <row r="9" spans="1:20" ht="10.5" x14ac:dyDescent="0.25">
      <c r="B9" s="588"/>
      <c r="C9" s="589"/>
      <c r="D9" s="589"/>
      <c r="E9" s="589"/>
      <c r="F9" s="589"/>
      <c r="G9" s="590"/>
      <c r="H9" s="97" t="s">
        <v>25</v>
      </c>
      <c r="I9" s="97" t="s">
        <v>26</v>
      </c>
      <c r="J9" s="97" t="s">
        <v>27</v>
      </c>
      <c r="K9" s="98" t="s">
        <v>10</v>
      </c>
      <c r="L9" s="99" t="s">
        <v>19</v>
      </c>
      <c r="M9" s="100" t="s">
        <v>10</v>
      </c>
      <c r="N9" s="97" t="s">
        <v>19</v>
      </c>
      <c r="O9" s="99" t="s">
        <v>28</v>
      </c>
      <c r="P9" s="744"/>
    </row>
    <row r="10" spans="1:20" ht="12.75" customHeight="1" x14ac:dyDescent="0.25">
      <c r="A10" s="101"/>
      <c r="B10" s="737" t="s">
        <v>29</v>
      </c>
      <c r="C10" s="660"/>
      <c r="D10" s="638"/>
      <c r="E10" s="738" t="s">
        <v>57</v>
      </c>
      <c r="F10" s="739"/>
      <c r="G10" s="740"/>
      <c r="H10" s="230">
        <f>Inmunizaciones!E9</f>
        <v>0</v>
      </c>
      <c r="I10" s="231"/>
      <c r="J10" s="232"/>
      <c r="K10" s="290">
        <f>H10</f>
        <v>0</v>
      </c>
      <c r="L10" s="102"/>
      <c r="M10" s="103"/>
      <c r="N10" s="102"/>
      <c r="O10" s="104"/>
      <c r="P10" s="105"/>
    </row>
    <row r="11" spans="1:20" ht="11.25" customHeight="1" x14ac:dyDescent="0.25">
      <c r="A11" s="101"/>
      <c r="B11" s="745"/>
      <c r="C11" s="746"/>
      <c r="D11" s="747"/>
      <c r="E11" s="738" t="s">
        <v>58</v>
      </c>
      <c r="F11" s="739"/>
      <c r="G11" s="740"/>
      <c r="H11" s="230">
        <f>Inmunizaciones!E10</f>
        <v>0</v>
      </c>
      <c r="I11" s="233"/>
      <c r="J11" s="234"/>
      <c r="K11" s="290">
        <f>H11</f>
        <v>0</v>
      </c>
      <c r="L11" s="102"/>
      <c r="M11" s="103"/>
      <c r="N11" s="102"/>
      <c r="O11" s="104"/>
      <c r="P11" s="105"/>
    </row>
    <row r="12" spans="1:20" ht="11.25" customHeight="1" x14ac:dyDescent="0.25">
      <c r="A12" s="101"/>
      <c r="B12" s="741"/>
      <c r="C12" s="661"/>
      <c r="D12" s="640"/>
      <c r="E12" s="738" t="s">
        <v>133</v>
      </c>
      <c r="F12" s="739"/>
      <c r="G12" s="740"/>
      <c r="H12" s="230">
        <f>Inmunizaciones!E11</f>
        <v>0</v>
      </c>
      <c r="I12" s="233"/>
      <c r="J12" s="234"/>
      <c r="K12" s="290">
        <f>H12</f>
        <v>0</v>
      </c>
      <c r="L12" s="102"/>
      <c r="M12" s="103"/>
      <c r="N12" s="102"/>
      <c r="O12" s="104"/>
      <c r="P12" s="105"/>
    </row>
    <row r="13" spans="1:20" ht="12.75" customHeight="1" x14ac:dyDescent="0.25">
      <c r="A13" s="101"/>
      <c r="B13" s="737" t="s">
        <v>83</v>
      </c>
      <c r="C13" s="660"/>
      <c r="D13" s="638"/>
      <c r="E13" s="738" t="s">
        <v>103</v>
      </c>
      <c r="F13" s="739"/>
      <c r="G13" s="740"/>
      <c r="H13" s="230">
        <f>Inmunizaciones!E12</f>
        <v>0</v>
      </c>
      <c r="I13" s="233"/>
      <c r="J13" s="234"/>
      <c r="K13" s="290">
        <f>H13</f>
        <v>0</v>
      </c>
      <c r="L13" s="102"/>
      <c r="M13" s="103"/>
      <c r="N13" s="102"/>
      <c r="O13" s="104"/>
      <c r="P13" s="105"/>
    </row>
    <row r="14" spans="1:20" ht="12.75" customHeight="1" x14ac:dyDescent="0.25">
      <c r="A14" s="101"/>
      <c r="B14" s="737" t="s">
        <v>83</v>
      </c>
      <c r="C14" s="660"/>
      <c r="D14" s="638"/>
      <c r="E14" s="738" t="s">
        <v>57</v>
      </c>
      <c r="F14" s="739"/>
      <c r="G14" s="740"/>
      <c r="H14" s="230">
        <f>Inmunizaciones!E13</f>
        <v>0</v>
      </c>
      <c r="I14" s="233"/>
      <c r="J14" s="234"/>
      <c r="K14" s="290">
        <f>H14</f>
        <v>0</v>
      </c>
      <c r="L14" s="102"/>
      <c r="M14" s="103"/>
      <c r="N14" s="102"/>
      <c r="O14" s="104"/>
      <c r="P14" s="105"/>
    </row>
    <row r="15" spans="1:20" ht="12.75" customHeight="1" x14ac:dyDescent="0.25">
      <c r="A15" s="101"/>
      <c r="B15" s="737" t="s">
        <v>7</v>
      </c>
      <c r="C15" s="660"/>
      <c r="D15" s="638"/>
      <c r="E15" s="106" t="s">
        <v>104</v>
      </c>
      <c r="F15" s="727" t="s">
        <v>134</v>
      </c>
      <c r="G15" s="729"/>
      <c r="H15" s="235">
        <f>Inmunizaciones!E14</f>
        <v>0</v>
      </c>
      <c r="I15" s="236">
        <f>Inmunizaciones!F14</f>
        <v>0</v>
      </c>
      <c r="J15" s="237"/>
      <c r="K15" s="290">
        <f>H15+I15</f>
        <v>0</v>
      </c>
      <c r="L15" s="102"/>
      <c r="M15" s="103"/>
      <c r="N15" s="102"/>
      <c r="O15" s="104"/>
      <c r="P15" s="107"/>
    </row>
    <row r="16" spans="1:20" ht="12.75" customHeight="1" x14ac:dyDescent="0.25">
      <c r="A16" s="101"/>
      <c r="B16" s="741"/>
      <c r="C16" s="661"/>
      <c r="D16" s="640"/>
      <c r="E16" s="108" t="s">
        <v>105</v>
      </c>
      <c r="F16" s="678" t="s">
        <v>135</v>
      </c>
      <c r="G16" s="679"/>
      <c r="H16" s="238"/>
      <c r="I16" s="239"/>
      <c r="J16" s="230">
        <f>Inmunizaciones!G15</f>
        <v>0</v>
      </c>
      <c r="K16" s="290">
        <f>J16</f>
        <v>0</v>
      </c>
      <c r="L16" s="102"/>
      <c r="M16" s="103"/>
      <c r="N16" s="102"/>
      <c r="O16" s="104"/>
      <c r="P16" s="107"/>
    </row>
    <row r="17" spans="1:19" ht="12.75" customHeight="1" x14ac:dyDescent="0.25">
      <c r="A17" s="101"/>
      <c r="B17" s="733" t="s">
        <v>40</v>
      </c>
      <c r="C17" s="642"/>
      <c r="D17" s="643"/>
      <c r="E17" s="727" t="s">
        <v>137</v>
      </c>
      <c r="F17" s="728"/>
      <c r="G17" s="729"/>
      <c r="H17" s="240">
        <f>Inmunizaciones!E16</f>
        <v>0</v>
      </c>
      <c r="I17" s="240">
        <f>Inmunizaciones!F16</f>
        <v>0</v>
      </c>
      <c r="J17" s="240">
        <f>Inmunizaciones!G16</f>
        <v>0</v>
      </c>
      <c r="K17" s="290">
        <f>H17+I17+J17</f>
        <v>0</v>
      </c>
      <c r="L17" s="102"/>
      <c r="M17" s="103"/>
      <c r="N17" s="102"/>
      <c r="O17" s="104"/>
      <c r="P17" s="109"/>
    </row>
    <row r="18" spans="1:19" ht="12" customHeight="1" x14ac:dyDescent="0.25">
      <c r="A18" s="101"/>
      <c r="B18" s="734" t="s">
        <v>138</v>
      </c>
      <c r="C18" s="662"/>
      <c r="D18" s="663"/>
      <c r="E18" s="110" t="s">
        <v>116</v>
      </c>
      <c r="F18" s="678" t="s">
        <v>136</v>
      </c>
      <c r="G18" s="679"/>
      <c r="H18" s="241"/>
      <c r="I18" s="242">
        <f>Inmunizaciones!F17</f>
        <v>0</v>
      </c>
      <c r="J18" s="242">
        <f>Inmunizaciones!G17</f>
        <v>0</v>
      </c>
      <c r="K18" s="291">
        <f>I18+J18</f>
        <v>0</v>
      </c>
      <c r="L18" s="111"/>
      <c r="M18" s="112"/>
      <c r="N18" s="111"/>
      <c r="O18" s="113"/>
      <c r="P18" s="107"/>
    </row>
    <row r="19" spans="1:19" ht="10.5" x14ac:dyDescent="0.25">
      <c r="A19" s="101"/>
      <c r="B19" s="735"/>
      <c r="C19" s="664"/>
      <c r="D19" s="665"/>
      <c r="E19" s="108" t="s">
        <v>84</v>
      </c>
      <c r="F19" s="727" t="s">
        <v>136</v>
      </c>
      <c r="G19" s="729"/>
      <c r="H19" s="243"/>
      <c r="I19" s="244">
        <f>Inmunizaciones!F18</f>
        <v>0</v>
      </c>
      <c r="J19" s="244">
        <f>Inmunizaciones!G18</f>
        <v>0</v>
      </c>
      <c r="K19" s="291">
        <f>I19+J19</f>
        <v>0</v>
      </c>
      <c r="L19" s="111"/>
      <c r="M19" s="112"/>
      <c r="N19" s="111"/>
      <c r="O19" s="113"/>
      <c r="P19" s="107"/>
    </row>
    <row r="20" spans="1:19" ht="10.5" x14ac:dyDescent="0.25">
      <c r="A20" s="101"/>
      <c r="B20" s="736"/>
      <c r="C20" s="666"/>
      <c r="D20" s="667"/>
      <c r="E20" s="114" t="s">
        <v>85</v>
      </c>
      <c r="F20" s="727" t="s">
        <v>136</v>
      </c>
      <c r="G20" s="729"/>
      <c r="H20" s="245"/>
      <c r="I20" s="244">
        <f>Inmunizaciones!F19</f>
        <v>0</v>
      </c>
      <c r="J20" s="244">
        <f>Inmunizaciones!G19</f>
        <v>0</v>
      </c>
      <c r="K20" s="291">
        <f>I20+J20</f>
        <v>0</v>
      </c>
      <c r="L20" s="111"/>
      <c r="M20" s="112"/>
      <c r="N20" s="111"/>
      <c r="O20" s="113"/>
      <c r="P20" s="107"/>
    </row>
    <row r="21" spans="1:19" ht="12.75" customHeight="1" x14ac:dyDescent="0.25">
      <c r="A21" s="101"/>
      <c r="B21" s="724" t="s">
        <v>41</v>
      </c>
      <c r="C21" s="725"/>
      <c r="D21" s="726"/>
      <c r="E21" s="727" t="s">
        <v>134</v>
      </c>
      <c r="F21" s="728"/>
      <c r="G21" s="729"/>
      <c r="H21" s="230">
        <f>Inmunizaciones!E20</f>
        <v>0</v>
      </c>
      <c r="I21" s="230">
        <f>Inmunizaciones!F20</f>
        <v>0</v>
      </c>
      <c r="J21" s="246"/>
      <c r="K21" s="291">
        <f>H21+I21</f>
        <v>0</v>
      </c>
      <c r="L21" s="111"/>
      <c r="M21" s="112"/>
      <c r="N21" s="111"/>
      <c r="O21" s="113"/>
      <c r="P21" s="107"/>
    </row>
    <row r="22" spans="1:19" ht="12.75" customHeight="1" x14ac:dyDescent="0.25">
      <c r="A22" s="101"/>
      <c r="B22" s="724" t="s">
        <v>42</v>
      </c>
      <c r="C22" s="725"/>
      <c r="D22" s="726"/>
      <c r="E22" s="727" t="s">
        <v>134</v>
      </c>
      <c r="F22" s="728"/>
      <c r="G22" s="729"/>
      <c r="H22" s="230">
        <f>Inmunizaciones!E21</f>
        <v>0</v>
      </c>
      <c r="I22" s="230">
        <f>Inmunizaciones!F21</f>
        <v>0</v>
      </c>
      <c r="J22" s="247"/>
      <c r="K22" s="291">
        <f>H22+I22</f>
        <v>0</v>
      </c>
      <c r="L22" s="111"/>
      <c r="M22" s="112"/>
      <c r="N22" s="111"/>
      <c r="O22" s="113"/>
      <c r="P22" s="107"/>
    </row>
    <row r="23" spans="1:19" ht="12.75" customHeight="1" x14ac:dyDescent="0.25">
      <c r="A23" s="101"/>
      <c r="B23" s="724" t="s">
        <v>43</v>
      </c>
      <c r="C23" s="725"/>
      <c r="D23" s="726"/>
      <c r="E23" s="730"/>
      <c r="F23" s="731"/>
      <c r="G23" s="732"/>
      <c r="H23" s="230">
        <f>Inmunizaciones!E22</f>
        <v>0</v>
      </c>
      <c r="I23" s="230">
        <f>Inmunizaciones!F22</f>
        <v>0</v>
      </c>
      <c r="J23" s="247"/>
      <c r="K23" s="291">
        <f>H23+I23</f>
        <v>0</v>
      </c>
      <c r="L23" s="111"/>
      <c r="M23" s="112"/>
      <c r="N23" s="111"/>
      <c r="O23" s="113"/>
      <c r="P23" s="107"/>
    </row>
    <row r="24" spans="1:19" ht="11" thickBot="1" x14ac:dyDescent="0.3">
      <c r="A24" s="101"/>
      <c r="B24" s="718" t="s">
        <v>86</v>
      </c>
      <c r="C24" s="719"/>
      <c r="D24" s="720"/>
      <c r="E24" s="115" t="s">
        <v>104</v>
      </c>
      <c r="F24" s="721" t="s">
        <v>137</v>
      </c>
      <c r="G24" s="722"/>
      <c r="H24" s="248">
        <f>Inmunizaciones!E23</f>
        <v>0</v>
      </c>
      <c r="I24" s="248">
        <f>Inmunizaciones!F23</f>
        <v>0</v>
      </c>
      <c r="J24" s="248">
        <f>Inmunizaciones!G23</f>
        <v>0</v>
      </c>
      <c r="K24" s="292">
        <f>H24+I24+J24</f>
        <v>0</v>
      </c>
      <c r="L24" s="116"/>
      <c r="M24" s="117"/>
      <c r="N24" s="116"/>
      <c r="O24" s="118"/>
      <c r="P24" s="119"/>
    </row>
    <row r="25" spans="1:19" ht="10.5" x14ac:dyDescent="0.25">
      <c r="E25" s="120"/>
      <c r="F25" s="120"/>
      <c r="G25" s="101"/>
      <c r="H25" s="101"/>
      <c r="I25" s="101"/>
      <c r="J25" s="101"/>
      <c r="K25" s="101"/>
      <c r="L25" s="101"/>
      <c r="M25" s="93"/>
      <c r="N25" s="91"/>
      <c r="O25" s="120"/>
      <c r="P25" s="91"/>
      <c r="Q25" s="121"/>
    </row>
    <row r="26" spans="1:19" ht="11" thickBot="1" x14ac:dyDescent="0.3">
      <c r="B26" s="91" t="s">
        <v>87</v>
      </c>
      <c r="C26" s="91"/>
      <c r="E26" s="723"/>
      <c r="F26" s="723"/>
      <c r="G26" s="723"/>
      <c r="H26" s="92"/>
      <c r="I26" s="92"/>
      <c r="J26" s="92"/>
      <c r="K26" s="92"/>
      <c r="L26" s="92"/>
      <c r="M26" s="94" t="s">
        <v>23</v>
      </c>
      <c r="N26" s="95"/>
    </row>
    <row r="27" spans="1:19" ht="10.5" x14ac:dyDescent="0.25">
      <c r="B27" s="585" t="s">
        <v>38</v>
      </c>
      <c r="C27" s="586"/>
      <c r="D27" s="586"/>
      <c r="E27" s="586"/>
      <c r="F27" s="586"/>
      <c r="G27" s="587"/>
      <c r="H27" s="591" t="s">
        <v>13</v>
      </c>
      <c r="I27" s="592"/>
      <c r="J27" s="592"/>
      <c r="K27" s="624"/>
      <c r="L27" s="625" t="s">
        <v>24</v>
      </c>
      <c r="M27" s="657"/>
      <c r="N27" s="626"/>
    </row>
    <row r="28" spans="1:19" ht="10.5" x14ac:dyDescent="0.25">
      <c r="B28" s="588"/>
      <c r="C28" s="589"/>
      <c r="D28" s="589"/>
      <c r="E28" s="589"/>
      <c r="F28" s="589"/>
      <c r="G28" s="590"/>
      <c r="H28" s="97" t="s">
        <v>25</v>
      </c>
      <c r="I28" s="97" t="s">
        <v>26</v>
      </c>
      <c r="J28" s="97" t="s">
        <v>27</v>
      </c>
      <c r="K28" s="99" t="s">
        <v>10</v>
      </c>
      <c r="L28" s="100" t="s">
        <v>10</v>
      </c>
      <c r="M28" s="97" t="s">
        <v>19</v>
      </c>
      <c r="N28" s="122" t="s">
        <v>28</v>
      </c>
    </row>
    <row r="29" spans="1:19" ht="12.75" customHeight="1" x14ac:dyDescent="0.25">
      <c r="A29" s="101"/>
      <c r="B29" s="692" t="s">
        <v>139</v>
      </c>
      <c r="C29" s="693"/>
      <c r="D29" s="123" t="s">
        <v>42</v>
      </c>
      <c r="E29" s="124"/>
      <c r="F29" s="124" t="s">
        <v>27</v>
      </c>
      <c r="G29" s="125" t="s">
        <v>262</v>
      </c>
      <c r="H29" s="249"/>
      <c r="I29" s="250"/>
      <c r="J29" s="219">
        <f>Inmunizaciones!G28</f>
        <v>0</v>
      </c>
      <c r="K29" s="286">
        <f>J29</f>
        <v>0</v>
      </c>
      <c r="L29" s="126"/>
      <c r="M29" s="126"/>
      <c r="N29" s="127"/>
      <c r="Q29" s="698" t="s">
        <v>99</v>
      </c>
      <c r="R29" s="699"/>
      <c r="S29" s="700"/>
    </row>
    <row r="30" spans="1:19" ht="12.75" customHeight="1" x14ac:dyDescent="0.25">
      <c r="A30" s="101"/>
      <c r="B30" s="694"/>
      <c r="C30" s="695"/>
      <c r="D30" s="123" t="s">
        <v>88</v>
      </c>
      <c r="E30" s="124"/>
      <c r="F30" s="124" t="s">
        <v>25</v>
      </c>
      <c r="G30" s="125" t="s">
        <v>262</v>
      </c>
      <c r="H30" s="219">
        <f>Inmunizaciones!E29</f>
        <v>0</v>
      </c>
      <c r="I30" s="251"/>
      <c r="J30" s="252"/>
      <c r="K30" s="286">
        <f>H30</f>
        <v>0</v>
      </c>
      <c r="L30" s="126"/>
      <c r="M30" s="126"/>
      <c r="N30" s="127"/>
      <c r="Q30" s="701"/>
      <c r="R30" s="702"/>
      <c r="S30" s="703"/>
    </row>
    <row r="31" spans="1:19" ht="22.5" customHeight="1" thickBot="1" x14ac:dyDescent="0.3">
      <c r="A31" s="101"/>
      <c r="B31" s="694"/>
      <c r="C31" s="695"/>
      <c r="D31" s="707" t="s">
        <v>140</v>
      </c>
      <c r="E31" s="708"/>
      <c r="F31" s="709"/>
      <c r="G31" s="710" t="s">
        <v>43</v>
      </c>
      <c r="H31" s="253">
        <f>Inmunizaciones!E30</f>
        <v>0</v>
      </c>
      <c r="I31" s="219">
        <f>Inmunizaciones!F30</f>
        <v>0</v>
      </c>
      <c r="J31" s="252"/>
      <c r="K31" s="286">
        <f>H31+I31</f>
        <v>0</v>
      </c>
      <c r="L31" s="126"/>
      <c r="M31" s="126"/>
      <c r="N31" s="127"/>
      <c r="Q31" s="704"/>
      <c r="R31" s="705"/>
      <c r="S31" s="706"/>
    </row>
    <row r="32" spans="1:19" ht="10.5" x14ac:dyDescent="0.25">
      <c r="A32" s="101"/>
      <c r="B32" s="696"/>
      <c r="C32" s="697"/>
      <c r="D32" s="712" t="s">
        <v>263</v>
      </c>
      <c r="E32" s="713"/>
      <c r="F32" s="714"/>
      <c r="G32" s="711"/>
      <c r="H32" s="253">
        <f>Inmunizaciones!E31</f>
        <v>0</v>
      </c>
      <c r="I32" s="251"/>
      <c r="J32" s="252"/>
      <c r="K32" s="288">
        <f>H32</f>
        <v>0</v>
      </c>
      <c r="L32" s="126"/>
      <c r="M32" s="126"/>
      <c r="N32" s="127"/>
      <c r="Q32" s="128"/>
      <c r="R32" s="128"/>
      <c r="S32" s="128"/>
    </row>
    <row r="33" spans="1:20" ht="12.75" customHeight="1" x14ac:dyDescent="0.25">
      <c r="A33" s="101"/>
      <c r="B33" s="715" t="s">
        <v>141</v>
      </c>
      <c r="C33" s="716"/>
      <c r="D33" s="717" t="s">
        <v>142</v>
      </c>
      <c r="E33" s="631"/>
      <c r="F33" s="631"/>
      <c r="G33" s="632"/>
      <c r="H33" s="253">
        <f>Inmunizaciones!E32</f>
        <v>0</v>
      </c>
      <c r="I33" s="219">
        <f>Inmunizaciones!F32</f>
        <v>0</v>
      </c>
      <c r="J33" s="252"/>
      <c r="K33" s="272">
        <f>H33+I33</f>
        <v>0</v>
      </c>
      <c r="L33" s="129"/>
      <c r="M33" s="129"/>
      <c r="N33" s="130"/>
    </row>
    <row r="34" spans="1:20" ht="23.25" customHeight="1" x14ac:dyDescent="0.25">
      <c r="A34" s="101"/>
      <c r="B34" s="675" t="s">
        <v>89</v>
      </c>
      <c r="C34" s="676"/>
      <c r="D34" s="131" t="s">
        <v>143</v>
      </c>
      <c r="E34" s="132"/>
      <c r="F34" s="133" t="s">
        <v>263</v>
      </c>
      <c r="G34" s="134" t="s">
        <v>89</v>
      </c>
      <c r="H34" s="253">
        <f>Inmunizaciones!E33</f>
        <v>0</v>
      </c>
      <c r="I34" s="251"/>
      <c r="J34" s="252"/>
      <c r="K34" s="272">
        <f>H34</f>
        <v>0</v>
      </c>
      <c r="L34" s="129"/>
      <c r="M34" s="129"/>
      <c r="N34" s="130"/>
    </row>
    <row r="35" spans="1:20" ht="12.75" customHeight="1" x14ac:dyDescent="0.25">
      <c r="A35" s="101"/>
      <c r="B35" s="616" t="s">
        <v>144</v>
      </c>
      <c r="C35" s="634"/>
      <c r="D35" s="135" t="s">
        <v>88</v>
      </c>
      <c r="E35" s="136"/>
      <c r="F35" s="136" t="s">
        <v>26</v>
      </c>
      <c r="G35" s="137" t="s">
        <v>144</v>
      </c>
      <c r="H35" s="254"/>
      <c r="I35" s="219">
        <f>Inmunizaciones!F29</f>
        <v>0</v>
      </c>
      <c r="J35" s="252"/>
      <c r="K35" s="286">
        <f>I35</f>
        <v>0</v>
      </c>
      <c r="L35" s="126"/>
      <c r="M35" s="126"/>
      <c r="N35" s="127"/>
    </row>
    <row r="36" spans="1:20" ht="12.75" customHeight="1" x14ac:dyDescent="0.25">
      <c r="A36" s="101"/>
      <c r="B36" s="616"/>
      <c r="C36" s="634"/>
      <c r="D36" s="131" t="s">
        <v>90</v>
      </c>
      <c r="E36" s="132"/>
      <c r="F36" s="132" t="s">
        <v>264</v>
      </c>
      <c r="G36" s="134" t="s">
        <v>144</v>
      </c>
      <c r="H36" s="253">
        <f>Inmunizaciones!E34</f>
        <v>0</v>
      </c>
      <c r="I36" s="251"/>
      <c r="J36" s="252"/>
      <c r="K36" s="272">
        <f>H36</f>
        <v>0</v>
      </c>
      <c r="L36" s="129"/>
      <c r="M36" s="129"/>
      <c r="N36" s="130"/>
    </row>
    <row r="37" spans="1:20" ht="12.75" customHeight="1" x14ac:dyDescent="0.25">
      <c r="A37" s="101"/>
      <c r="B37" s="635"/>
      <c r="C37" s="636"/>
      <c r="D37" s="138" t="s">
        <v>115</v>
      </c>
      <c r="E37" s="139"/>
      <c r="F37" s="139" t="s">
        <v>264</v>
      </c>
      <c r="G37" s="140" t="s">
        <v>144</v>
      </c>
      <c r="H37" s="253">
        <f>Inmunizaciones!E35</f>
        <v>0</v>
      </c>
      <c r="I37" s="251"/>
      <c r="J37" s="252"/>
      <c r="K37" s="272">
        <f>H37</f>
        <v>0</v>
      </c>
      <c r="L37" s="129"/>
      <c r="M37" s="129"/>
      <c r="N37" s="130"/>
      <c r="Q37" s="91"/>
      <c r="R37" s="91"/>
      <c r="S37" s="91"/>
    </row>
    <row r="38" spans="1:20" ht="12.75" customHeight="1" x14ac:dyDescent="0.25">
      <c r="A38" s="101"/>
      <c r="B38" s="614" t="s">
        <v>145</v>
      </c>
      <c r="C38" s="633"/>
      <c r="D38" s="678" t="s">
        <v>7</v>
      </c>
      <c r="E38" s="679"/>
      <c r="F38" s="110" t="s">
        <v>104</v>
      </c>
      <c r="G38" s="125" t="s">
        <v>262</v>
      </c>
      <c r="H38" s="219">
        <f>Inmunizaciones!E36</f>
        <v>0</v>
      </c>
      <c r="I38" s="219">
        <f>Inmunizaciones!F36</f>
        <v>0</v>
      </c>
      <c r="J38" s="255"/>
      <c r="K38" s="272">
        <f>H38+I38</f>
        <v>0</v>
      </c>
      <c r="L38" s="129"/>
      <c r="M38" s="129"/>
      <c r="N38" s="130"/>
      <c r="Q38" s="91"/>
      <c r="R38" s="91"/>
      <c r="S38" s="91"/>
    </row>
    <row r="39" spans="1:20" ht="12.75" customHeight="1" x14ac:dyDescent="0.25">
      <c r="A39" s="101"/>
      <c r="B39" s="616"/>
      <c r="C39" s="634"/>
      <c r="D39" s="680"/>
      <c r="E39" s="681"/>
      <c r="F39" s="108" t="s">
        <v>105</v>
      </c>
      <c r="G39" s="125" t="s">
        <v>262</v>
      </c>
      <c r="H39" s="256"/>
      <c r="I39" s="257"/>
      <c r="J39" s="253">
        <f>Inmunizaciones!G37</f>
        <v>0</v>
      </c>
      <c r="K39" s="272">
        <f>J39</f>
        <v>0</v>
      </c>
      <c r="L39" s="129"/>
      <c r="M39" s="129"/>
      <c r="N39" s="130"/>
      <c r="Q39" s="91"/>
      <c r="R39" s="91"/>
      <c r="S39" s="91"/>
    </row>
    <row r="40" spans="1:20" ht="12.75" customHeight="1" x14ac:dyDescent="0.25">
      <c r="A40" s="101"/>
      <c r="B40" s="616"/>
      <c r="C40" s="634"/>
      <c r="D40" s="682" t="s">
        <v>40</v>
      </c>
      <c r="E40" s="683"/>
      <c r="F40" s="683"/>
      <c r="G40" s="125" t="s">
        <v>262</v>
      </c>
      <c r="H40" s="258">
        <f>Inmunizaciones!E38</f>
        <v>0</v>
      </c>
      <c r="I40" s="253">
        <f>Inmunizaciones!F38</f>
        <v>0</v>
      </c>
      <c r="J40" s="253">
        <f>Inmunizaciones!G38</f>
        <v>0</v>
      </c>
      <c r="K40" s="272">
        <f>H40+I40+J40</f>
        <v>0</v>
      </c>
      <c r="L40" s="129"/>
      <c r="M40" s="129"/>
      <c r="N40" s="130"/>
      <c r="Q40" s="91"/>
      <c r="R40" s="91"/>
      <c r="S40" s="91"/>
    </row>
    <row r="41" spans="1:20" ht="12.75" customHeight="1" x14ac:dyDescent="0.25">
      <c r="A41" s="101"/>
      <c r="B41" s="616"/>
      <c r="C41" s="634"/>
      <c r="D41" s="684" t="s">
        <v>121</v>
      </c>
      <c r="E41" s="685"/>
      <c r="F41" s="110" t="s">
        <v>116</v>
      </c>
      <c r="G41" s="125" t="s">
        <v>262</v>
      </c>
      <c r="H41" s="259"/>
      <c r="I41" s="253">
        <f>Inmunizaciones!F39</f>
        <v>0</v>
      </c>
      <c r="J41" s="253">
        <f>Inmunizaciones!G39</f>
        <v>0</v>
      </c>
      <c r="K41" s="272">
        <f>I41+J41</f>
        <v>0</v>
      </c>
      <c r="L41" s="129"/>
      <c r="M41" s="129"/>
      <c r="N41" s="130"/>
      <c r="Q41" s="91"/>
      <c r="R41" s="91"/>
      <c r="S41" s="91"/>
    </row>
    <row r="42" spans="1:20" ht="12.75" customHeight="1" x14ac:dyDescent="0.25">
      <c r="A42" s="101"/>
      <c r="B42" s="616"/>
      <c r="C42" s="634"/>
      <c r="D42" s="686"/>
      <c r="E42" s="687"/>
      <c r="F42" s="108" t="s">
        <v>84</v>
      </c>
      <c r="G42" s="125" t="s">
        <v>262</v>
      </c>
      <c r="H42" s="260"/>
      <c r="I42" s="253">
        <f>Inmunizaciones!F40</f>
        <v>0</v>
      </c>
      <c r="J42" s="253">
        <f>Inmunizaciones!G40</f>
        <v>0</v>
      </c>
      <c r="K42" s="272">
        <f>I42+J42</f>
        <v>0</v>
      </c>
      <c r="L42" s="129"/>
      <c r="M42" s="129"/>
      <c r="N42" s="130"/>
      <c r="Q42" s="91"/>
      <c r="R42" s="91"/>
      <c r="S42" s="91"/>
    </row>
    <row r="43" spans="1:20" ht="12.75" customHeight="1" x14ac:dyDescent="0.25">
      <c r="A43" s="101"/>
      <c r="B43" s="616"/>
      <c r="C43" s="634"/>
      <c r="D43" s="688"/>
      <c r="E43" s="689"/>
      <c r="F43" s="141" t="s">
        <v>85</v>
      </c>
      <c r="G43" s="125" t="s">
        <v>262</v>
      </c>
      <c r="H43" s="260"/>
      <c r="I43" s="261">
        <f>Inmunizaciones!F41</f>
        <v>0</v>
      </c>
      <c r="J43" s="261">
        <f>Inmunizaciones!G41</f>
        <v>0</v>
      </c>
      <c r="K43" s="289">
        <f>I43+J43</f>
        <v>0</v>
      </c>
      <c r="L43" s="142"/>
      <c r="M43" s="142"/>
      <c r="N43" s="143"/>
      <c r="Q43" s="91"/>
      <c r="R43" s="91"/>
      <c r="S43" s="91"/>
    </row>
    <row r="44" spans="1:20" ht="12.75" customHeight="1" thickBot="1" x14ac:dyDescent="0.3">
      <c r="A44" s="101"/>
      <c r="B44" s="658"/>
      <c r="C44" s="677"/>
      <c r="D44" s="690" t="s">
        <v>122</v>
      </c>
      <c r="E44" s="691"/>
      <c r="F44" s="691"/>
      <c r="G44" s="144" t="s">
        <v>262</v>
      </c>
      <c r="H44" s="220">
        <f>Inmunizaciones!E42</f>
        <v>0</v>
      </c>
      <c r="I44" s="262"/>
      <c r="J44" s="263"/>
      <c r="K44" s="278">
        <f>H44</f>
        <v>0</v>
      </c>
      <c r="L44" s="145"/>
      <c r="M44" s="145"/>
      <c r="N44" s="146"/>
    </row>
    <row r="45" spans="1:20" ht="10.5" x14ac:dyDescent="0.25">
      <c r="B45" s="147"/>
      <c r="C45" s="147"/>
      <c r="D45" s="148"/>
      <c r="E45" s="148"/>
      <c r="F45" s="92"/>
      <c r="G45" s="92"/>
      <c r="H45" s="92"/>
      <c r="I45" s="92"/>
      <c r="J45" s="92"/>
      <c r="K45" s="92"/>
    </row>
    <row r="46" spans="1:20" ht="11" thickBot="1" x14ac:dyDescent="0.3">
      <c r="B46" s="91" t="s">
        <v>91</v>
      </c>
      <c r="C46" s="91"/>
      <c r="I46" s="149" t="s">
        <v>146</v>
      </c>
      <c r="J46" s="95"/>
      <c r="O46" s="91" t="s">
        <v>93</v>
      </c>
    </row>
    <row r="47" spans="1:20" ht="10.5" x14ac:dyDescent="0.25">
      <c r="B47" s="585" t="s">
        <v>38</v>
      </c>
      <c r="C47" s="586"/>
      <c r="D47" s="586"/>
      <c r="E47" s="586"/>
      <c r="F47" s="586"/>
      <c r="G47" s="591" t="s">
        <v>13</v>
      </c>
      <c r="H47" s="592"/>
      <c r="I47" s="592"/>
      <c r="J47" s="624"/>
      <c r="K47" s="625" t="s">
        <v>24</v>
      </c>
      <c r="L47" s="657"/>
      <c r="M47" s="626"/>
      <c r="N47" s="674" t="s">
        <v>13</v>
      </c>
      <c r="O47" s="592"/>
      <c r="P47" s="592"/>
      <c r="Q47" s="624"/>
      <c r="R47" s="625" t="s">
        <v>24</v>
      </c>
      <c r="S47" s="657"/>
      <c r="T47" s="626"/>
    </row>
    <row r="48" spans="1:20" ht="10.5" x14ac:dyDescent="0.25">
      <c r="B48" s="588"/>
      <c r="C48" s="589"/>
      <c r="D48" s="589"/>
      <c r="E48" s="589"/>
      <c r="F48" s="589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</row>
    <row r="49" spans="1:20" ht="12.75" customHeight="1" x14ac:dyDescent="0.25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251"/>
      <c r="I49" s="252"/>
      <c r="J49" s="286">
        <f>G49</f>
        <v>0</v>
      </c>
      <c r="K49" s="126"/>
      <c r="L49" s="126"/>
      <c r="M49" s="127"/>
      <c r="N49" s="219">
        <f>Inmunizaciones!H47</f>
        <v>0</v>
      </c>
      <c r="O49" s="251"/>
      <c r="P49" s="252"/>
      <c r="Q49" s="286">
        <f>N49</f>
        <v>0</v>
      </c>
      <c r="R49" s="126"/>
      <c r="S49" s="126"/>
      <c r="T49" s="127"/>
    </row>
    <row r="50" spans="1:20" ht="12.75" customHeight="1" x14ac:dyDescent="0.25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251"/>
      <c r="I50" s="252"/>
      <c r="J50" s="286">
        <f>G50</f>
        <v>0</v>
      </c>
      <c r="K50" s="126"/>
      <c r="L50" s="126"/>
      <c r="M50" s="127"/>
      <c r="N50" s="219">
        <f>Inmunizaciones!H48</f>
        <v>0</v>
      </c>
      <c r="O50" s="251"/>
      <c r="P50" s="252"/>
      <c r="Q50" s="286">
        <f>N50</f>
        <v>0</v>
      </c>
      <c r="R50" s="126"/>
      <c r="S50" s="126"/>
      <c r="T50" s="127"/>
    </row>
    <row r="51" spans="1:20" ht="12.75" customHeight="1" x14ac:dyDescent="0.25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251"/>
      <c r="I51" s="252"/>
      <c r="J51" s="286">
        <f>G51</f>
        <v>0</v>
      </c>
      <c r="K51" s="126"/>
      <c r="L51" s="126"/>
      <c r="M51" s="127"/>
      <c r="N51" s="219">
        <f>Inmunizaciones!H49</f>
        <v>0</v>
      </c>
      <c r="O51" s="251"/>
      <c r="P51" s="252"/>
      <c r="Q51" s="286">
        <f>N51</f>
        <v>0</v>
      </c>
      <c r="R51" s="126"/>
      <c r="S51" s="126"/>
      <c r="T51" s="127"/>
    </row>
    <row r="52" spans="1:20" ht="12.75" customHeight="1" x14ac:dyDescent="0.25">
      <c r="A52" s="101"/>
      <c r="B52" s="630" t="s">
        <v>143</v>
      </c>
      <c r="C52" s="631"/>
      <c r="D52" s="631"/>
      <c r="E52" s="631"/>
      <c r="F52" s="632"/>
      <c r="G52" s="253">
        <f>Inmunizaciones!E50</f>
        <v>0</v>
      </c>
      <c r="H52" s="251"/>
      <c r="I52" s="252"/>
      <c r="J52" s="272">
        <f>G52</f>
        <v>0</v>
      </c>
      <c r="K52" s="129"/>
      <c r="L52" s="129"/>
      <c r="M52" s="130"/>
      <c r="N52" s="253">
        <f>Inmunizaciones!H50</f>
        <v>0</v>
      </c>
      <c r="O52" s="251"/>
      <c r="P52" s="252"/>
      <c r="Q52" s="272">
        <f>N52</f>
        <v>0</v>
      </c>
      <c r="R52" s="129"/>
      <c r="S52" s="129"/>
      <c r="T52" s="130"/>
    </row>
    <row r="53" spans="1:20" ht="12.75" customHeight="1" x14ac:dyDescent="0.25">
      <c r="A53" s="101"/>
      <c r="B53" s="614" t="s">
        <v>145</v>
      </c>
      <c r="C53" s="615"/>
      <c r="D53" s="660" t="s">
        <v>7</v>
      </c>
      <c r="E53" s="638"/>
      <c r="F53" s="110" t="s">
        <v>104</v>
      </c>
      <c r="G53" s="219">
        <f>Inmunizaciones!E51</f>
        <v>0</v>
      </c>
      <c r="H53" s="219">
        <f>Inmunizaciones!F51</f>
        <v>0</v>
      </c>
      <c r="I53" s="255"/>
      <c r="J53" s="272">
        <f>G53+H53</f>
        <v>0</v>
      </c>
      <c r="K53" s="129"/>
      <c r="L53" s="129"/>
      <c r="M53" s="130"/>
      <c r="N53" s="219">
        <f>Inmunizaciones!H51</f>
        <v>0</v>
      </c>
      <c r="O53" s="219">
        <f>Inmunizaciones!I51</f>
        <v>0</v>
      </c>
      <c r="P53" s="255"/>
      <c r="Q53" s="272">
        <f>N53+O53</f>
        <v>0</v>
      </c>
      <c r="R53" s="129"/>
      <c r="S53" s="129"/>
      <c r="T53" s="130"/>
    </row>
    <row r="54" spans="1:20" ht="12.75" customHeight="1" x14ac:dyDescent="0.25">
      <c r="A54" s="101"/>
      <c r="B54" s="616"/>
      <c r="C54" s="617"/>
      <c r="D54" s="661"/>
      <c r="E54" s="640"/>
      <c r="F54" s="108" t="s">
        <v>105</v>
      </c>
      <c r="G54" s="256"/>
      <c r="H54" s="257"/>
      <c r="I54" s="253">
        <f>Inmunizaciones!G52</f>
        <v>0</v>
      </c>
      <c r="J54" s="272">
        <f>I54</f>
        <v>0</v>
      </c>
      <c r="K54" s="129"/>
      <c r="L54" s="129"/>
      <c r="M54" s="130"/>
      <c r="N54" s="256"/>
      <c r="O54" s="257"/>
      <c r="P54" s="253">
        <f>Inmunizaciones!J52</f>
        <v>0</v>
      </c>
      <c r="Q54" s="272">
        <f>P54</f>
        <v>0</v>
      </c>
      <c r="R54" s="129"/>
      <c r="S54" s="129"/>
      <c r="T54" s="130"/>
    </row>
    <row r="55" spans="1:20" ht="12.75" customHeight="1" x14ac:dyDescent="0.25">
      <c r="A55" s="101"/>
      <c r="B55" s="616"/>
      <c r="C55" s="617"/>
      <c r="D55" s="642" t="s">
        <v>40</v>
      </c>
      <c r="E55" s="642"/>
      <c r="F55" s="643"/>
      <c r="G55" s="264">
        <f>Inmunizaciones!E53</f>
        <v>0</v>
      </c>
      <c r="H55" s="253">
        <f>Inmunizaciones!F53</f>
        <v>0</v>
      </c>
      <c r="I55" s="253">
        <f>Inmunizaciones!G53</f>
        <v>0</v>
      </c>
      <c r="J55" s="272">
        <f>G55+H55+I55</f>
        <v>0</v>
      </c>
      <c r="K55" s="129"/>
      <c r="L55" s="129"/>
      <c r="M55" s="130"/>
      <c r="N55" s="264">
        <f>Inmunizaciones!H53</f>
        <v>0</v>
      </c>
      <c r="O55" s="253">
        <f>Inmunizaciones!I53</f>
        <v>0</v>
      </c>
      <c r="P55" s="253">
        <f>Inmunizaciones!J53</f>
        <v>0</v>
      </c>
      <c r="Q55" s="272">
        <f>N55+O55+P55</f>
        <v>0</v>
      </c>
      <c r="R55" s="129"/>
      <c r="S55" s="129"/>
      <c r="T55" s="130"/>
    </row>
    <row r="56" spans="1:20" ht="12.75" customHeight="1" x14ac:dyDescent="0.25">
      <c r="A56" s="101"/>
      <c r="B56" s="616"/>
      <c r="C56" s="617"/>
      <c r="D56" s="662" t="s">
        <v>121</v>
      </c>
      <c r="E56" s="663"/>
      <c r="F56" s="110" t="s">
        <v>116</v>
      </c>
      <c r="G56" s="259"/>
      <c r="H56" s="253">
        <f>Inmunizaciones!F54</f>
        <v>0</v>
      </c>
      <c r="I56" s="253">
        <f>Inmunizaciones!G54</f>
        <v>0</v>
      </c>
      <c r="J56" s="272">
        <f>H56+I56</f>
        <v>0</v>
      </c>
      <c r="K56" s="129"/>
      <c r="L56" s="129"/>
      <c r="M56" s="130"/>
      <c r="N56" s="259"/>
      <c r="O56" s="253">
        <f>Inmunizaciones!I54</f>
        <v>0</v>
      </c>
      <c r="P56" s="253">
        <f>Inmunizaciones!J54</f>
        <v>0</v>
      </c>
      <c r="Q56" s="272">
        <f>O56+P56</f>
        <v>0</v>
      </c>
      <c r="R56" s="129"/>
      <c r="S56" s="129"/>
      <c r="T56" s="130"/>
    </row>
    <row r="57" spans="1:20" ht="12.75" customHeight="1" x14ac:dyDescent="0.25">
      <c r="A57" s="101"/>
      <c r="B57" s="616"/>
      <c r="C57" s="617"/>
      <c r="D57" s="664"/>
      <c r="E57" s="665"/>
      <c r="F57" s="108" t="s">
        <v>84</v>
      </c>
      <c r="G57" s="260"/>
      <c r="H57" s="253">
        <f>Inmunizaciones!F55</f>
        <v>0</v>
      </c>
      <c r="I57" s="253">
        <f>Inmunizaciones!G55</f>
        <v>0</v>
      </c>
      <c r="J57" s="272">
        <f>H57+I57</f>
        <v>0</v>
      </c>
      <c r="K57" s="129"/>
      <c r="L57" s="129"/>
      <c r="M57" s="130"/>
      <c r="N57" s="260"/>
      <c r="O57" s="253">
        <f>Inmunizaciones!I55</f>
        <v>0</v>
      </c>
      <c r="P57" s="253">
        <f>Inmunizaciones!J55</f>
        <v>0</v>
      </c>
      <c r="Q57" s="272">
        <f>O57+P57</f>
        <v>0</v>
      </c>
      <c r="R57" s="129"/>
      <c r="S57" s="129"/>
      <c r="T57" s="130"/>
    </row>
    <row r="58" spans="1:20" ht="12.75" customHeight="1" x14ac:dyDescent="0.25">
      <c r="A58" s="101"/>
      <c r="B58" s="616"/>
      <c r="C58" s="617"/>
      <c r="D58" s="666"/>
      <c r="E58" s="667"/>
      <c r="F58" s="114" t="s">
        <v>85</v>
      </c>
      <c r="G58" s="260"/>
      <c r="H58" s="261">
        <f>Inmunizaciones!F56</f>
        <v>0</v>
      </c>
      <c r="I58" s="261">
        <f>Inmunizaciones!G56</f>
        <v>0</v>
      </c>
      <c r="J58" s="272">
        <f>H58+I58</f>
        <v>0</v>
      </c>
      <c r="K58" s="129"/>
      <c r="L58" s="129"/>
      <c r="M58" s="130"/>
      <c r="N58" s="260"/>
      <c r="O58" s="261">
        <f>Inmunizaciones!I56</f>
        <v>0</v>
      </c>
      <c r="P58" s="261">
        <f>Inmunizaciones!J56</f>
        <v>0</v>
      </c>
      <c r="Q58" s="272">
        <f>O58+P58</f>
        <v>0</v>
      </c>
      <c r="R58" s="129"/>
      <c r="S58" s="129"/>
      <c r="T58" s="130"/>
    </row>
    <row r="59" spans="1:20" ht="12.75" customHeight="1" x14ac:dyDescent="0.25">
      <c r="A59" s="101"/>
      <c r="B59" s="616"/>
      <c r="C59" s="617"/>
      <c r="D59" s="668" t="s">
        <v>88</v>
      </c>
      <c r="E59" s="669"/>
      <c r="F59" s="670"/>
      <c r="G59" s="219">
        <f>Inmunizaciones!E57</f>
        <v>0</v>
      </c>
      <c r="H59" s="219">
        <f>Inmunizaciones!F57</f>
        <v>0</v>
      </c>
      <c r="I59" s="265"/>
      <c r="J59" s="287">
        <f>G59+H59</f>
        <v>0</v>
      </c>
      <c r="K59" s="153"/>
      <c r="L59" s="153"/>
      <c r="M59" s="154"/>
      <c r="N59" s="219">
        <f>Inmunizaciones!H57</f>
        <v>0</v>
      </c>
      <c r="O59" s="219">
        <f>Inmunizaciones!I57</f>
        <v>0</v>
      </c>
      <c r="P59" s="265"/>
      <c r="Q59" s="287">
        <f>N59+O59</f>
        <v>0</v>
      </c>
      <c r="R59" s="155"/>
      <c r="S59" s="129"/>
      <c r="T59" s="130"/>
    </row>
    <row r="60" spans="1:20" ht="12.75" customHeight="1" thickBot="1" x14ac:dyDescent="0.3">
      <c r="A60" s="101"/>
      <c r="B60" s="658"/>
      <c r="C60" s="659"/>
      <c r="D60" s="671" t="s">
        <v>122</v>
      </c>
      <c r="E60" s="672"/>
      <c r="F60" s="673"/>
      <c r="G60" s="266">
        <f>Inmunizaciones!E58</f>
        <v>0</v>
      </c>
      <c r="H60" s="267"/>
      <c r="I60" s="268"/>
      <c r="J60" s="278">
        <f>G60</f>
        <v>0</v>
      </c>
      <c r="K60" s="156"/>
      <c r="L60" s="156"/>
      <c r="M60" s="157"/>
      <c r="N60" s="266">
        <f>Inmunizaciones!H58</f>
        <v>0</v>
      </c>
      <c r="O60" s="267"/>
      <c r="P60" s="268"/>
      <c r="Q60" s="278">
        <f>N60</f>
        <v>0</v>
      </c>
      <c r="R60" s="145"/>
      <c r="S60" s="156"/>
      <c r="T60" s="157"/>
    </row>
    <row r="61" spans="1:20" ht="10.5" x14ac:dyDescent="0.25">
      <c r="A61" s="101"/>
      <c r="B61" s="147"/>
      <c r="C61" s="147"/>
      <c r="D61" s="148"/>
      <c r="E61" s="148"/>
      <c r="F61" s="92"/>
      <c r="G61" s="92"/>
      <c r="H61" s="92"/>
      <c r="I61" s="92"/>
      <c r="J61" s="92"/>
      <c r="K61" s="92"/>
      <c r="N61" s="92"/>
      <c r="O61" s="92"/>
      <c r="P61" s="92"/>
      <c r="Q61" s="92"/>
      <c r="R61" s="92"/>
      <c r="S61" s="92"/>
    </row>
    <row r="62" spans="1:20" ht="11" thickBot="1" x14ac:dyDescent="0.3">
      <c r="B62" s="91" t="s">
        <v>94</v>
      </c>
      <c r="C62" s="91"/>
      <c r="H62" s="93"/>
      <c r="I62" s="94"/>
      <c r="J62" s="149" t="s">
        <v>92</v>
      </c>
      <c r="K62" s="95"/>
      <c r="N62" s="91" t="s">
        <v>149</v>
      </c>
    </row>
    <row r="63" spans="1:20" ht="11" thickBot="1" x14ac:dyDescent="0.3">
      <c r="B63" s="585" t="s">
        <v>38</v>
      </c>
      <c r="C63" s="586"/>
      <c r="D63" s="586"/>
      <c r="E63" s="586"/>
      <c r="F63" s="587"/>
      <c r="G63" s="591" t="s">
        <v>13</v>
      </c>
      <c r="H63" s="592"/>
      <c r="I63" s="592"/>
      <c r="J63" s="624"/>
      <c r="K63" s="625" t="s">
        <v>24</v>
      </c>
      <c r="L63" s="657"/>
      <c r="M63" s="626"/>
      <c r="N63" s="91" t="s">
        <v>292</v>
      </c>
      <c r="R63" s="149" t="s">
        <v>92</v>
      </c>
      <c r="S63" s="95"/>
    </row>
    <row r="64" spans="1:20" ht="10.5" x14ac:dyDescent="0.25">
      <c r="B64" s="588"/>
      <c r="C64" s="589"/>
      <c r="D64" s="589"/>
      <c r="E64" s="589"/>
      <c r="F64" s="590"/>
      <c r="G64" s="97" t="s">
        <v>25</v>
      </c>
      <c r="H64" s="97" t="s">
        <v>26</v>
      </c>
      <c r="I64" s="97" t="s">
        <v>27</v>
      </c>
      <c r="J64" s="99" t="s">
        <v>10</v>
      </c>
      <c r="K64" s="100" t="s">
        <v>10</v>
      </c>
      <c r="L64" s="97" t="s">
        <v>19</v>
      </c>
      <c r="M64" s="122" t="s">
        <v>28</v>
      </c>
      <c r="N64" s="622" t="s">
        <v>150</v>
      </c>
      <c r="O64" s="591" t="s">
        <v>13</v>
      </c>
      <c r="P64" s="592"/>
      <c r="Q64" s="592"/>
      <c r="R64" s="624"/>
      <c r="S64" s="625" t="s">
        <v>31</v>
      </c>
      <c r="T64" s="626"/>
    </row>
    <row r="65" spans="1:20" ht="13.5" customHeight="1" x14ac:dyDescent="0.25">
      <c r="A65" s="101"/>
      <c r="B65" s="151" t="s">
        <v>147</v>
      </c>
      <c r="C65" s="124"/>
      <c r="D65" s="124"/>
      <c r="E65" s="124"/>
      <c r="F65" s="110" t="s">
        <v>25</v>
      </c>
      <c r="G65" s="219">
        <f>Inmunizaciones!K47</f>
        <v>0</v>
      </c>
      <c r="H65" s="251"/>
      <c r="I65" s="252"/>
      <c r="J65" s="286">
        <f>G65</f>
        <v>0</v>
      </c>
      <c r="K65" s="126"/>
      <c r="L65" s="126"/>
      <c r="M65" s="158"/>
      <c r="N65" s="623"/>
      <c r="O65" s="100" t="s">
        <v>25</v>
      </c>
      <c r="P65" s="97" t="s">
        <v>26</v>
      </c>
      <c r="Q65" s="97" t="s">
        <v>27</v>
      </c>
      <c r="R65" s="99" t="s">
        <v>10</v>
      </c>
      <c r="S65" s="99" t="s">
        <v>19</v>
      </c>
      <c r="T65" s="122" t="s">
        <v>28</v>
      </c>
    </row>
    <row r="66" spans="1:20" ht="13.5" customHeight="1" x14ac:dyDescent="0.25">
      <c r="A66" s="101"/>
      <c r="B66" s="151" t="s">
        <v>265</v>
      </c>
      <c r="C66" s="124"/>
      <c r="D66" s="124"/>
      <c r="E66" s="124"/>
      <c r="F66" s="110" t="s">
        <v>25</v>
      </c>
      <c r="G66" s="219">
        <f>Inmunizaciones!K48</f>
        <v>0</v>
      </c>
      <c r="H66" s="251"/>
      <c r="I66" s="252"/>
      <c r="J66" s="286">
        <f>G66</f>
        <v>0</v>
      </c>
      <c r="K66" s="126"/>
      <c r="L66" s="126"/>
      <c r="M66" s="158"/>
      <c r="N66" s="159" t="s">
        <v>151</v>
      </c>
      <c r="O66" s="219">
        <f>Inmunizaciones!C75</f>
        <v>0</v>
      </c>
      <c r="P66" s="271">
        <f>Inmunizaciones!D75</f>
        <v>0</v>
      </c>
      <c r="Q66" s="271">
        <f>Inmunizaciones!E75</f>
        <v>0</v>
      </c>
      <c r="R66" s="272">
        <f>O66+P66+Q66</f>
        <v>0</v>
      </c>
      <c r="S66" s="126"/>
      <c r="T66" s="158"/>
    </row>
    <row r="67" spans="1:20" ht="13.5" customHeight="1" x14ac:dyDescent="0.25">
      <c r="A67" s="101"/>
      <c r="B67" s="151" t="s">
        <v>148</v>
      </c>
      <c r="C67" s="124"/>
      <c r="D67" s="124"/>
      <c r="E67" s="124"/>
      <c r="F67" s="110" t="s">
        <v>25</v>
      </c>
      <c r="G67" s="219">
        <f>Inmunizaciones!K49</f>
        <v>0</v>
      </c>
      <c r="H67" s="251"/>
      <c r="I67" s="252"/>
      <c r="J67" s="286">
        <f>G67</f>
        <v>0</v>
      </c>
      <c r="K67" s="126"/>
      <c r="L67" s="126"/>
      <c r="M67" s="158"/>
      <c r="N67" s="159" t="s">
        <v>152</v>
      </c>
      <c r="O67" s="253">
        <f>Inmunizaciones!C76</f>
        <v>0</v>
      </c>
      <c r="P67" s="271">
        <f>Inmunizaciones!D76</f>
        <v>0</v>
      </c>
      <c r="Q67" s="271">
        <f>Inmunizaciones!E76</f>
        <v>0</v>
      </c>
      <c r="R67" s="272">
        <f>O67+P67+Q67</f>
        <v>0</v>
      </c>
      <c r="S67" s="126"/>
      <c r="T67" s="158"/>
    </row>
    <row r="68" spans="1:20" ht="13.5" customHeight="1" x14ac:dyDescent="0.25">
      <c r="A68" s="101"/>
      <c r="B68" s="630" t="s">
        <v>143</v>
      </c>
      <c r="C68" s="631"/>
      <c r="D68" s="631"/>
      <c r="E68" s="631"/>
      <c r="F68" s="632"/>
      <c r="G68" s="253">
        <f>Inmunizaciones!K50</f>
        <v>0</v>
      </c>
      <c r="H68" s="251"/>
      <c r="I68" s="252"/>
      <c r="J68" s="272">
        <f>G68</f>
        <v>0</v>
      </c>
      <c r="K68" s="129"/>
      <c r="L68" s="129"/>
      <c r="M68" s="158"/>
      <c r="N68" s="159" t="s">
        <v>153</v>
      </c>
      <c r="O68" s="253">
        <f>Inmunizaciones!C77</f>
        <v>0</v>
      </c>
      <c r="P68" s="271">
        <f>Inmunizaciones!D77</f>
        <v>0</v>
      </c>
      <c r="Q68" s="271">
        <f>Inmunizaciones!E77</f>
        <v>0</v>
      </c>
      <c r="R68" s="272">
        <f>O68+P68+Q68</f>
        <v>0</v>
      </c>
      <c r="S68" s="129"/>
      <c r="T68" s="160"/>
    </row>
    <row r="69" spans="1:20" ht="13.5" customHeight="1" thickBot="1" x14ac:dyDescent="0.3">
      <c r="A69" s="101"/>
      <c r="B69" s="614" t="s">
        <v>145</v>
      </c>
      <c r="C69" s="633"/>
      <c r="D69" s="637" t="s">
        <v>7</v>
      </c>
      <c r="E69" s="638"/>
      <c r="F69" s="110" t="s">
        <v>104</v>
      </c>
      <c r="G69" s="219">
        <f>Inmunizaciones!K51</f>
        <v>0</v>
      </c>
      <c r="H69" s="219">
        <f>Inmunizaciones!L51</f>
        <v>0</v>
      </c>
      <c r="I69" s="255"/>
      <c r="J69" s="272">
        <f>G69+H69</f>
        <v>0</v>
      </c>
      <c r="K69" s="129"/>
      <c r="L69" s="129"/>
      <c r="M69" s="158"/>
      <c r="N69" s="161" t="s">
        <v>154</v>
      </c>
      <c r="O69" s="266">
        <f>Inmunizaciones!C78</f>
        <v>0</v>
      </c>
      <c r="P69" s="273">
        <f>Inmunizaciones!D78</f>
        <v>0</v>
      </c>
      <c r="Q69" s="273">
        <f>Inmunizaciones!E78</f>
        <v>0</v>
      </c>
      <c r="R69" s="274">
        <f>O69+P69+Q69</f>
        <v>0</v>
      </c>
      <c r="S69" s="156"/>
      <c r="T69" s="162"/>
    </row>
    <row r="70" spans="1:20" ht="13.5" customHeight="1" thickBot="1" x14ac:dyDescent="0.3">
      <c r="A70" s="101"/>
      <c r="B70" s="616"/>
      <c r="C70" s="634"/>
      <c r="D70" s="639"/>
      <c r="E70" s="640"/>
      <c r="F70" s="108" t="s">
        <v>105</v>
      </c>
      <c r="G70" s="256"/>
      <c r="H70" s="257"/>
      <c r="I70" s="253">
        <f>Inmunizaciones!M52</f>
        <v>0</v>
      </c>
      <c r="J70" s="272">
        <f>I70</f>
        <v>0</v>
      </c>
      <c r="K70" s="129"/>
      <c r="L70" s="129"/>
      <c r="M70" s="158"/>
      <c r="N70" s="91" t="s">
        <v>293</v>
      </c>
      <c r="R70" s="149" t="s">
        <v>92</v>
      </c>
      <c r="S70" s="95"/>
    </row>
    <row r="71" spans="1:20" ht="12.75" customHeight="1" x14ac:dyDescent="0.25">
      <c r="A71" s="101"/>
      <c r="B71" s="616"/>
      <c r="C71" s="634"/>
      <c r="D71" s="641" t="s">
        <v>40</v>
      </c>
      <c r="E71" s="642"/>
      <c r="F71" s="643"/>
      <c r="G71" s="264">
        <f>Inmunizaciones!K53</f>
        <v>0</v>
      </c>
      <c r="H71" s="253">
        <f>Inmunizaciones!L53</f>
        <v>0</v>
      </c>
      <c r="I71" s="253">
        <f>Inmunizaciones!M53</f>
        <v>0</v>
      </c>
      <c r="J71" s="272">
        <f>G71+H71+I71</f>
        <v>0</v>
      </c>
      <c r="K71" s="129"/>
      <c r="L71" s="129"/>
      <c r="M71" s="163"/>
      <c r="N71" s="644" t="s">
        <v>150</v>
      </c>
      <c r="O71" s="596" t="s">
        <v>13</v>
      </c>
      <c r="P71" s="596"/>
      <c r="Q71" s="596"/>
      <c r="R71" s="164"/>
      <c r="S71" s="165" t="s">
        <v>31</v>
      </c>
      <c r="T71" s="166"/>
    </row>
    <row r="72" spans="1:20" ht="12.75" customHeight="1" x14ac:dyDescent="0.25">
      <c r="A72" s="101"/>
      <c r="B72" s="616"/>
      <c r="C72" s="634"/>
      <c r="D72" s="645" t="s">
        <v>121</v>
      </c>
      <c r="E72" s="646"/>
      <c r="F72" s="110" t="s">
        <v>116</v>
      </c>
      <c r="G72" s="259"/>
      <c r="H72" s="253">
        <f>Inmunizaciones!L54</f>
        <v>0</v>
      </c>
      <c r="I72" s="253">
        <f>Inmunizaciones!M54</f>
        <v>0</v>
      </c>
      <c r="J72" s="272">
        <f>H72+I72</f>
        <v>0</v>
      </c>
      <c r="K72" s="129"/>
      <c r="L72" s="129"/>
      <c r="M72" s="163"/>
      <c r="N72" s="618"/>
      <c r="O72" s="99" t="s">
        <v>25</v>
      </c>
      <c r="P72" s="99" t="s">
        <v>26</v>
      </c>
      <c r="Q72" s="99" t="s">
        <v>27</v>
      </c>
      <c r="R72" s="99" t="s">
        <v>10</v>
      </c>
      <c r="S72" s="99" t="s">
        <v>19</v>
      </c>
      <c r="T72" s="122" t="s">
        <v>28</v>
      </c>
    </row>
    <row r="73" spans="1:20" ht="12.75" customHeight="1" x14ac:dyDescent="0.25">
      <c r="A73" s="101"/>
      <c r="B73" s="616"/>
      <c r="C73" s="634"/>
      <c r="D73" s="647"/>
      <c r="E73" s="648"/>
      <c r="F73" s="108" t="s">
        <v>84</v>
      </c>
      <c r="G73" s="260"/>
      <c r="H73" s="253">
        <f>Inmunizaciones!L55</f>
        <v>0</v>
      </c>
      <c r="I73" s="253">
        <f>Inmunizaciones!M55</f>
        <v>0</v>
      </c>
      <c r="J73" s="272">
        <f>H73+I73</f>
        <v>0</v>
      </c>
      <c r="K73" s="129"/>
      <c r="L73" s="129"/>
      <c r="M73" s="163"/>
      <c r="N73" s="167" t="s">
        <v>151</v>
      </c>
      <c r="O73" s="219">
        <f>Inmunizaciones!C66</f>
        <v>0</v>
      </c>
      <c r="P73" s="275">
        <f>Inmunizaciones!D66</f>
        <v>0</v>
      </c>
      <c r="Q73" s="275">
        <f>Inmunizaciones!E66</f>
        <v>0</v>
      </c>
      <c r="R73" s="276">
        <f>O73+P73+Q73</f>
        <v>0</v>
      </c>
      <c r="S73" s="155"/>
      <c r="T73" s="168"/>
    </row>
    <row r="74" spans="1:20" ht="12.75" customHeight="1" x14ac:dyDescent="0.25">
      <c r="A74" s="101"/>
      <c r="B74" s="616"/>
      <c r="C74" s="634"/>
      <c r="D74" s="649"/>
      <c r="E74" s="650"/>
      <c r="F74" s="114" t="s">
        <v>85</v>
      </c>
      <c r="G74" s="260"/>
      <c r="H74" s="253">
        <f>Inmunizaciones!L56</f>
        <v>0</v>
      </c>
      <c r="I74" s="253">
        <f>Inmunizaciones!M56</f>
        <v>0</v>
      </c>
      <c r="J74" s="272">
        <f>H74+I74</f>
        <v>0</v>
      </c>
      <c r="K74" s="129"/>
      <c r="L74" s="129"/>
      <c r="M74" s="163"/>
      <c r="N74" s="167" t="s">
        <v>152</v>
      </c>
      <c r="O74" s="219">
        <f>Inmunizaciones!C67</f>
        <v>0</v>
      </c>
      <c r="P74" s="275">
        <f>Inmunizaciones!D67</f>
        <v>0</v>
      </c>
      <c r="Q74" s="275">
        <f>Inmunizaciones!E67</f>
        <v>0</v>
      </c>
      <c r="R74" s="276">
        <f>O74+P74+Q74</f>
        <v>0</v>
      </c>
      <c r="S74" s="155"/>
      <c r="T74" s="168"/>
    </row>
    <row r="75" spans="1:20" ht="12.75" customHeight="1" x14ac:dyDescent="0.25">
      <c r="A75" s="101"/>
      <c r="B75" s="616"/>
      <c r="C75" s="634"/>
      <c r="D75" s="651" t="s">
        <v>88</v>
      </c>
      <c r="E75" s="652"/>
      <c r="F75" s="653"/>
      <c r="G75" s="219">
        <f>Inmunizaciones!K57</f>
        <v>0</v>
      </c>
      <c r="H75" s="219">
        <f>Inmunizaciones!L57</f>
        <v>0</v>
      </c>
      <c r="I75" s="265"/>
      <c r="J75" s="276">
        <f>G75+H75</f>
        <v>0</v>
      </c>
      <c r="K75" s="129"/>
      <c r="L75" s="129"/>
      <c r="M75" s="163"/>
      <c r="N75" s="167" t="s">
        <v>153</v>
      </c>
      <c r="O75" s="219">
        <f>Inmunizaciones!C68</f>
        <v>0</v>
      </c>
      <c r="P75" s="275">
        <f>Inmunizaciones!D68</f>
        <v>0</v>
      </c>
      <c r="Q75" s="275">
        <f>Inmunizaciones!E68</f>
        <v>0</v>
      </c>
      <c r="R75" s="276">
        <f>O75+P75+Q75</f>
        <v>0</v>
      </c>
      <c r="S75" s="155"/>
      <c r="T75" s="168"/>
    </row>
    <row r="76" spans="1:20" ht="12.75" customHeight="1" x14ac:dyDescent="0.25">
      <c r="A76" s="101"/>
      <c r="B76" s="635"/>
      <c r="C76" s="636"/>
      <c r="D76" s="654" t="s">
        <v>122</v>
      </c>
      <c r="E76" s="655"/>
      <c r="F76" s="656"/>
      <c r="G76" s="269">
        <f>Inmunizaciones!K58</f>
        <v>0</v>
      </c>
      <c r="H76" s="256"/>
      <c r="I76" s="252"/>
      <c r="J76" s="276">
        <f>G76</f>
        <v>0</v>
      </c>
      <c r="K76" s="129"/>
      <c r="L76" s="129"/>
      <c r="M76" s="163"/>
      <c r="N76" s="167" t="s">
        <v>154</v>
      </c>
      <c r="O76" s="219">
        <f>Inmunizaciones!C69</f>
        <v>0</v>
      </c>
      <c r="P76" s="275">
        <f>Inmunizaciones!D69</f>
        <v>0</v>
      </c>
      <c r="Q76" s="275">
        <f>Inmunizaciones!E69</f>
        <v>0</v>
      </c>
      <c r="R76" s="276">
        <f>O76+P76+Q76</f>
        <v>0</v>
      </c>
      <c r="S76" s="155"/>
      <c r="T76" s="168"/>
    </row>
    <row r="77" spans="1:20" ht="12.75" customHeight="1" x14ac:dyDescent="0.25">
      <c r="A77" s="101"/>
      <c r="B77" s="151" t="s">
        <v>101</v>
      </c>
      <c r="C77" s="124"/>
      <c r="D77" s="124"/>
      <c r="E77" s="124"/>
      <c r="F77" s="108" t="s">
        <v>266</v>
      </c>
      <c r="G77" s="259"/>
      <c r="H77" s="219">
        <f>Inmunizaciones!L59</f>
        <v>0</v>
      </c>
      <c r="I77" s="252"/>
      <c r="J77" s="276">
        <f>H77</f>
        <v>0</v>
      </c>
      <c r="K77" s="129"/>
      <c r="L77" s="129"/>
      <c r="M77" s="163"/>
      <c r="N77" s="167" t="s">
        <v>267</v>
      </c>
      <c r="O77" s="219">
        <f>Inmunizaciones!C70</f>
        <v>0</v>
      </c>
      <c r="P77" s="275">
        <f>Inmunizaciones!D70</f>
        <v>0</v>
      </c>
      <c r="Q77" s="275">
        <f>Inmunizaciones!E70</f>
        <v>0</v>
      </c>
      <c r="R77" s="276">
        <f t="shared" ref="R77:R78" si="0">O77+P77+Q77</f>
        <v>0</v>
      </c>
      <c r="S77" s="155"/>
      <c r="T77" s="168"/>
    </row>
    <row r="78" spans="1:20" ht="12.75" customHeight="1" thickBot="1" x14ac:dyDescent="0.3">
      <c r="A78" s="101"/>
      <c r="B78" s="169" t="s">
        <v>155</v>
      </c>
      <c r="C78" s="170"/>
      <c r="D78" s="170"/>
      <c r="E78" s="170"/>
      <c r="F78" s="108" t="s">
        <v>266</v>
      </c>
      <c r="G78" s="270"/>
      <c r="H78" s="266">
        <f>Inmunizaciones!L60</f>
        <v>0</v>
      </c>
      <c r="I78" s="268"/>
      <c r="J78" s="278">
        <f>H78</f>
        <v>0</v>
      </c>
      <c r="K78" s="156"/>
      <c r="L78" s="156"/>
      <c r="M78" s="171"/>
      <c r="N78" s="172" t="s">
        <v>268</v>
      </c>
      <c r="O78" s="220">
        <f>Inmunizaciones!C71</f>
        <v>0</v>
      </c>
      <c r="P78" s="277">
        <f>Inmunizaciones!D71</f>
        <v>0</v>
      </c>
      <c r="Q78" s="277">
        <f>Inmunizaciones!E71</f>
        <v>0</v>
      </c>
      <c r="R78" s="278">
        <f t="shared" si="0"/>
        <v>0</v>
      </c>
      <c r="S78" s="145"/>
      <c r="T78" s="173"/>
    </row>
    <row r="79" spans="1:20" ht="10.5" x14ac:dyDescent="0.25">
      <c r="N79" s="174"/>
      <c r="O79" s="174"/>
      <c r="P79" s="174"/>
      <c r="Q79" s="174"/>
      <c r="R79" s="174"/>
      <c r="S79" s="174"/>
    </row>
    <row r="80" spans="1:20" ht="13.5" customHeight="1" thickBot="1" x14ac:dyDescent="0.3">
      <c r="B80" s="91" t="s">
        <v>156</v>
      </c>
      <c r="C80" s="91"/>
      <c r="H80" s="91" t="s">
        <v>157</v>
      </c>
      <c r="I80" s="91"/>
      <c r="K80" s="174"/>
      <c r="L80" s="174"/>
      <c r="N80" s="91" t="s">
        <v>158</v>
      </c>
    </row>
    <row r="81" spans="1:20" ht="11" thickBot="1" x14ac:dyDescent="0.3">
      <c r="B81" s="91" t="s">
        <v>159</v>
      </c>
      <c r="E81" s="174"/>
      <c r="F81" s="174"/>
      <c r="G81" s="147"/>
      <c r="H81" s="91" t="s">
        <v>160</v>
      </c>
      <c r="L81" s="147"/>
      <c r="N81" s="622" t="s">
        <v>150</v>
      </c>
      <c r="O81" s="592" t="s">
        <v>13</v>
      </c>
      <c r="P81" s="592"/>
      <c r="Q81" s="592"/>
      <c r="R81" s="624"/>
      <c r="S81" s="625" t="s">
        <v>31</v>
      </c>
      <c r="T81" s="626"/>
    </row>
    <row r="82" spans="1:20" ht="12.75" customHeight="1" x14ac:dyDescent="0.25">
      <c r="B82" s="585" t="s">
        <v>161</v>
      </c>
      <c r="C82" s="586"/>
      <c r="D82" s="586"/>
      <c r="E82" s="587"/>
      <c r="F82" s="606" t="s">
        <v>10</v>
      </c>
      <c r="G82" s="147"/>
      <c r="H82" s="585" t="s">
        <v>269</v>
      </c>
      <c r="I82" s="586"/>
      <c r="J82" s="586"/>
      <c r="K82" s="587"/>
      <c r="L82" s="606" t="s">
        <v>10</v>
      </c>
      <c r="N82" s="623"/>
      <c r="O82" s="100" t="s">
        <v>25</v>
      </c>
      <c r="P82" s="97" t="s">
        <v>26</v>
      </c>
      <c r="Q82" s="97" t="s">
        <v>27</v>
      </c>
      <c r="R82" s="99" t="s">
        <v>10</v>
      </c>
      <c r="S82" s="99" t="s">
        <v>19</v>
      </c>
      <c r="T82" s="122" t="s">
        <v>28</v>
      </c>
    </row>
    <row r="83" spans="1:20" ht="12.75" customHeight="1" x14ac:dyDescent="0.25">
      <c r="B83" s="588"/>
      <c r="C83" s="589"/>
      <c r="D83" s="589"/>
      <c r="E83" s="590"/>
      <c r="F83" s="607"/>
      <c r="G83" s="147"/>
      <c r="H83" s="627"/>
      <c r="I83" s="628"/>
      <c r="J83" s="628"/>
      <c r="K83" s="629"/>
      <c r="L83" s="607"/>
      <c r="M83" s="175"/>
      <c r="N83" s="167" t="s">
        <v>151</v>
      </c>
      <c r="O83" s="219">
        <f>Inmunizaciones!C135</f>
        <v>0</v>
      </c>
      <c r="P83" s="275">
        <f>Inmunizaciones!D135</f>
        <v>0</v>
      </c>
      <c r="Q83" s="275">
        <f>Inmunizaciones!E135</f>
        <v>0</v>
      </c>
      <c r="R83" s="276">
        <f>O83+P83+Q83</f>
        <v>0</v>
      </c>
      <c r="S83" s="155"/>
      <c r="T83" s="168"/>
    </row>
    <row r="84" spans="1:20" ht="12.75" customHeight="1" x14ac:dyDescent="0.25">
      <c r="A84" s="101"/>
      <c r="B84" s="608" t="s">
        <v>270</v>
      </c>
      <c r="C84" s="609"/>
      <c r="D84" s="176" t="s">
        <v>162</v>
      </c>
      <c r="E84" s="177"/>
      <c r="F84" s="227">
        <f>Inmunizaciones!D102</f>
        <v>0</v>
      </c>
      <c r="G84" s="101"/>
      <c r="H84" s="614" t="s">
        <v>163</v>
      </c>
      <c r="I84" s="615"/>
      <c r="J84" s="176" t="s">
        <v>162</v>
      </c>
      <c r="K84" s="178"/>
      <c r="L84" s="227">
        <f>Inmunizaciones!C149</f>
        <v>0</v>
      </c>
      <c r="M84" s="175"/>
      <c r="N84" s="167" t="s">
        <v>152</v>
      </c>
      <c r="O84" s="219">
        <f>Inmunizaciones!C136</f>
        <v>0</v>
      </c>
      <c r="P84" s="275">
        <f>Inmunizaciones!D136</f>
        <v>0</v>
      </c>
      <c r="Q84" s="275">
        <f>Inmunizaciones!E136</f>
        <v>0</v>
      </c>
      <c r="R84" s="276">
        <f>O84+P84+Q84</f>
        <v>0</v>
      </c>
      <c r="S84" s="155"/>
      <c r="T84" s="168"/>
    </row>
    <row r="85" spans="1:20" ht="12.75" customHeight="1" x14ac:dyDescent="0.25">
      <c r="A85" s="101"/>
      <c r="B85" s="610"/>
      <c r="C85" s="611"/>
      <c r="D85" s="176" t="s">
        <v>95</v>
      </c>
      <c r="E85" s="177"/>
      <c r="F85" s="227">
        <f>Inmunizaciones!D103</f>
        <v>0</v>
      </c>
      <c r="G85" s="101"/>
      <c r="H85" s="616"/>
      <c r="I85" s="617"/>
      <c r="J85" s="176" t="s">
        <v>95</v>
      </c>
      <c r="K85" s="178"/>
      <c r="L85" s="227">
        <f>Inmunizaciones!C150</f>
        <v>0</v>
      </c>
      <c r="M85" s="175"/>
      <c r="N85" s="167" t="s">
        <v>153</v>
      </c>
      <c r="O85" s="219">
        <f>Inmunizaciones!C137</f>
        <v>0</v>
      </c>
      <c r="P85" s="275">
        <f>Inmunizaciones!D137</f>
        <v>0</v>
      </c>
      <c r="Q85" s="275">
        <f>Inmunizaciones!E137</f>
        <v>0</v>
      </c>
      <c r="R85" s="276">
        <f>O85+P85+Q85</f>
        <v>0</v>
      </c>
      <c r="S85" s="155"/>
      <c r="T85" s="168"/>
    </row>
    <row r="86" spans="1:20" ht="12.75" customHeight="1" x14ac:dyDescent="0.25">
      <c r="A86" s="101"/>
      <c r="B86" s="610"/>
      <c r="C86" s="611"/>
      <c r="D86" s="176" t="s">
        <v>96</v>
      </c>
      <c r="E86" s="177"/>
      <c r="F86" s="227">
        <f>Inmunizaciones!D104</f>
        <v>0</v>
      </c>
      <c r="G86" s="101"/>
      <c r="H86" s="616"/>
      <c r="I86" s="617"/>
      <c r="J86" s="176" t="s">
        <v>96</v>
      </c>
      <c r="K86" s="178"/>
      <c r="L86" s="228">
        <f>Inmunizaciones!C151</f>
        <v>0</v>
      </c>
      <c r="M86" s="175"/>
      <c r="N86" s="167" t="s">
        <v>164</v>
      </c>
      <c r="O86" s="219">
        <f>Inmunizaciones!C138</f>
        <v>0</v>
      </c>
      <c r="P86" s="275">
        <f>Inmunizaciones!D138</f>
        <v>0</v>
      </c>
      <c r="Q86" s="275">
        <f>Inmunizaciones!E138</f>
        <v>0</v>
      </c>
      <c r="R86" s="276">
        <f>O86+P86+Q86</f>
        <v>0</v>
      </c>
      <c r="S86" s="155"/>
      <c r="T86" s="168"/>
    </row>
    <row r="87" spans="1:20" ht="12.75" customHeight="1" x14ac:dyDescent="0.25">
      <c r="A87" s="101"/>
      <c r="B87" s="610"/>
      <c r="C87" s="611"/>
      <c r="D87" s="176" t="s">
        <v>97</v>
      </c>
      <c r="E87" s="177"/>
      <c r="F87" s="227">
        <f>Inmunizaciones!D105</f>
        <v>0</v>
      </c>
      <c r="G87" s="101"/>
      <c r="H87" s="616"/>
      <c r="I87" s="617"/>
      <c r="J87" s="179" t="s">
        <v>97</v>
      </c>
      <c r="K87" s="180"/>
      <c r="L87" s="227">
        <f>Inmunizaciones!C152</f>
        <v>0</v>
      </c>
      <c r="M87" s="175"/>
      <c r="N87" s="167" t="s">
        <v>271</v>
      </c>
      <c r="O87" s="219">
        <f>Inmunizaciones!C139</f>
        <v>0</v>
      </c>
      <c r="P87" s="275">
        <f>Inmunizaciones!D139</f>
        <v>0</v>
      </c>
      <c r="Q87" s="275">
        <f>Inmunizaciones!E139</f>
        <v>0</v>
      </c>
      <c r="R87" s="276">
        <f>O87+P87+Q87</f>
        <v>0</v>
      </c>
      <c r="S87" s="155"/>
      <c r="T87" s="168"/>
    </row>
    <row r="88" spans="1:20" ht="12" customHeight="1" x14ac:dyDescent="0.25">
      <c r="A88" s="101"/>
      <c r="B88" s="612"/>
      <c r="C88" s="613"/>
      <c r="D88" s="176" t="s">
        <v>272</v>
      </c>
      <c r="E88" s="177"/>
      <c r="F88" s="227">
        <f>Inmunizaciones!D106</f>
        <v>0</v>
      </c>
      <c r="G88" s="147"/>
      <c r="H88" s="181" t="s">
        <v>273</v>
      </c>
      <c r="I88" s="182"/>
      <c r="J88" s="182"/>
      <c r="K88" s="183"/>
      <c r="L88" s="228">
        <f>Inmunizaciones!C153</f>
        <v>0</v>
      </c>
      <c r="M88" s="184" t="s">
        <v>176</v>
      </c>
      <c r="N88" s="618" t="s">
        <v>274</v>
      </c>
      <c r="O88" s="600">
        <f>Inmunizaciones!C140</f>
        <v>0</v>
      </c>
      <c r="P88" s="620"/>
      <c r="Q88" s="620"/>
      <c r="R88" s="598">
        <v>0</v>
      </c>
      <c r="S88" s="600"/>
      <c r="T88" s="602"/>
    </row>
    <row r="89" spans="1:20" ht="12.75" customHeight="1" x14ac:dyDescent="0.25">
      <c r="A89" s="101"/>
      <c r="B89" s="604" t="s">
        <v>275</v>
      </c>
      <c r="C89" s="605"/>
      <c r="D89" s="176" t="s">
        <v>162</v>
      </c>
      <c r="E89" s="177"/>
      <c r="F89" s="227">
        <f>Inmunizaciones!D107</f>
        <v>0</v>
      </c>
      <c r="G89" s="147"/>
      <c r="H89" s="181" t="s">
        <v>276</v>
      </c>
      <c r="I89" s="182"/>
      <c r="J89" s="182"/>
      <c r="K89" s="183"/>
      <c r="L89" s="228">
        <f>Inmunizaciones!C154</f>
        <v>0</v>
      </c>
      <c r="M89" s="184" t="s">
        <v>176</v>
      </c>
      <c r="N89" s="618"/>
      <c r="O89" s="600">
        <f>Inmunizaciones!C141</f>
        <v>0</v>
      </c>
      <c r="P89" s="620"/>
      <c r="Q89" s="620"/>
      <c r="R89" s="598"/>
      <c r="S89" s="600"/>
      <c r="T89" s="602"/>
    </row>
    <row r="90" spans="1:20" ht="11" thickBot="1" x14ac:dyDescent="0.3">
      <c r="A90" s="101"/>
      <c r="B90" s="604"/>
      <c r="C90" s="605"/>
      <c r="D90" s="176" t="s">
        <v>95</v>
      </c>
      <c r="E90" s="177"/>
      <c r="F90" s="227">
        <f>Inmunizaciones!D108</f>
        <v>0</v>
      </c>
      <c r="G90" s="147"/>
      <c r="H90" s="181" t="s">
        <v>277</v>
      </c>
      <c r="I90" s="182"/>
      <c r="J90" s="182"/>
      <c r="K90" s="183"/>
      <c r="L90" s="228">
        <f>Inmunizaciones!C155</f>
        <v>0</v>
      </c>
      <c r="M90" s="184" t="s">
        <v>176</v>
      </c>
      <c r="N90" s="619"/>
      <c r="O90" s="601">
        <f>Inmunizaciones!C142</f>
        <v>0</v>
      </c>
      <c r="P90" s="621"/>
      <c r="Q90" s="621"/>
      <c r="R90" s="599"/>
      <c r="S90" s="601"/>
      <c r="T90" s="603"/>
    </row>
    <row r="91" spans="1:20" ht="12.75" customHeight="1" x14ac:dyDescent="0.25">
      <c r="A91" s="101"/>
      <c r="B91" s="604"/>
      <c r="C91" s="605"/>
      <c r="D91" s="176" t="s">
        <v>96</v>
      </c>
      <c r="E91" s="177"/>
      <c r="F91" s="227">
        <f>Inmunizaciones!D109</f>
        <v>0</v>
      </c>
      <c r="G91" s="147"/>
      <c r="H91" s="181" t="s">
        <v>278</v>
      </c>
      <c r="I91" s="182"/>
      <c r="J91" s="182"/>
      <c r="K91" s="183"/>
      <c r="L91" s="228">
        <f>Inmunizaciones!C156</f>
        <v>0</v>
      </c>
      <c r="M91" s="184" t="s">
        <v>176</v>
      </c>
      <c r="N91" s="185"/>
      <c r="O91" s="91"/>
      <c r="P91" s="120"/>
      <c r="Q91" s="174"/>
      <c r="R91" s="174"/>
      <c r="S91" s="120"/>
      <c r="T91" s="120"/>
    </row>
    <row r="92" spans="1:20" ht="12.75" customHeight="1" x14ac:dyDescent="0.25">
      <c r="A92" s="101"/>
      <c r="B92" s="604"/>
      <c r="C92" s="605"/>
      <c r="D92" s="176" t="s">
        <v>97</v>
      </c>
      <c r="E92" s="177"/>
      <c r="F92" s="227">
        <f>Inmunizaciones!D110</f>
        <v>0</v>
      </c>
      <c r="G92" s="184"/>
      <c r="H92" s="181" t="s">
        <v>279</v>
      </c>
      <c r="I92" s="182"/>
      <c r="J92" s="182"/>
      <c r="K92" s="183"/>
      <c r="L92" s="228">
        <f>Inmunizaciones!C157</f>
        <v>0</v>
      </c>
      <c r="M92" s="184" t="s">
        <v>176</v>
      </c>
      <c r="O92" s="91"/>
      <c r="P92" s="91" t="s">
        <v>166</v>
      </c>
      <c r="R92" s="120"/>
      <c r="T92" s="120"/>
    </row>
    <row r="93" spans="1:20" ht="12.75" customHeight="1" x14ac:dyDescent="0.25">
      <c r="A93" s="101"/>
      <c r="B93" s="604"/>
      <c r="C93" s="605"/>
      <c r="D93" s="176" t="s">
        <v>272</v>
      </c>
      <c r="E93" s="177"/>
      <c r="F93" s="227">
        <f>Inmunizaciones!D111</f>
        <v>0</v>
      </c>
      <c r="G93" s="184"/>
      <c r="H93" s="181" t="s">
        <v>256</v>
      </c>
      <c r="I93" s="182"/>
      <c r="J93" s="182"/>
      <c r="K93" s="183"/>
      <c r="L93" s="228">
        <f>Inmunizaciones!C158</f>
        <v>0</v>
      </c>
      <c r="M93" s="184" t="s">
        <v>176</v>
      </c>
      <c r="O93" s="91"/>
      <c r="P93" s="91" t="s">
        <v>168</v>
      </c>
      <c r="R93" s="120"/>
      <c r="T93" s="120"/>
    </row>
    <row r="94" spans="1:20" ht="12.75" customHeight="1" thickBot="1" x14ac:dyDescent="0.3">
      <c r="A94" s="101"/>
      <c r="B94" s="186" t="s">
        <v>215</v>
      </c>
      <c r="C94" s="187"/>
      <c r="D94" s="91"/>
      <c r="E94" s="188"/>
      <c r="F94" s="227">
        <f>Inmunizaciones!D112</f>
        <v>0</v>
      </c>
      <c r="G94" s="184"/>
      <c r="H94" s="181" t="s">
        <v>280</v>
      </c>
      <c r="I94" s="182"/>
      <c r="J94" s="182"/>
      <c r="K94" s="183"/>
      <c r="L94" s="228">
        <f>Inmunizaciones!C159</f>
        <v>0</v>
      </c>
      <c r="M94" s="184" t="s">
        <v>176</v>
      </c>
      <c r="O94" s="91"/>
      <c r="P94" s="91" t="s">
        <v>169</v>
      </c>
      <c r="R94" s="120"/>
      <c r="T94" s="120"/>
    </row>
    <row r="95" spans="1:20" ht="12.75" customHeight="1" thickBot="1" x14ac:dyDescent="0.3">
      <c r="A95" s="101"/>
      <c r="B95" s="189" t="s">
        <v>125</v>
      </c>
      <c r="C95" s="190"/>
      <c r="D95" s="191"/>
      <c r="E95" s="191"/>
      <c r="F95" s="218">
        <f>Inmunizaciones!D113</f>
        <v>0</v>
      </c>
      <c r="G95" s="184" t="s">
        <v>176</v>
      </c>
      <c r="H95" s="192" t="s">
        <v>281</v>
      </c>
      <c r="I95" s="193"/>
      <c r="J95" s="193"/>
      <c r="K95" s="194"/>
      <c r="L95" s="229">
        <f>Inmunizaciones!C160</f>
        <v>0</v>
      </c>
      <c r="M95" s="195" t="s">
        <v>176</v>
      </c>
      <c r="O95" s="91"/>
      <c r="P95" s="585" t="s">
        <v>282</v>
      </c>
      <c r="Q95" s="587"/>
      <c r="R95" s="606" t="s">
        <v>10</v>
      </c>
      <c r="T95" s="120"/>
    </row>
    <row r="96" spans="1:20" ht="12.75" customHeight="1" x14ac:dyDescent="0.25">
      <c r="B96" s="189" t="s">
        <v>126</v>
      </c>
      <c r="C96" s="190"/>
      <c r="D96" s="191"/>
      <c r="E96" s="191"/>
      <c r="F96" s="218">
        <f>Inmunizaciones!D114</f>
        <v>0</v>
      </c>
      <c r="G96" s="195" t="s">
        <v>176</v>
      </c>
      <c r="H96" s="196" t="s">
        <v>175</v>
      </c>
      <c r="O96" s="91"/>
      <c r="P96" s="588" t="s">
        <v>283</v>
      </c>
      <c r="Q96" s="590"/>
      <c r="R96" s="607"/>
      <c r="T96" s="120"/>
    </row>
    <row r="97" spans="2:30" ht="10.5" x14ac:dyDescent="0.25">
      <c r="B97" s="189" t="s">
        <v>45</v>
      </c>
      <c r="C97" s="190"/>
      <c r="D97" s="191"/>
      <c r="E97" s="191"/>
      <c r="F97" s="218">
        <f>Inmunizaciones!D115</f>
        <v>0</v>
      </c>
      <c r="G97" s="195" t="s">
        <v>176</v>
      </c>
      <c r="O97" s="91"/>
      <c r="P97" s="197" t="s">
        <v>162</v>
      </c>
      <c r="Q97" s="178"/>
      <c r="R97" s="228">
        <f>Inmunizaciones!C95</f>
        <v>0</v>
      </c>
      <c r="T97" s="120"/>
    </row>
    <row r="98" spans="2:30" ht="10.5" x14ac:dyDescent="0.25">
      <c r="B98" s="189" t="s">
        <v>284</v>
      </c>
      <c r="C98" s="190"/>
      <c r="D98" s="191"/>
      <c r="E98" s="191"/>
      <c r="F98" s="218">
        <f>Inmunizaciones!D116</f>
        <v>0</v>
      </c>
      <c r="G98" s="195" t="s">
        <v>176</v>
      </c>
      <c r="O98" s="91"/>
      <c r="P98" s="197" t="s">
        <v>95</v>
      </c>
      <c r="Q98" s="178"/>
      <c r="R98" s="228">
        <f>Inmunizaciones!C96</f>
        <v>0</v>
      </c>
      <c r="T98" s="120"/>
    </row>
    <row r="99" spans="2:30" ht="12.75" customHeight="1" x14ac:dyDescent="0.25">
      <c r="B99" s="189" t="s">
        <v>285</v>
      </c>
      <c r="C99" s="190"/>
      <c r="D99" s="191"/>
      <c r="E99" s="191"/>
      <c r="F99" s="218">
        <f>Inmunizaciones!D117</f>
        <v>0</v>
      </c>
      <c r="G99" s="195" t="s">
        <v>176</v>
      </c>
      <c r="O99" s="91"/>
      <c r="P99" s="197" t="s">
        <v>96</v>
      </c>
      <c r="Q99" s="178"/>
      <c r="R99" s="228">
        <f>Inmunizaciones!C97</f>
        <v>0</v>
      </c>
      <c r="T99" s="120"/>
      <c r="AD99" s="91" t="s">
        <v>286</v>
      </c>
    </row>
    <row r="100" spans="2:30" ht="12" customHeight="1" thickBot="1" x14ac:dyDescent="0.3">
      <c r="B100" s="189" t="s">
        <v>227</v>
      </c>
      <c r="C100" s="190"/>
      <c r="D100" s="191"/>
      <c r="E100" s="191"/>
      <c r="F100" s="218">
        <f>Inmunizaciones!D118</f>
        <v>0</v>
      </c>
      <c r="G100" s="195" t="s">
        <v>176</v>
      </c>
      <c r="H100" s="91" t="s">
        <v>165</v>
      </c>
      <c r="I100" s="91"/>
      <c r="M100" s="147"/>
      <c r="O100" s="101"/>
      <c r="P100" s="198" t="s">
        <v>98</v>
      </c>
      <c r="Q100" s="199"/>
      <c r="R100" s="229">
        <f>Inmunizaciones!C98</f>
        <v>0</v>
      </c>
    </row>
    <row r="101" spans="2:30" ht="12" customHeight="1" thickBot="1" x14ac:dyDescent="0.3">
      <c r="B101" s="189" t="s">
        <v>287</v>
      </c>
      <c r="C101" s="190"/>
      <c r="D101" s="191"/>
      <c r="E101" s="191"/>
      <c r="F101" s="218">
        <f>Inmunizaciones!D119</f>
        <v>0</v>
      </c>
      <c r="G101" s="195" t="s">
        <v>176</v>
      </c>
      <c r="H101" s="91" t="s">
        <v>167</v>
      </c>
      <c r="O101" s="101"/>
    </row>
    <row r="102" spans="2:30" ht="12" customHeight="1" x14ac:dyDescent="0.25">
      <c r="B102" s="189" t="s">
        <v>229</v>
      </c>
      <c r="C102" s="190"/>
      <c r="D102" s="191"/>
      <c r="E102" s="191"/>
      <c r="F102" s="218">
        <f>Inmunizaciones!D120</f>
        <v>0</v>
      </c>
      <c r="G102" s="195" t="s">
        <v>176</v>
      </c>
      <c r="H102" s="585" t="s">
        <v>269</v>
      </c>
      <c r="I102" s="586"/>
      <c r="J102" s="587"/>
      <c r="K102" s="591" t="s">
        <v>13</v>
      </c>
      <c r="L102" s="592"/>
      <c r="M102" s="592"/>
      <c r="N102" s="593"/>
      <c r="S102" s="120"/>
    </row>
    <row r="103" spans="2:30" ht="12" customHeight="1" x14ac:dyDescent="0.25">
      <c r="B103" s="189" t="s">
        <v>288</v>
      </c>
      <c r="C103" s="190"/>
      <c r="D103" s="191"/>
      <c r="E103" s="191"/>
      <c r="F103" s="218">
        <f>Inmunizaciones!D121</f>
        <v>0</v>
      </c>
      <c r="G103" s="195" t="s">
        <v>176</v>
      </c>
      <c r="H103" s="588"/>
      <c r="I103" s="589"/>
      <c r="J103" s="590"/>
      <c r="K103" s="100" t="s">
        <v>25</v>
      </c>
      <c r="L103" s="97" t="s">
        <v>26</v>
      </c>
      <c r="M103" s="97" t="s">
        <v>27</v>
      </c>
      <c r="N103" s="122" t="s">
        <v>10</v>
      </c>
      <c r="S103" s="120"/>
      <c r="T103" s="147"/>
    </row>
    <row r="104" spans="2:30" ht="12" customHeight="1" x14ac:dyDescent="0.25">
      <c r="B104" s="189" t="s">
        <v>231</v>
      </c>
      <c r="C104" s="190"/>
      <c r="D104" s="191"/>
      <c r="E104" s="191"/>
      <c r="F104" s="218">
        <f>Inmunizaciones!D122</f>
        <v>0</v>
      </c>
      <c r="G104" s="195" t="s">
        <v>176</v>
      </c>
      <c r="H104" s="197" t="s">
        <v>162</v>
      </c>
      <c r="I104" s="200"/>
      <c r="J104" s="178"/>
      <c r="K104" s="219">
        <f>Inmunizaciones!C82</f>
        <v>0</v>
      </c>
      <c r="L104" s="271">
        <f>Inmunizaciones!D82</f>
        <v>0</v>
      </c>
      <c r="M104" s="271">
        <f>Inmunizaciones!E82</f>
        <v>0</v>
      </c>
      <c r="N104" s="283">
        <f>K104+L104+M104</f>
        <v>0</v>
      </c>
      <c r="P104" s="91" t="s">
        <v>289</v>
      </c>
      <c r="S104" s="120"/>
      <c r="T104" s="147"/>
    </row>
    <row r="105" spans="2:30" ht="12" customHeight="1" x14ac:dyDescent="0.25">
      <c r="B105" s="189" t="s">
        <v>232</v>
      </c>
      <c r="C105" s="190"/>
      <c r="D105" s="191"/>
      <c r="E105" s="191"/>
      <c r="F105" s="218">
        <f>Inmunizaciones!D123</f>
        <v>0</v>
      </c>
      <c r="G105" s="195" t="s">
        <v>176</v>
      </c>
      <c r="H105" s="197" t="s">
        <v>95</v>
      </c>
      <c r="I105" s="200"/>
      <c r="J105" s="178"/>
      <c r="K105" s="219">
        <f>Inmunizaciones!C83</f>
        <v>0</v>
      </c>
      <c r="L105" s="271">
        <f>Inmunizaciones!D83</f>
        <v>0</v>
      </c>
      <c r="M105" s="271">
        <f>Inmunizaciones!E83</f>
        <v>0</v>
      </c>
      <c r="N105" s="283">
        <f>K105+L105+M105</f>
        <v>0</v>
      </c>
      <c r="P105" s="594" t="s">
        <v>290</v>
      </c>
      <c r="Q105" s="594"/>
      <c r="R105" s="594"/>
      <c r="S105" s="120"/>
      <c r="T105" s="147"/>
    </row>
    <row r="106" spans="2:30" ht="12" customHeight="1" thickBot="1" x14ac:dyDescent="0.3">
      <c r="B106" s="189" t="s">
        <v>233</v>
      </c>
      <c r="C106" s="190"/>
      <c r="D106" s="191"/>
      <c r="E106" s="191"/>
      <c r="F106" s="218">
        <f>Inmunizaciones!D124</f>
        <v>0</v>
      </c>
      <c r="G106" s="201" t="s">
        <v>176</v>
      </c>
      <c r="H106" s="197" t="s">
        <v>96</v>
      </c>
      <c r="I106" s="200"/>
      <c r="J106" s="178"/>
      <c r="K106" s="253">
        <f>Inmunizaciones!C84</f>
        <v>0</v>
      </c>
      <c r="L106" s="271">
        <f>Inmunizaciones!D84</f>
        <v>0</v>
      </c>
      <c r="M106" s="271">
        <f>Inmunizaciones!E84</f>
        <v>0</v>
      </c>
      <c r="N106" s="283">
        <f>K106+L106+M106</f>
        <v>0</v>
      </c>
      <c r="P106" s="594"/>
      <c r="Q106" s="594"/>
      <c r="R106" s="594"/>
      <c r="S106" s="120"/>
      <c r="T106" s="147"/>
    </row>
    <row r="107" spans="2:30" ht="12" customHeight="1" x14ac:dyDescent="0.25">
      <c r="B107" s="189" t="s">
        <v>234</v>
      </c>
      <c r="C107" s="190"/>
      <c r="D107" s="191"/>
      <c r="E107" s="191"/>
      <c r="F107" s="218">
        <f>Inmunizaciones!D125</f>
        <v>0</v>
      </c>
      <c r="G107" s="195" t="s">
        <v>176</v>
      </c>
      <c r="H107" s="202" t="s">
        <v>98</v>
      </c>
      <c r="I107" s="203"/>
      <c r="J107" s="203"/>
      <c r="K107" s="219">
        <f>Inmunizaciones!C85</f>
        <v>0</v>
      </c>
      <c r="L107" s="275">
        <f>Inmunizaciones!D85</f>
        <v>0</v>
      </c>
      <c r="M107" s="275">
        <f>Inmunizaciones!E85</f>
        <v>0</v>
      </c>
      <c r="N107" s="284">
        <f>K107+L107+M107</f>
        <v>0</v>
      </c>
      <c r="P107" s="595" t="s">
        <v>291</v>
      </c>
      <c r="Q107" s="596"/>
      <c r="R107" s="597"/>
      <c r="T107" s="147"/>
    </row>
    <row r="108" spans="2:30" ht="12" customHeight="1" x14ac:dyDescent="0.25">
      <c r="B108" s="189" t="s">
        <v>235</v>
      </c>
      <c r="C108" s="190"/>
      <c r="D108" s="191"/>
      <c r="E108" s="191"/>
      <c r="F108" s="218">
        <f>Inmunizaciones!D126</f>
        <v>0</v>
      </c>
      <c r="G108" s="195" t="s">
        <v>176</v>
      </c>
      <c r="H108" s="202" t="s">
        <v>271</v>
      </c>
      <c r="I108" s="203"/>
      <c r="J108" s="203"/>
      <c r="K108" s="219">
        <f>Inmunizaciones!C86</f>
        <v>0</v>
      </c>
      <c r="L108" s="275">
        <f>Inmunizaciones!D86</f>
        <v>0</v>
      </c>
      <c r="M108" s="275">
        <f>Inmunizaciones!E86</f>
        <v>0</v>
      </c>
      <c r="N108" s="284">
        <f>K108+L108+M108</f>
        <v>0</v>
      </c>
      <c r="P108" s="579" t="s">
        <v>13</v>
      </c>
      <c r="Q108" s="580"/>
      <c r="R108" s="581"/>
      <c r="T108" s="147"/>
    </row>
    <row r="109" spans="2:30" ht="10.5" x14ac:dyDescent="0.25">
      <c r="B109" s="189" t="s">
        <v>236</v>
      </c>
      <c r="C109" s="190"/>
      <c r="D109" s="191"/>
      <c r="E109" s="191"/>
      <c r="F109" s="218">
        <f>Inmunizaciones!D127</f>
        <v>0</v>
      </c>
      <c r="G109" s="195" t="s">
        <v>176</v>
      </c>
      <c r="H109" s="204" t="s">
        <v>45</v>
      </c>
      <c r="I109" s="191"/>
      <c r="J109" s="177"/>
      <c r="K109" s="108">
        <f>Inmunizaciones!C87</f>
        <v>0</v>
      </c>
      <c r="L109" s="108">
        <f>Inmunizaciones!D87</f>
        <v>0</v>
      </c>
      <c r="M109" s="108">
        <f>Inmunizaciones!E87</f>
        <v>0</v>
      </c>
      <c r="N109" s="122">
        <f t="shared" ref="N109:N110" si="1">K109+L109+M109</f>
        <v>0</v>
      </c>
      <c r="O109" s="195" t="s">
        <v>176</v>
      </c>
      <c r="P109" s="167" t="s">
        <v>25</v>
      </c>
      <c r="Q109" s="99" t="s">
        <v>26</v>
      </c>
      <c r="R109" s="122" t="s">
        <v>27</v>
      </c>
      <c r="T109" s="147"/>
    </row>
    <row r="110" spans="2:30" ht="13.5" customHeight="1" thickBot="1" x14ac:dyDescent="0.3">
      <c r="B110" s="206" t="s">
        <v>237</v>
      </c>
      <c r="C110" s="207"/>
      <c r="D110" s="208"/>
      <c r="E110" s="208"/>
      <c r="F110" s="218">
        <f>Inmunizaciones!D128</f>
        <v>0</v>
      </c>
      <c r="G110" s="195" t="s">
        <v>176</v>
      </c>
      <c r="H110" s="582" t="s">
        <v>80</v>
      </c>
      <c r="I110" s="583"/>
      <c r="J110" s="584"/>
      <c r="K110" s="280">
        <f>Inmunizaciones!C88</f>
        <v>0</v>
      </c>
      <c r="L110" s="280">
        <f>Inmunizaciones!D88</f>
        <v>0</v>
      </c>
      <c r="M110" s="280">
        <f>Inmunizaciones!E88</f>
        <v>0</v>
      </c>
      <c r="N110" s="285">
        <f t="shared" si="1"/>
        <v>0</v>
      </c>
      <c r="O110" s="195" t="s">
        <v>176</v>
      </c>
      <c r="P110" s="281">
        <f>Inmunizaciones!C193</f>
        <v>0</v>
      </c>
      <c r="Q110" s="280">
        <f>Inmunizaciones!D193</f>
        <v>0</v>
      </c>
      <c r="R110" s="282">
        <f>Inmunizaciones!E193</f>
        <v>0</v>
      </c>
    </row>
    <row r="111" spans="2:30" ht="13.5" customHeight="1" thickBot="1" x14ac:dyDescent="0.3">
      <c r="B111" s="210" t="s">
        <v>46</v>
      </c>
      <c r="C111" s="211"/>
      <c r="D111" s="212"/>
      <c r="E111" s="212"/>
      <c r="F111" s="221">
        <f>Inmunizaciones!D129</f>
        <v>0</v>
      </c>
      <c r="G111" s="195" t="s">
        <v>176</v>
      </c>
      <c r="H111" s="209"/>
      <c r="I111" s="209"/>
      <c r="J111" s="209"/>
      <c r="N111" s="91"/>
      <c r="O111" s="195"/>
    </row>
    <row r="112" spans="2:30" ht="10.5" x14ac:dyDescent="0.25">
      <c r="B112" s="213" t="s">
        <v>175</v>
      </c>
      <c r="C112" s="214"/>
      <c r="F112" s="215"/>
      <c r="G112" s="195" t="s">
        <v>176</v>
      </c>
      <c r="H112" s="213" t="s">
        <v>175</v>
      </c>
    </row>
    <row r="113" spans="2:7" ht="10.5" x14ac:dyDescent="0.25">
      <c r="B113" s="216"/>
      <c r="C113" s="214"/>
      <c r="F113" s="215"/>
      <c r="G113" s="91"/>
    </row>
    <row r="114" spans="2:7" ht="10" x14ac:dyDescent="0.25"/>
    <row r="115" spans="2:7" ht="13" x14ac:dyDescent="0.25">
      <c r="B115" s="217"/>
      <c r="C115" s="91" t="s">
        <v>170</v>
      </c>
    </row>
    <row r="116" spans="2:7" ht="10.5" x14ac:dyDescent="0.25">
      <c r="B116" s="205"/>
      <c r="C116" s="91" t="s">
        <v>171</v>
      </c>
    </row>
    <row r="117" spans="2:7" ht="10" x14ac:dyDescent="0.25"/>
    <row r="118" spans="2:7" ht="10" x14ac:dyDescent="0.25"/>
    <row r="119" spans="2:7" ht="10" x14ac:dyDescent="0.25"/>
    <row r="120" spans="2:7" ht="10" x14ac:dyDescent="0.25"/>
    <row r="121" spans="2:7" ht="10" x14ac:dyDescent="0.25"/>
    <row r="122" spans="2:7" ht="10" x14ac:dyDescent="0.25"/>
    <row r="123" spans="2:7" ht="10" x14ac:dyDescent="0.25"/>
    <row r="124" spans="2:7" ht="10" x14ac:dyDescent="0.25"/>
    <row r="125" spans="2:7" ht="10" x14ac:dyDescent="0.25"/>
    <row r="126" spans="2:7" ht="10" x14ac:dyDescent="0.25"/>
    <row r="127" spans="2:7" ht="10" x14ac:dyDescent="0.25"/>
    <row r="128" spans="2:7" ht="10" x14ac:dyDescent="0.25"/>
    <row r="129" ht="10" x14ac:dyDescent="0.25"/>
    <row r="130" ht="10" x14ac:dyDescent="0.25"/>
    <row r="131" ht="10" x14ac:dyDescent="0.25"/>
    <row r="132" ht="10" x14ac:dyDescent="0.25"/>
    <row r="133" ht="10" x14ac:dyDescent="0.25"/>
    <row r="134" ht="10" x14ac:dyDescent="0.25"/>
    <row r="135" ht="10" x14ac:dyDescent="0.25"/>
    <row r="136" ht="10" x14ac:dyDescent="0.25"/>
    <row r="137" ht="10" x14ac:dyDescent="0.25"/>
    <row r="138" ht="10" x14ac:dyDescent="0.25"/>
    <row r="139" ht="10" x14ac:dyDescent="0.25"/>
    <row r="140" ht="10" x14ac:dyDescent="0.25"/>
    <row r="141" ht="10" x14ac:dyDescent="0.25"/>
    <row r="142" ht="10" x14ac:dyDescent="0.25"/>
    <row r="143" ht="10" x14ac:dyDescent="0.25"/>
    <row r="144" ht="10" x14ac:dyDescent="0.25"/>
    <row r="145" ht="10" x14ac:dyDescent="0.25"/>
    <row r="146" ht="10" x14ac:dyDescent="0.25"/>
    <row r="147" ht="10" x14ac:dyDescent="0.25"/>
    <row r="148" ht="10" x14ac:dyDescent="0.25"/>
    <row r="149" ht="10" x14ac:dyDescent="0.25"/>
    <row r="150" ht="10" x14ac:dyDescent="0.25"/>
    <row r="151" ht="10" x14ac:dyDescent="0.25"/>
    <row r="152" ht="10" x14ac:dyDescent="0.25"/>
    <row r="153" ht="10" x14ac:dyDescent="0.25"/>
    <row r="154" ht="10" x14ac:dyDescent="0.25"/>
    <row r="155" ht="10" x14ac:dyDescent="0.25"/>
    <row r="156" ht="10" x14ac:dyDescent="0.25"/>
    <row r="157" ht="10" x14ac:dyDescent="0.25"/>
    <row r="158" ht="10" x14ac:dyDescent="0.25"/>
    <row r="159" ht="10" x14ac:dyDescent="0.25"/>
    <row r="160" ht="10" x14ac:dyDescent="0.25"/>
    <row r="161" ht="10" x14ac:dyDescent="0.25"/>
    <row r="162" ht="10" x14ac:dyDescent="0.25"/>
    <row r="163" ht="10" x14ac:dyDescent="0.25"/>
    <row r="164" ht="10" x14ac:dyDescent="0.25"/>
    <row r="165" ht="10" x14ac:dyDescent="0.25"/>
    <row r="166" ht="10" x14ac:dyDescent="0.25"/>
    <row r="167" ht="10" x14ac:dyDescent="0.25"/>
    <row r="168" ht="10" x14ac:dyDescent="0.25"/>
    <row r="169" ht="10" x14ac:dyDescent="0.25"/>
    <row r="170" ht="10" x14ac:dyDescent="0.25"/>
    <row r="171" ht="10" x14ac:dyDescent="0.25"/>
    <row r="172" ht="10" x14ac:dyDescent="0.25"/>
    <row r="173" ht="10" x14ac:dyDescent="0.25"/>
    <row r="174" ht="10" x14ac:dyDescent="0.25"/>
    <row r="175" ht="11.25" customHeight="1" x14ac:dyDescent="0.25"/>
  </sheetData>
  <mergeCells count="106"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4296875" defaultRowHeight="12.5" x14ac:dyDescent="0.25"/>
  <cols>
    <col min="1" max="1" width="2.7265625" customWidth="1"/>
    <col min="2" max="2" width="4.7265625" customWidth="1"/>
    <col min="3" max="3" width="4" customWidth="1"/>
    <col min="4" max="4" width="12.26953125" customWidth="1"/>
    <col min="5" max="5" width="4.7265625" customWidth="1"/>
    <col min="6" max="6" width="7.1796875" customWidth="1"/>
    <col min="7" max="7" width="7.453125" customWidth="1"/>
    <col min="8" max="10" width="6.7265625" customWidth="1"/>
    <col min="11" max="11" width="7.54296875" customWidth="1"/>
    <col min="12" max="13" width="6.7265625" customWidth="1"/>
    <col min="14" max="14" width="11.1796875" customWidth="1"/>
    <col min="15" max="15" width="7.1796875" customWidth="1"/>
    <col min="16" max="16" width="6.7265625" customWidth="1"/>
    <col min="17" max="17" width="9.453125" customWidth="1"/>
    <col min="18" max="18" width="6.7265625" customWidth="1"/>
    <col min="19" max="19" width="7.81640625" customWidth="1"/>
    <col min="20" max="20" width="8.26953125" customWidth="1"/>
    <col min="21" max="21" width="1.7265625" customWidth="1"/>
  </cols>
  <sheetData>
    <row r="1" spans="1:21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6"/>
    </row>
    <row r="2" spans="1:21" ht="18" x14ac:dyDescent="0.25">
      <c r="A2" s="86"/>
      <c r="B2" s="748" t="s">
        <v>131</v>
      </c>
      <c r="C2" s="748"/>
      <c r="D2" s="748"/>
      <c r="E2" s="748"/>
      <c r="F2" s="748"/>
      <c r="G2" s="748"/>
      <c r="H2" s="748"/>
      <c r="I2" s="748"/>
      <c r="J2" s="748"/>
      <c r="K2" s="748"/>
      <c r="L2" s="748"/>
      <c r="M2" s="748"/>
      <c r="N2" s="748"/>
      <c r="O2" s="748"/>
      <c r="P2" s="748"/>
      <c r="Q2" s="748"/>
      <c r="R2" s="748"/>
      <c r="S2" s="748"/>
      <c r="T2" s="748"/>
      <c r="U2" s="86"/>
    </row>
    <row r="3" spans="1:21" ht="13" x14ac:dyDescent="0.25">
      <c r="A3" s="86"/>
      <c r="B3" s="499" t="str">
        <f>Inmunizaciones!B2</f>
        <v>NIVEL:</v>
      </c>
      <c r="C3" s="499"/>
      <c r="D3" s="499"/>
      <c r="E3" s="499"/>
      <c r="F3" s="499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86"/>
      <c r="U3" s="86"/>
    </row>
    <row r="4" spans="1:21" ht="13" x14ac:dyDescent="0.25">
      <c r="A4" s="86"/>
      <c r="B4" s="499" t="str">
        <f>Inmunizaciones!B3</f>
        <v>DESDE:</v>
      </c>
      <c r="C4" s="499"/>
      <c r="D4" s="499"/>
      <c r="E4" s="499"/>
      <c r="F4" s="499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86"/>
      <c r="U4" s="86"/>
    </row>
    <row r="5" spans="1:21" x14ac:dyDescent="0.25">
      <c r="A5" s="86"/>
      <c r="B5" s="86" t="str">
        <f>Inmunizaciones!B4</f>
        <v>FECHA DE IMPRESION:</v>
      </c>
      <c r="C5" s="86"/>
      <c r="D5" s="90"/>
      <c r="E5" s="86"/>
      <c r="F5" s="86"/>
      <c r="G5" s="91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</row>
    <row r="6" spans="1:21" ht="13" thickBot="1" x14ac:dyDescent="0.3">
      <c r="A6" s="86"/>
      <c r="B6" s="91" t="s">
        <v>81</v>
      </c>
      <c r="C6" s="91"/>
      <c r="D6" s="86"/>
      <c r="E6" s="723"/>
      <c r="F6" s="723"/>
      <c r="G6" s="723"/>
      <c r="H6" s="92"/>
      <c r="I6" s="92"/>
      <c r="J6" s="92"/>
      <c r="K6" s="92"/>
      <c r="L6" s="86"/>
      <c r="M6" s="93"/>
      <c r="N6" s="94" t="s">
        <v>23</v>
      </c>
      <c r="O6" s="95"/>
      <c r="P6" s="93"/>
      <c r="Q6" s="96"/>
      <c r="R6" s="86"/>
      <c r="S6" s="86"/>
      <c r="T6" s="86"/>
      <c r="U6" s="86"/>
    </row>
    <row r="7" spans="1:21" ht="12.75" customHeight="1" x14ac:dyDescent="0.25">
      <c r="A7" s="86"/>
      <c r="B7" s="585" t="s">
        <v>38</v>
      </c>
      <c r="C7" s="586"/>
      <c r="D7" s="586"/>
      <c r="E7" s="586"/>
      <c r="F7" s="586"/>
      <c r="G7" s="587"/>
      <c r="H7" s="625" t="s">
        <v>82</v>
      </c>
      <c r="I7" s="657"/>
      <c r="J7" s="657"/>
      <c r="K7" s="657"/>
      <c r="L7" s="742"/>
      <c r="M7" s="625" t="s">
        <v>24</v>
      </c>
      <c r="N7" s="657"/>
      <c r="O7" s="742"/>
      <c r="P7" s="743" t="s">
        <v>132</v>
      </c>
      <c r="Q7" s="86" t="s">
        <v>22</v>
      </c>
      <c r="R7" s="86"/>
      <c r="S7" s="86"/>
      <c r="T7" s="86"/>
      <c r="U7" s="86"/>
    </row>
    <row r="8" spans="1:21" x14ac:dyDescent="0.25">
      <c r="A8" s="86"/>
      <c r="B8" s="588"/>
      <c r="C8" s="589"/>
      <c r="D8" s="589"/>
      <c r="E8" s="589"/>
      <c r="F8" s="589"/>
      <c r="G8" s="590"/>
      <c r="H8" s="97" t="s">
        <v>25</v>
      </c>
      <c r="I8" s="97" t="s">
        <v>26</v>
      </c>
      <c r="J8" s="97" t="s">
        <v>27</v>
      </c>
      <c r="K8" s="98" t="s">
        <v>10</v>
      </c>
      <c r="L8" s="99" t="s">
        <v>19</v>
      </c>
      <c r="M8" s="100" t="s">
        <v>10</v>
      </c>
      <c r="N8" s="97" t="s">
        <v>19</v>
      </c>
      <c r="O8" s="99" t="s">
        <v>28</v>
      </c>
      <c r="P8" s="744"/>
      <c r="Q8" s="86"/>
      <c r="R8" s="86"/>
      <c r="S8" s="86"/>
      <c r="T8" s="86"/>
      <c r="U8" s="86"/>
    </row>
    <row r="9" spans="1:21" x14ac:dyDescent="0.25">
      <c r="A9" s="101"/>
      <c r="B9" s="737" t="s">
        <v>29</v>
      </c>
      <c r="C9" s="660"/>
      <c r="D9" s="638"/>
      <c r="E9" s="753" t="s">
        <v>57</v>
      </c>
      <c r="F9" s="754"/>
      <c r="G9" s="755"/>
      <c r="H9" s="230">
        <f>Inmunizaciones!E9</f>
        <v>0</v>
      </c>
      <c r="I9" s="323"/>
      <c r="J9" s="324"/>
      <c r="K9" s="325">
        <f>H9</f>
        <v>0</v>
      </c>
      <c r="L9" s="102"/>
      <c r="M9" s="103"/>
      <c r="N9" s="102"/>
      <c r="O9" s="104"/>
      <c r="P9" s="105"/>
      <c r="Q9" s="86"/>
      <c r="R9" s="86"/>
      <c r="S9" s="86"/>
      <c r="T9" s="86"/>
      <c r="U9" s="86"/>
    </row>
    <row r="10" spans="1:21" x14ac:dyDescent="0.25">
      <c r="A10" s="101"/>
      <c r="B10" s="745"/>
      <c r="C10" s="746"/>
      <c r="D10" s="747"/>
      <c r="E10" s="753" t="s">
        <v>58</v>
      </c>
      <c r="F10" s="754"/>
      <c r="G10" s="755"/>
      <c r="H10" s="230">
        <f>Inmunizaciones!E10</f>
        <v>0</v>
      </c>
      <c r="I10" s="326"/>
      <c r="J10" s="327"/>
      <c r="K10" s="325">
        <f>H10</f>
        <v>0</v>
      </c>
      <c r="L10" s="102"/>
      <c r="M10" s="103"/>
      <c r="N10" s="102"/>
      <c r="O10" s="104"/>
      <c r="P10" s="105"/>
      <c r="Q10" s="86"/>
      <c r="R10" s="86"/>
      <c r="S10" s="86"/>
      <c r="T10" s="86"/>
      <c r="U10" s="86"/>
    </row>
    <row r="11" spans="1:21" x14ac:dyDescent="0.25">
      <c r="A11" s="101"/>
      <c r="B11" s="741"/>
      <c r="C11" s="661"/>
      <c r="D11" s="640"/>
      <c r="E11" s="753" t="s">
        <v>133</v>
      </c>
      <c r="F11" s="754"/>
      <c r="G11" s="755"/>
      <c r="H11" s="230">
        <f>Inmunizaciones!E11</f>
        <v>0</v>
      </c>
      <c r="I11" s="326"/>
      <c r="J11" s="327"/>
      <c r="K11" s="325">
        <f>H11</f>
        <v>0</v>
      </c>
      <c r="L11" s="102"/>
      <c r="M11" s="103"/>
      <c r="N11" s="102"/>
      <c r="O11" s="104"/>
      <c r="P11" s="105"/>
      <c r="Q11" s="86"/>
      <c r="R11" s="86"/>
      <c r="S11" s="86"/>
      <c r="T11" s="86"/>
      <c r="U11" s="86"/>
    </row>
    <row r="12" spans="1:21" x14ac:dyDescent="0.25">
      <c r="A12" s="101"/>
      <c r="B12" s="737" t="s">
        <v>83</v>
      </c>
      <c r="C12" s="660"/>
      <c r="D12" s="638"/>
      <c r="E12" s="753" t="s">
        <v>103</v>
      </c>
      <c r="F12" s="754"/>
      <c r="G12" s="755"/>
      <c r="H12" s="230">
        <f>Inmunizaciones!E12</f>
        <v>0</v>
      </c>
      <c r="I12" s="326"/>
      <c r="J12" s="327"/>
      <c r="K12" s="325">
        <f>H12</f>
        <v>0</v>
      </c>
      <c r="L12" s="102"/>
      <c r="M12" s="103"/>
      <c r="N12" s="102"/>
      <c r="O12" s="104"/>
      <c r="P12" s="105"/>
      <c r="Q12" s="86"/>
      <c r="R12" s="86"/>
      <c r="S12" s="86"/>
      <c r="T12" s="86"/>
      <c r="U12" s="86"/>
    </row>
    <row r="13" spans="1:21" x14ac:dyDescent="0.25">
      <c r="A13" s="101"/>
      <c r="B13" s="737" t="s">
        <v>83</v>
      </c>
      <c r="C13" s="660"/>
      <c r="D13" s="638"/>
      <c r="E13" s="753" t="s">
        <v>57</v>
      </c>
      <c r="F13" s="754"/>
      <c r="G13" s="755"/>
      <c r="H13" s="230">
        <f>Inmunizaciones!E13</f>
        <v>0</v>
      </c>
      <c r="I13" s="326"/>
      <c r="J13" s="327"/>
      <c r="K13" s="325">
        <f>H13</f>
        <v>0</v>
      </c>
      <c r="L13" s="102"/>
      <c r="M13" s="103"/>
      <c r="N13" s="102"/>
      <c r="O13" s="104"/>
      <c r="P13" s="105"/>
      <c r="Q13" s="86"/>
      <c r="R13" s="86"/>
      <c r="S13" s="86"/>
      <c r="T13" s="86"/>
      <c r="U13" s="86"/>
    </row>
    <row r="14" spans="1:21" x14ac:dyDescent="0.25">
      <c r="A14" s="101"/>
      <c r="B14" s="737" t="s">
        <v>7</v>
      </c>
      <c r="C14" s="660"/>
      <c r="D14" s="638"/>
      <c r="E14" s="106" t="s">
        <v>104</v>
      </c>
      <c r="F14" s="727" t="s">
        <v>134</v>
      </c>
      <c r="G14" s="729"/>
      <c r="H14" s="230">
        <f>Inmunizaciones!E14</f>
        <v>0</v>
      </c>
      <c r="I14" s="230">
        <f>Inmunizaciones!F14</f>
        <v>0</v>
      </c>
      <c r="J14" s="328"/>
      <c r="K14" s="325">
        <f>H14+I14</f>
        <v>0</v>
      </c>
      <c r="L14" s="102"/>
      <c r="M14" s="103"/>
      <c r="N14" s="102"/>
      <c r="O14" s="104"/>
      <c r="P14" s="107"/>
      <c r="Q14" s="86"/>
      <c r="R14" s="86"/>
      <c r="S14" s="86"/>
      <c r="T14" s="86"/>
      <c r="U14" s="86"/>
    </row>
    <row r="15" spans="1:21" x14ac:dyDescent="0.25">
      <c r="A15" s="101"/>
      <c r="B15" s="741"/>
      <c r="C15" s="661"/>
      <c r="D15" s="640"/>
      <c r="E15" s="108" t="s">
        <v>105</v>
      </c>
      <c r="F15" s="678" t="s">
        <v>135</v>
      </c>
      <c r="G15" s="679"/>
      <c r="H15" s="329"/>
      <c r="I15" s="330"/>
      <c r="J15" s="230">
        <f>Inmunizaciones!G15</f>
        <v>0</v>
      </c>
      <c r="K15" s="325">
        <f>J15</f>
        <v>0</v>
      </c>
      <c r="L15" s="102"/>
      <c r="M15" s="103"/>
      <c r="N15" s="102"/>
      <c r="O15" s="104"/>
      <c r="P15" s="107"/>
      <c r="Q15" s="86"/>
      <c r="R15" s="86"/>
      <c r="S15" s="86"/>
      <c r="T15" s="86"/>
      <c r="U15" s="86"/>
    </row>
    <row r="16" spans="1:21" x14ac:dyDescent="0.25">
      <c r="A16" s="101"/>
      <c r="B16" s="733" t="s">
        <v>40</v>
      </c>
      <c r="C16" s="642"/>
      <c r="D16" s="643"/>
      <c r="E16" s="727" t="s">
        <v>137</v>
      </c>
      <c r="F16" s="728"/>
      <c r="G16" s="729"/>
      <c r="H16" s="230">
        <f>Inmunizaciones!E16</f>
        <v>0</v>
      </c>
      <c r="I16" s="230">
        <f>Inmunizaciones!F16</f>
        <v>0</v>
      </c>
      <c r="J16" s="230">
        <f>Inmunizaciones!G16</f>
        <v>0</v>
      </c>
      <c r="K16" s="325">
        <f>H16+I16+J16</f>
        <v>0</v>
      </c>
      <c r="L16" s="102"/>
      <c r="M16" s="103"/>
      <c r="N16" s="102"/>
      <c r="O16" s="104"/>
      <c r="P16" s="109"/>
      <c r="Q16" s="86"/>
      <c r="R16" s="86"/>
      <c r="S16" s="86"/>
      <c r="T16" s="86"/>
      <c r="U16" s="86"/>
    </row>
    <row r="17" spans="1:21" ht="12.75" customHeight="1" x14ac:dyDescent="0.25">
      <c r="A17" s="101"/>
      <c r="B17" s="734" t="s">
        <v>138</v>
      </c>
      <c r="C17" s="662"/>
      <c r="D17" s="663"/>
      <c r="E17" s="110" t="s">
        <v>116</v>
      </c>
      <c r="F17" s="678" t="s">
        <v>136</v>
      </c>
      <c r="G17" s="679"/>
      <c r="H17" s="331"/>
      <c r="I17" s="230">
        <f>Inmunizaciones!F17</f>
        <v>0</v>
      </c>
      <c r="J17" s="230">
        <f>Inmunizaciones!G17</f>
        <v>0</v>
      </c>
      <c r="K17" s="332">
        <f>I17+J17</f>
        <v>0</v>
      </c>
      <c r="L17" s="111"/>
      <c r="M17" s="112"/>
      <c r="N17" s="111"/>
      <c r="O17" s="113"/>
      <c r="P17" s="107"/>
      <c r="Q17" s="86"/>
      <c r="R17" s="86"/>
      <c r="S17" s="86"/>
      <c r="T17" s="86"/>
      <c r="U17" s="86"/>
    </row>
    <row r="18" spans="1:21" x14ac:dyDescent="0.25">
      <c r="A18" s="101"/>
      <c r="B18" s="735"/>
      <c r="C18" s="664"/>
      <c r="D18" s="665"/>
      <c r="E18" s="108" t="s">
        <v>84</v>
      </c>
      <c r="F18" s="727" t="s">
        <v>136</v>
      </c>
      <c r="G18" s="729"/>
      <c r="H18" s="333"/>
      <c r="I18" s="230">
        <f>Inmunizaciones!F18</f>
        <v>0</v>
      </c>
      <c r="J18" s="230">
        <f>Inmunizaciones!G18</f>
        <v>0</v>
      </c>
      <c r="K18" s="332">
        <f>I18+J18</f>
        <v>0</v>
      </c>
      <c r="L18" s="111"/>
      <c r="M18" s="112"/>
      <c r="N18" s="111"/>
      <c r="O18" s="113"/>
      <c r="P18" s="107"/>
      <c r="Q18" s="86"/>
      <c r="R18" s="86"/>
      <c r="S18" s="86"/>
      <c r="T18" s="86"/>
      <c r="U18" s="86"/>
    </row>
    <row r="19" spans="1:21" x14ac:dyDescent="0.25">
      <c r="A19" s="101"/>
      <c r="B19" s="736"/>
      <c r="C19" s="666"/>
      <c r="D19" s="667"/>
      <c r="E19" s="114" t="s">
        <v>85</v>
      </c>
      <c r="F19" s="727" t="s">
        <v>136</v>
      </c>
      <c r="G19" s="729"/>
      <c r="H19" s="334"/>
      <c r="I19" s="230">
        <f>Inmunizaciones!F19</f>
        <v>0</v>
      </c>
      <c r="J19" s="230">
        <f>Inmunizaciones!G19</f>
        <v>0</v>
      </c>
      <c r="K19" s="332">
        <f>I19+J19</f>
        <v>0</v>
      </c>
      <c r="L19" s="111"/>
      <c r="M19" s="112"/>
      <c r="N19" s="111"/>
      <c r="O19" s="113"/>
      <c r="P19" s="107"/>
      <c r="Q19" s="86"/>
      <c r="R19" s="86"/>
      <c r="S19" s="86"/>
      <c r="T19" s="86"/>
      <c r="U19" s="86"/>
    </row>
    <row r="20" spans="1:21" x14ac:dyDescent="0.25">
      <c r="A20" s="101"/>
      <c r="B20" s="724" t="s">
        <v>41</v>
      </c>
      <c r="C20" s="725"/>
      <c r="D20" s="726"/>
      <c r="E20" s="727" t="s">
        <v>134</v>
      </c>
      <c r="F20" s="728"/>
      <c r="G20" s="729"/>
      <c r="H20" s="230">
        <f>Inmunizaciones!E20</f>
        <v>0</v>
      </c>
      <c r="I20" s="230">
        <f>Inmunizaciones!F20</f>
        <v>0</v>
      </c>
      <c r="J20" s="335"/>
      <c r="K20" s="332">
        <f>H20+I20</f>
        <v>0</v>
      </c>
      <c r="L20" s="111"/>
      <c r="M20" s="112"/>
      <c r="N20" s="111"/>
      <c r="O20" s="113"/>
      <c r="P20" s="107"/>
      <c r="Q20" s="86"/>
      <c r="R20" s="86"/>
      <c r="S20" s="86"/>
      <c r="T20" s="86"/>
      <c r="U20" s="86"/>
    </row>
    <row r="21" spans="1:21" x14ac:dyDescent="0.25">
      <c r="A21" s="101"/>
      <c r="B21" s="724" t="s">
        <v>42</v>
      </c>
      <c r="C21" s="725"/>
      <c r="D21" s="726"/>
      <c r="E21" s="727" t="s">
        <v>134</v>
      </c>
      <c r="F21" s="728"/>
      <c r="G21" s="729"/>
      <c r="H21" s="230">
        <f>Inmunizaciones!E21</f>
        <v>0</v>
      </c>
      <c r="I21" s="230">
        <f>Inmunizaciones!F21</f>
        <v>0</v>
      </c>
      <c r="J21" s="336"/>
      <c r="K21" s="332">
        <f>H21+I21</f>
        <v>0</v>
      </c>
      <c r="L21" s="111"/>
      <c r="M21" s="112"/>
      <c r="N21" s="111"/>
      <c r="O21" s="113"/>
      <c r="P21" s="107"/>
      <c r="Q21" s="86"/>
      <c r="R21" s="86"/>
      <c r="S21" s="86"/>
      <c r="T21" s="86"/>
      <c r="U21" s="86"/>
    </row>
    <row r="22" spans="1:21" x14ac:dyDescent="0.25">
      <c r="A22" s="101"/>
      <c r="B22" s="724" t="s">
        <v>43</v>
      </c>
      <c r="C22" s="725"/>
      <c r="D22" s="726"/>
      <c r="E22" s="730"/>
      <c r="F22" s="731"/>
      <c r="G22" s="732"/>
      <c r="H22" s="230">
        <f>Inmunizaciones!E22</f>
        <v>0</v>
      </c>
      <c r="I22" s="230">
        <f>Inmunizaciones!F22</f>
        <v>0</v>
      </c>
      <c r="J22" s="336"/>
      <c r="K22" s="332">
        <f>H22+I22</f>
        <v>0</v>
      </c>
      <c r="L22" s="111"/>
      <c r="M22" s="112"/>
      <c r="N22" s="111"/>
      <c r="O22" s="113"/>
      <c r="P22" s="107"/>
      <c r="Q22" s="86"/>
      <c r="R22" s="86"/>
      <c r="S22" s="86"/>
      <c r="T22" s="86"/>
      <c r="U22" s="86"/>
    </row>
    <row r="23" spans="1:21" ht="13" thickBot="1" x14ac:dyDescent="0.3">
      <c r="A23" s="101"/>
      <c r="B23" s="718" t="s">
        <v>86</v>
      </c>
      <c r="C23" s="719"/>
      <c r="D23" s="720"/>
      <c r="E23" s="115" t="s">
        <v>104</v>
      </c>
      <c r="F23" s="721" t="s">
        <v>137</v>
      </c>
      <c r="G23" s="722"/>
      <c r="H23" s="248">
        <f>Inmunizaciones!E23</f>
        <v>0</v>
      </c>
      <c r="I23" s="248">
        <f>Inmunizaciones!F23</f>
        <v>0</v>
      </c>
      <c r="J23" s="248">
        <f>Inmunizaciones!G23</f>
        <v>0</v>
      </c>
      <c r="K23" s="337">
        <f>H23+I23+J23</f>
        <v>0</v>
      </c>
      <c r="L23" s="116"/>
      <c r="M23" s="117"/>
      <c r="N23" s="116"/>
      <c r="O23" s="118"/>
      <c r="P23" s="119"/>
      <c r="Q23" s="86"/>
      <c r="R23" s="86"/>
      <c r="S23" s="86"/>
      <c r="T23" s="86"/>
      <c r="U23" s="86"/>
    </row>
    <row r="24" spans="1:21" x14ac:dyDescent="0.25">
      <c r="A24" s="86"/>
      <c r="B24" s="86"/>
      <c r="C24" s="86"/>
      <c r="D24" s="86"/>
      <c r="E24" s="120"/>
      <c r="F24" s="120"/>
      <c r="G24" s="101"/>
      <c r="H24" s="101"/>
      <c r="I24" s="101"/>
      <c r="J24" s="101"/>
      <c r="K24" s="101"/>
      <c r="L24" s="101"/>
      <c r="M24" s="93"/>
      <c r="N24" s="91"/>
      <c r="O24" s="120"/>
      <c r="P24" s="91"/>
      <c r="Q24" s="121"/>
      <c r="R24" s="86"/>
      <c r="S24" s="86"/>
      <c r="T24" s="86"/>
      <c r="U24" s="86"/>
    </row>
    <row r="25" spans="1:21" ht="13" thickBot="1" x14ac:dyDescent="0.3">
      <c r="A25" s="86"/>
      <c r="B25" s="91" t="s">
        <v>87</v>
      </c>
      <c r="C25" s="91"/>
      <c r="D25" s="86"/>
      <c r="E25" s="723"/>
      <c r="F25" s="723"/>
      <c r="G25" s="723"/>
      <c r="H25" s="92"/>
      <c r="I25" s="92"/>
      <c r="J25" s="92"/>
      <c r="K25" s="92"/>
      <c r="L25" s="92"/>
      <c r="M25" s="94" t="s">
        <v>23</v>
      </c>
      <c r="N25" s="95"/>
      <c r="O25" s="86"/>
      <c r="P25" s="86"/>
      <c r="Q25" s="86"/>
      <c r="R25" s="86"/>
      <c r="S25" s="86"/>
      <c r="T25" s="86"/>
      <c r="U25" s="86"/>
    </row>
    <row r="26" spans="1:21" x14ac:dyDescent="0.25">
      <c r="A26" s="86"/>
      <c r="B26" s="585" t="s">
        <v>38</v>
      </c>
      <c r="C26" s="586"/>
      <c r="D26" s="586"/>
      <c r="E26" s="586"/>
      <c r="F26" s="586"/>
      <c r="G26" s="587"/>
      <c r="H26" s="591" t="s">
        <v>13</v>
      </c>
      <c r="I26" s="592"/>
      <c r="J26" s="592"/>
      <c r="K26" s="624"/>
      <c r="L26" s="625" t="s">
        <v>24</v>
      </c>
      <c r="M26" s="657"/>
      <c r="N26" s="626"/>
      <c r="O26" s="86"/>
      <c r="P26" s="86"/>
      <c r="Q26" s="86"/>
      <c r="R26" s="86"/>
      <c r="S26" s="86"/>
      <c r="T26" s="86"/>
      <c r="U26" s="86"/>
    </row>
    <row r="27" spans="1:21" x14ac:dyDescent="0.25">
      <c r="A27" s="86"/>
      <c r="B27" s="588"/>
      <c r="C27" s="589"/>
      <c r="D27" s="589"/>
      <c r="E27" s="589"/>
      <c r="F27" s="589"/>
      <c r="G27" s="590"/>
      <c r="H27" s="97" t="s">
        <v>25</v>
      </c>
      <c r="I27" s="97" t="s">
        <v>26</v>
      </c>
      <c r="J27" s="97" t="s">
        <v>27</v>
      </c>
      <c r="K27" s="99" t="s">
        <v>10</v>
      </c>
      <c r="L27" s="100" t="s">
        <v>10</v>
      </c>
      <c r="M27" s="97" t="s">
        <v>19</v>
      </c>
      <c r="N27" s="122" t="s">
        <v>28</v>
      </c>
      <c r="O27" s="86"/>
      <c r="P27" s="86"/>
      <c r="Q27" s="86"/>
      <c r="R27" s="86"/>
      <c r="S27" s="86"/>
      <c r="T27" s="86"/>
      <c r="U27" s="86"/>
    </row>
    <row r="28" spans="1:21" ht="12.75" customHeight="1" x14ac:dyDescent="0.25">
      <c r="A28" s="101"/>
      <c r="B28" s="692" t="s">
        <v>139</v>
      </c>
      <c r="C28" s="693"/>
      <c r="D28" s="123" t="s">
        <v>42</v>
      </c>
      <c r="E28" s="124"/>
      <c r="F28" s="177"/>
      <c r="G28" s="293" t="s">
        <v>27</v>
      </c>
      <c r="H28" s="338"/>
      <c r="I28" s="339"/>
      <c r="J28" s="219">
        <f>Inmunizaciones!G28</f>
        <v>0</v>
      </c>
      <c r="K28" s="340">
        <f>J28</f>
        <v>0</v>
      </c>
      <c r="L28" s="126"/>
      <c r="M28" s="126"/>
      <c r="N28" s="127"/>
      <c r="O28" s="86"/>
      <c r="P28" s="86"/>
      <c r="Q28" s="698" t="s">
        <v>99</v>
      </c>
      <c r="R28" s="699"/>
      <c r="S28" s="758"/>
      <c r="T28" s="86"/>
      <c r="U28" s="86"/>
    </row>
    <row r="29" spans="1:21" x14ac:dyDescent="0.25">
      <c r="A29" s="101"/>
      <c r="B29" s="694"/>
      <c r="C29" s="695"/>
      <c r="D29" s="294" t="s">
        <v>88</v>
      </c>
      <c r="E29" s="136"/>
      <c r="F29" s="86"/>
      <c r="G29" s="295" t="s">
        <v>25</v>
      </c>
      <c r="H29" s="219">
        <f>Inmunizaciones!E29</f>
        <v>0</v>
      </c>
      <c r="I29" s="341"/>
      <c r="J29" s="342"/>
      <c r="K29" s="340">
        <f>H29</f>
        <v>0</v>
      </c>
      <c r="L29" s="126"/>
      <c r="M29" s="126"/>
      <c r="N29" s="127"/>
      <c r="O29" s="86"/>
      <c r="P29" s="86"/>
      <c r="Q29" s="701"/>
      <c r="R29" s="702"/>
      <c r="S29" s="759"/>
      <c r="T29" s="86"/>
      <c r="U29" s="86"/>
    </row>
    <row r="30" spans="1:21" x14ac:dyDescent="0.25">
      <c r="A30" s="101"/>
      <c r="B30" s="694"/>
      <c r="C30" s="695"/>
      <c r="D30" s="393" t="s">
        <v>295</v>
      </c>
      <c r="E30" s="394"/>
      <c r="F30" s="395"/>
      <c r="G30" s="396" t="s">
        <v>25</v>
      </c>
      <c r="H30" s="219">
        <f>Inmunizaciones!E43</f>
        <v>0</v>
      </c>
      <c r="I30" s="341"/>
      <c r="J30" s="342"/>
      <c r="K30" s="340">
        <f>H30</f>
        <v>0</v>
      </c>
      <c r="L30" s="126"/>
      <c r="M30" s="126"/>
      <c r="N30" s="127"/>
      <c r="O30" s="86"/>
      <c r="P30" s="86"/>
      <c r="Q30" s="760"/>
      <c r="R30" s="761"/>
      <c r="S30" s="762"/>
      <c r="T30" s="86"/>
      <c r="U30" s="86"/>
    </row>
    <row r="31" spans="1:21" x14ac:dyDescent="0.25">
      <c r="A31" s="101"/>
      <c r="B31" s="696"/>
      <c r="C31" s="697"/>
      <c r="D31" s="123" t="s">
        <v>43</v>
      </c>
      <c r="E31" s="296"/>
      <c r="F31" s="297"/>
      <c r="G31" s="293" t="s">
        <v>25</v>
      </c>
      <c r="H31" s="219">
        <f>Inmunizaciones!E31</f>
        <v>0</v>
      </c>
      <c r="I31" s="341"/>
      <c r="J31" s="342"/>
      <c r="K31" s="298">
        <f>H31</f>
        <v>0</v>
      </c>
      <c r="L31" s="126"/>
      <c r="M31" s="126"/>
      <c r="N31" s="127"/>
      <c r="O31" s="86"/>
      <c r="P31" s="86"/>
      <c r="Q31" s="128"/>
      <c r="R31" s="128"/>
      <c r="S31" s="128"/>
      <c r="T31" s="86"/>
      <c r="U31" s="86"/>
    </row>
    <row r="32" spans="1:21" ht="20" x14ac:dyDescent="0.25">
      <c r="A32" s="101"/>
      <c r="B32" s="675" t="s">
        <v>89</v>
      </c>
      <c r="C32" s="676"/>
      <c r="D32" s="226" t="s">
        <v>143</v>
      </c>
      <c r="E32" s="132"/>
      <c r="F32" s="299"/>
      <c r="G32" s="300" t="s">
        <v>263</v>
      </c>
      <c r="H32" s="253">
        <f>Inmunizaciones!E33</f>
        <v>0</v>
      </c>
      <c r="I32" s="341"/>
      <c r="J32" s="342"/>
      <c r="K32" s="343">
        <f>H32</f>
        <v>0</v>
      </c>
      <c r="L32" s="129"/>
      <c r="M32" s="129"/>
      <c r="N32" s="130"/>
      <c r="O32" s="86"/>
      <c r="P32" s="86"/>
      <c r="Q32" s="86"/>
      <c r="R32" s="86"/>
      <c r="S32" s="86"/>
      <c r="T32" s="86"/>
      <c r="U32" s="86"/>
    </row>
    <row r="33" spans="1:21" ht="12.75" customHeight="1" x14ac:dyDescent="0.25">
      <c r="A33" s="101"/>
      <c r="B33" s="616" t="s">
        <v>144</v>
      </c>
      <c r="C33" s="634"/>
      <c r="D33" s="294" t="s">
        <v>88</v>
      </c>
      <c r="E33" s="136"/>
      <c r="F33" s="301"/>
      <c r="G33" s="302" t="s">
        <v>26</v>
      </c>
      <c r="H33" s="344"/>
      <c r="I33" s="219">
        <f>Inmunizaciones!F29</f>
        <v>0</v>
      </c>
      <c r="J33" s="342"/>
      <c r="K33" s="343">
        <f>I33</f>
        <v>0</v>
      </c>
      <c r="L33" s="126"/>
      <c r="M33" s="126"/>
      <c r="N33" s="127"/>
      <c r="O33" s="86"/>
      <c r="P33" s="86"/>
      <c r="Q33" s="86"/>
      <c r="R33" s="86"/>
      <c r="S33" s="86"/>
      <c r="T33" s="86"/>
      <c r="U33" s="86"/>
    </row>
    <row r="34" spans="1:21" x14ac:dyDescent="0.25">
      <c r="A34" s="101"/>
      <c r="B34" s="616"/>
      <c r="C34" s="634"/>
      <c r="D34" s="226" t="s">
        <v>101</v>
      </c>
      <c r="E34" s="132"/>
      <c r="F34" s="225"/>
      <c r="G34" s="303" t="s">
        <v>264</v>
      </c>
      <c r="H34" s="253">
        <f>Inmunizaciones!E34</f>
        <v>0</v>
      </c>
      <c r="I34" s="341"/>
      <c r="J34" s="342"/>
      <c r="K34" s="343">
        <f>H34</f>
        <v>0</v>
      </c>
      <c r="L34" s="129"/>
      <c r="M34" s="129"/>
      <c r="N34" s="130"/>
      <c r="O34" s="86"/>
      <c r="P34" s="86"/>
      <c r="Q34" s="86"/>
      <c r="R34" s="86"/>
      <c r="S34" s="86"/>
      <c r="T34" s="86"/>
      <c r="U34" s="86"/>
    </row>
    <row r="35" spans="1:21" x14ac:dyDescent="0.25">
      <c r="A35" s="101"/>
      <c r="B35" s="635"/>
      <c r="C35" s="636"/>
      <c r="D35" s="304" t="s">
        <v>155</v>
      </c>
      <c r="E35" s="139"/>
      <c r="F35" s="305"/>
      <c r="G35" s="306" t="s">
        <v>264</v>
      </c>
      <c r="H35" s="253">
        <f>Inmunizaciones!E35</f>
        <v>0</v>
      </c>
      <c r="I35" s="341"/>
      <c r="J35" s="342"/>
      <c r="K35" s="343">
        <f>H35</f>
        <v>0</v>
      </c>
      <c r="L35" s="129"/>
      <c r="M35" s="129"/>
      <c r="N35" s="130"/>
      <c r="O35" s="86"/>
      <c r="P35" s="86"/>
      <c r="Q35" s="91"/>
      <c r="R35" s="91"/>
      <c r="S35" s="91"/>
      <c r="T35" s="86"/>
      <c r="U35" s="86"/>
    </row>
    <row r="36" spans="1:21" ht="12.75" customHeight="1" x14ac:dyDescent="0.25">
      <c r="A36" s="101"/>
      <c r="B36" s="614" t="s">
        <v>145</v>
      </c>
      <c r="C36" s="615"/>
      <c r="D36" s="226" t="s">
        <v>42</v>
      </c>
      <c r="E36" s="132"/>
      <c r="F36" s="132"/>
      <c r="G36" s="307" t="s">
        <v>141</v>
      </c>
      <c r="H36" s="253">
        <f>Inmunizaciones!E32</f>
        <v>0</v>
      </c>
      <c r="I36" s="253">
        <f>Inmunizaciones!F32</f>
        <v>0</v>
      </c>
      <c r="J36" s="342"/>
      <c r="K36" s="343">
        <f>H36+I36</f>
        <v>0</v>
      </c>
      <c r="L36" s="129"/>
      <c r="M36" s="129"/>
      <c r="N36" s="130"/>
      <c r="O36" s="86"/>
      <c r="P36" s="86"/>
      <c r="Q36" s="91"/>
      <c r="R36" s="91"/>
      <c r="S36" s="91"/>
      <c r="T36" s="86"/>
      <c r="U36" s="86"/>
    </row>
    <row r="37" spans="1:21" x14ac:dyDescent="0.25">
      <c r="A37" s="101"/>
      <c r="B37" s="616"/>
      <c r="C37" s="617"/>
      <c r="D37" s="309" t="s">
        <v>43</v>
      </c>
      <c r="E37" s="148"/>
      <c r="F37" s="310"/>
      <c r="G37" s="311"/>
      <c r="H37" s="253">
        <f>Inmunizaciones!E30</f>
        <v>0</v>
      </c>
      <c r="I37" s="253">
        <f>Inmunizaciones!F30</f>
        <v>0</v>
      </c>
      <c r="J37" s="342"/>
      <c r="K37" s="343">
        <f t="shared" ref="K37:K38" si="0">H37+I37</f>
        <v>0</v>
      </c>
      <c r="L37" s="129"/>
      <c r="M37" s="129"/>
      <c r="N37" s="130"/>
      <c r="O37" s="86"/>
      <c r="P37" s="86"/>
      <c r="Q37" s="91"/>
      <c r="R37" s="91"/>
      <c r="S37" s="91"/>
      <c r="T37" s="86"/>
      <c r="U37" s="86"/>
    </row>
    <row r="38" spans="1:21" ht="14" thickBot="1" x14ac:dyDescent="0.3">
      <c r="A38" s="101"/>
      <c r="B38" s="616"/>
      <c r="C38" s="617"/>
      <c r="D38" s="637" t="s">
        <v>7</v>
      </c>
      <c r="E38" s="638"/>
      <c r="F38" s="224" t="s">
        <v>104</v>
      </c>
      <c r="G38" s="295" t="s">
        <v>262</v>
      </c>
      <c r="H38" s="219">
        <f>Inmunizaciones!E36</f>
        <v>0</v>
      </c>
      <c r="I38" s="219">
        <f>Inmunizaciones!F36</f>
        <v>0</v>
      </c>
      <c r="J38" s="345"/>
      <c r="K38" s="343">
        <f t="shared" si="0"/>
        <v>0</v>
      </c>
      <c r="L38" s="129"/>
      <c r="M38" s="129"/>
      <c r="N38" s="130"/>
      <c r="O38" s="86"/>
      <c r="P38" s="86"/>
      <c r="Q38" s="91" t="s">
        <v>296</v>
      </c>
      <c r="R38" s="410">
        <v>10</v>
      </c>
      <c r="S38" s="91"/>
      <c r="T38" s="86"/>
      <c r="U38" s="86"/>
    </row>
    <row r="39" spans="1:21" x14ac:dyDescent="0.25">
      <c r="A39" s="101"/>
      <c r="B39" s="616"/>
      <c r="C39" s="617"/>
      <c r="D39" s="639"/>
      <c r="E39" s="640"/>
      <c r="F39" s="223" t="s">
        <v>105</v>
      </c>
      <c r="G39" s="295" t="s">
        <v>262</v>
      </c>
      <c r="H39" s="346"/>
      <c r="I39" s="347"/>
      <c r="J39" s="253">
        <f>Inmunizaciones!G37</f>
        <v>0</v>
      </c>
      <c r="K39" s="343">
        <f>J39</f>
        <v>0</v>
      </c>
      <c r="L39" s="129"/>
      <c r="M39" s="129"/>
      <c r="N39" s="130"/>
      <c r="O39" s="86"/>
      <c r="P39" s="86"/>
      <c r="Q39" s="348" t="s">
        <v>150</v>
      </c>
      <c r="R39" s="222" t="s">
        <v>25</v>
      </c>
      <c r="S39" s="165" t="s">
        <v>26</v>
      </c>
      <c r="T39" s="166" t="s">
        <v>27</v>
      </c>
      <c r="U39" s="86"/>
    </row>
    <row r="40" spans="1:21" x14ac:dyDescent="0.25">
      <c r="A40" s="101"/>
      <c r="B40" s="616"/>
      <c r="C40" s="617"/>
      <c r="D40" s="641" t="s">
        <v>40</v>
      </c>
      <c r="E40" s="642"/>
      <c r="F40" s="642"/>
      <c r="G40" s="295" t="s">
        <v>262</v>
      </c>
      <c r="H40" s="258">
        <f>Inmunizaciones!E38</f>
        <v>0</v>
      </c>
      <c r="I40" s="258">
        <f>Inmunizaciones!F38</f>
        <v>0</v>
      </c>
      <c r="J40" s="258">
        <f>Inmunizaciones!G38</f>
        <v>0</v>
      </c>
      <c r="K40" s="343">
        <f>H40+I40+J40</f>
        <v>0</v>
      </c>
      <c r="L40" s="129"/>
      <c r="M40" s="129"/>
      <c r="N40" s="130"/>
      <c r="O40" s="86"/>
      <c r="P40" s="86"/>
      <c r="Q40" s="418" t="s">
        <v>297</v>
      </c>
      <c r="R40" s="349">
        <f>Inmunizaciones!C219</f>
        <v>0</v>
      </c>
      <c r="S40" s="349">
        <f>Inmunizaciones!D219</f>
        <v>0</v>
      </c>
      <c r="T40" s="350">
        <f>Inmunizaciones!E219</f>
        <v>0</v>
      </c>
      <c r="U40" s="86"/>
    </row>
    <row r="41" spans="1:21" ht="12.75" customHeight="1" x14ac:dyDescent="0.25">
      <c r="A41" s="101"/>
      <c r="B41" s="616"/>
      <c r="C41" s="617"/>
      <c r="D41" s="645" t="s">
        <v>121</v>
      </c>
      <c r="E41" s="646"/>
      <c r="F41" s="224" t="s">
        <v>116</v>
      </c>
      <c r="G41" s="295" t="s">
        <v>262</v>
      </c>
      <c r="H41" s="351"/>
      <c r="I41" s="253">
        <f>Inmunizaciones!F39</f>
        <v>0</v>
      </c>
      <c r="J41" s="253">
        <f>Inmunizaciones!G39</f>
        <v>0</v>
      </c>
      <c r="K41" s="343">
        <f>I41+J41</f>
        <v>0</v>
      </c>
      <c r="L41" s="129"/>
      <c r="M41" s="129"/>
      <c r="N41" s="130"/>
      <c r="O41" s="86"/>
      <c r="P41" s="86"/>
      <c r="Q41" s="419" t="s">
        <v>298</v>
      </c>
      <c r="R41" s="349">
        <f>Inmunizaciones!C220</f>
        <v>0</v>
      </c>
      <c r="S41" s="349">
        <f>Inmunizaciones!D220</f>
        <v>0</v>
      </c>
      <c r="T41" s="350">
        <f>Inmunizaciones!E220</f>
        <v>0</v>
      </c>
      <c r="U41" s="86"/>
    </row>
    <row r="42" spans="1:21" ht="13" thickBot="1" x14ac:dyDescent="0.3">
      <c r="A42" s="101"/>
      <c r="B42" s="616"/>
      <c r="C42" s="617"/>
      <c r="D42" s="647"/>
      <c r="E42" s="648"/>
      <c r="F42" s="223" t="s">
        <v>84</v>
      </c>
      <c r="G42" s="295" t="s">
        <v>262</v>
      </c>
      <c r="H42" s="352"/>
      <c r="I42" s="253">
        <f>Inmunizaciones!F40</f>
        <v>0</v>
      </c>
      <c r="J42" s="253">
        <f>Inmunizaciones!G40</f>
        <v>0</v>
      </c>
      <c r="K42" s="343">
        <f>I42+J42</f>
        <v>0</v>
      </c>
      <c r="L42" s="129"/>
      <c r="M42" s="129"/>
      <c r="N42" s="130"/>
      <c r="O42" s="86"/>
      <c r="P42" s="86"/>
      <c r="Q42" s="420" t="s">
        <v>299</v>
      </c>
      <c r="R42" s="353">
        <f>Inmunizaciones!C221</f>
        <v>0</v>
      </c>
      <c r="S42" s="353">
        <f>Inmunizaciones!D221</f>
        <v>0</v>
      </c>
      <c r="T42" s="354">
        <f>Inmunizaciones!E221</f>
        <v>0</v>
      </c>
      <c r="U42" s="86"/>
    </row>
    <row r="43" spans="1:21" x14ac:dyDescent="0.25">
      <c r="A43" s="101"/>
      <c r="B43" s="616"/>
      <c r="C43" s="617"/>
      <c r="D43" s="647"/>
      <c r="E43" s="648"/>
      <c r="F43" s="355" t="s">
        <v>85</v>
      </c>
      <c r="G43" s="295" t="s">
        <v>262</v>
      </c>
      <c r="H43" s="352"/>
      <c r="I43" s="253">
        <f>Inmunizaciones!F41</f>
        <v>0</v>
      </c>
      <c r="J43" s="253">
        <f>Inmunizaciones!G41</f>
        <v>0</v>
      </c>
      <c r="K43" s="356">
        <f>I43+J43</f>
        <v>0</v>
      </c>
      <c r="L43" s="142"/>
      <c r="M43" s="142"/>
      <c r="N43" s="143"/>
      <c r="O43" s="86"/>
      <c r="P43" s="86"/>
      <c r="Q43" s="91"/>
      <c r="R43" s="91"/>
      <c r="S43" s="91"/>
      <c r="T43" s="86"/>
      <c r="U43" s="86"/>
    </row>
    <row r="44" spans="1:21" ht="13.5" customHeight="1" thickBot="1" x14ac:dyDescent="0.3">
      <c r="A44" s="101"/>
      <c r="B44" s="756" t="s">
        <v>122</v>
      </c>
      <c r="C44" s="757"/>
      <c r="D44" s="757"/>
      <c r="E44" s="757"/>
      <c r="F44" s="757"/>
      <c r="G44" s="312" t="s">
        <v>262</v>
      </c>
      <c r="H44" s="220">
        <f>Inmunizaciones!E42</f>
        <v>0</v>
      </c>
      <c r="I44" s="357"/>
      <c r="J44" s="358"/>
      <c r="K44" s="359">
        <f>H44</f>
        <v>0</v>
      </c>
      <c r="L44" s="145"/>
      <c r="M44" s="145"/>
      <c r="N44" s="146"/>
      <c r="O44" s="86"/>
      <c r="P44" s="86"/>
      <c r="Q44" s="86"/>
      <c r="R44" s="86"/>
      <c r="S44" s="86"/>
      <c r="T44" s="86"/>
      <c r="U44" s="86"/>
    </row>
    <row r="45" spans="1:21" x14ac:dyDescent="0.25">
      <c r="A45" s="86"/>
      <c r="B45" s="147"/>
      <c r="C45" s="147"/>
      <c r="D45" s="148"/>
      <c r="E45" s="148"/>
      <c r="F45" s="92"/>
      <c r="G45" s="92"/>
      <c r="H45" s="92"/>
      <c r="I45" s="92"/>
      <c r="J45" s="92"/>
      <c r="K45" s="92"/>
      <c r="L45" s="86"/>
      <c r="M45" s="86"/>
      <c r="N45" s="86"/>
      <c r="O45" s="86"/>
      <c r="P45" s="86"/>
      <c r="Q45" s="86"/>
      <c r="R45" s="86"/>
      <c r="S45" s="86"/>
      <c r="T45" s="86"/>
      <c r="U45" s="86"/>
    </row>
    <row r="46" spans="1:21" ht="13" thickBot="1" x14ac:dyDescent="0.3">
      <c r="A46" s="86"/>
      <c r="B46" s="91" t="s">
        <v>91</v>
      </c>
      <c r="C46" s="91"/>
      <c r="D46" s="86"/>
      <c r="E46" s="86"/>
      <c r="F46" s="86"/>
      <c r="G46" s="86"/>
      <c r="H46" s="86"/>
      <c r="I46" s="149" t="s">
        <v>146</v>
      </c>
      <c r="J46" s="95"/>
      <c r="K46" s="86"/>
      <c r="L46" s="86"/>
      <c r="M46" s="86"/>
      <c r="N46" s="91" t="s">
        <v>93</v>
      </c>
      <c r="O46" s="91"/>
      <c r="P46" s="86"/>
      <c r="Q46" s="86"/>
      <c r="R46" s="86"/>
      <c r="S46" s="86"/>
      <c r="T46" s="86"/>
      <c r="U46" s="86"/>
    </row>
    <row r="47" spans="1:21" x14ac:dyDescent="0.25">
      <c r="A47" s="86"/>
      <c r="B47" s="585" t="s">
        <v>38</v>
      </c>
      <c r="C47" s="586"/>
      <c r="D47" s="586"/>
      <c r="E47" s="586"/>
      <c r="F47" s="586"/>
      <c r="G47" s="591" t="s">
        <v>13</v>
      </c>
      <c r="H47" s="592"/>
      <c r="I47" s="592"/>
      <c r="J47" s="624"/>
      <c r="K47" s="625" t="s">
        <v>24</v>
      </c>
      <c r="L47" s="657"/>
      <c r="M47" s="626"/>
      <c r="N47" s="674" t="s">
        <v>13</v>
      </c>
      <c r="O47" s="592"/>
      <c r="P47" s="592"/>
      <c r="Q47" s="624"/>
      <c r="R47" s="625" t="s">
        <v>24</v>
      </c>
      <c r="S47" s="657"/>
      <c r="T47" s="626"/>
      <c r="U47" s="86"/>
    </row>
    <row r="48" spans="1:21" x14ac:dyDescent="0.25">
      <c r="A48" s="86"/>
      <c r="B48" s="588"/>
      <c r="C48" s="589"/>
      <c r="D48" s="589"/>
      <c r="E48" s="589"/>
      <c r="F48" s="589"/>
      <c r="G48" s="97" t="s">
        <v>25</v>
      </c>
      <c r="H48" s="97" t="s">
        <v>26</v>
      </c>
      <c r="I48" s="97" t="s">
        <v>27</v>
      </c>
      <c r="J48" s="99" t="s">
        <v>10</v>
      </c>
      <c r="K48" s="100" t="s">
        <v>10</v>
      </c>
      <c r="L48" s="97" t="s">
        <v>19</v>
      </c>
      <c r="M48" s="122" t="s">
        <v>28</v>
      </c>
      <c r="N48" s="150" t="s">
        <v>25</v>
      </c>
      <c r="O48" s="97" t="s">
        <v>26</v>
      </c>
      <c r="P48" s="97" t="s">
        <v>27</v>
      </c>
      <c r="Q48" s="99" t="s">
        <v>10</v>
      </c>
      <c r="R48" s="100" t="s">
        <v>10</v>
      </c>
      <c r="S48" s="97" t="s">
        <v>19</v>
      </c>
      <c r="T48" s="122" t="s">
        <v>28</v>
      </c>
      <c r="U48" s="86"/>
    </row>
    <row r="49" spans="1:21" x14ac:dyDescent="0.25">
      <c r="A49" s="101"/>
      <c r="B49" s="151" t="s">
        <v>147</v>
      </c>
      <c r="C49" s="124"/>
      <c r="D49" s="124"/>
      <c r="E49" s="124"/>
      <c r="F49" s="110" t="s">
        <v>25</v>
      </c>
      <c r="G49" s="219">
        <f>Inmunizaciones!E47</f>
        <v>0</v>
      </c>
      <c r="H49" s="341"/>
      <c r="I49" s="342"/>
      <c r="J49" s="340">
        <f>G49</f>
        <v>0</v>
      </c>
      <c r="K49" s="126"/>
      <c r="L49" s="126"/>
      <c r="M49" s="127"/>
      <c r="N49" s="219">
        <f>Inmunizaciones!H47</f>
        <v>0</v>
      </c>
      <c r="O49" s="341"/>
      <c r="P49" s="342"/>
      <c r="Q49" s="340">
        <f>N49</f>
        <v>0</v>
      </c>
      <c r="R49" s="126"/>
      <c r="S49" s="126"/>
      <c r="T49" s="127"/>
      <c r="U49" s="86"/>
    </row>
    <row r="50" spans="1:21" x14ac:dyDescent="0.25">
      <c r="A50" s="101"/>
      <c r="B50" s="151" t="s">
        <v>265</v>
      </c>
      <c r="C50" s="152"/>
      <c r="D50" s="152"/>
      <c r="E50" s="152"/>
      <c r="F50" s="110" t="s">
        <v>25</v>
      </c>
      <c r="G50" s="219">
        <f>Inmunizaciones!E48</f>
        <v>0</v>
      </c>
      <c r="H50" s="341"/>
      <c r="I50" s="342"/>
      <c r="J50" s="340">
        <f>G50</f>
        <v>0</v>
      </c>
      <c r="K50" s="126"/>
      <c r="L50" s="126"/>
      <c r="M50" s="127"/>
      <c r="N50" s="219">
        <f>Inmunizaciones!H48</f>
        <v>0</v>
      </c>
      <c r="O50" s="341"/>
      <c r="P50" s="342"/>
      <c r="Q50" s="340">
        <f>N50</f>
        <v>0</v>
      </c>
      <c r="R50" s="126"/>
      <c r="S50" s="126"/>
      <c r="T50" s="127"/>
      <c r="U50" s="86"/>
    </row>
    <row r="51" spans="1:21" x14ac:dyDescent="0.25">
      <c r="A51" s="101"/>
      <c r="B51" s="151" t="s">
        <v>148</v>
      </c>
      <c r="C51" s="124"/>
      <c r="D51" s="124"/>
      <c r="E51" s="124"/>
      <c r="F51" s="110" t="s">
        <v>25</v>
      </c>
      <c r="G51" s="219">
        <f>Inmunizaciones!E49</f>
        <v>0</v>
      </c>
      <c r="H51" s="341"/>
      <c r="I51" s="342"/>
      <c r="J51" s="340">
        <f>G51</f>
        <v>0</v>
      </c>
      <c r="K51" s="126"/>
      <c r="L51" s="126"/>
      <c r="M51" s="127"/>
      <c r="N51" s="219">
        <f>Inmunizaciones!H49</f>
        <v>0</v>
      </c>
      <c r="O51" s="341"/>
      <c r="P51" s="342"/>
      <c r="Q51" s="340">
        <f>N51</f>
        <v>0</v>
      </c>
      <c r="R51" s="126"/>
      <c r="S51" s="126"/>
      <c r="T51" s="127"/>
      <c r="U51" s="86"/>
    </row>
    <row r="52" spans="1:21" x14ac:dyDescent="0.25">
      <c r="A52" s="101"/>
      <c r="B52" s="397" t="s">
        <v>295</v>
      </c>
      <c r="C52" s="398"/>
      <c r="D52" s="399"/>
      <c r="E52" s="394"/>
      <c r="F52" s="400" t="s">
        <v>25</v>
      </c>
      <c r="G52" s="253">
        <f>Inmunizaciones!E61</f>
        <v>0</v>
      </c>
      <c r="H52" s="341"/>
      <c r="I52" s="342"/>
      <c r="J52" s="340">
        <f>G52</f>
        <v>0</v>
      </c>
      <c r="K52" s="126"/>
      <c r="L52" s="126"/>
      <c r="M52" s="127"/>
      <c r="N52" s="360"/>
      <c r="O52" s="361"/>
      <c r="P52" s="342"/>
      <c r="Q52" s="340"/>
      <c r="R52" s="126"/>
      <c r="S52" s="126"/>
      <c r="T52" s="127"/>
      <c r="U52" s="86"/>
    </row>
    <row r="53" spans="1:21" ht="12.75" customHeight="1" x14ac:dyDescent="0.25">
      <c r="A53" s="101"/>
      <c r="B53" s="614" t="s">
        <v>145</v>
      </c>
      <c r="C53" s="615"/>
      <c r="D53" s="132" t="s">
        <v>143</v>
      </c>
      <c r="E53" s="132"/>
      <c r="F53" s="134"/>
      <c r="G53" s="253">
        <f>Inmunizaciones!E50</f>
        <v>0</v>
      </c>
      <c r="H53" s="341"/>
      <c r="I53" s="342"/>
      <c r="J53" s="343">
        <f>G53</f>
        <v>0</v>
      </c>
      <c r="K53" s="129"/>
      <c r="L53" s="129"/>
      <c r="M53" s="130"/>
      <c r="N53" s="253">
        <f>Inmunizaciones!H50</f>
        <v>0</v>
      </c>
      <c r="O53" s="341"/>
      <c r="P53" s="342"/>
      <c r="Q53" s="343">
        <f>N53</f>
        <v>0</v>
      </c>
      <c r="R53" s="129"/>
      <c r="S53" s="129"/>
      <c r="T53" s="130"/>
      <c r="U53" s="86"/>
    </row>
    <row r="54" spans="1:21" x14ac:dyDescent="0.25">
      <c r="A54" s="101"/>
      <c r="B54" s="616"/>
      <c r="C54" s="617"/>
      <c r="D54" s="660" t="s">
        <v>7</v>
      </c>
      <c r="E54" s="638"/>
      <c r="F54" s="110" t="s">
        <v>104</v>
      </c>
      <c r="G54" s="253">
        <f>Inmunizaciones!E51</f>
        <v>0</v>
      </c>
      <c r="H54" s="253">
        <f>Inmunizaciones!F51</f>
        <v>0</v>
      </c>
      <c r="I54" s="345"/>
      <c r="J54" s="343">
        <f>G54+H54</f>
        <v>0</v>
      </c>
      <c r="K54" s="129"/>
      <c r="L54" s="129"/>
      <c r="M54" s="130"/>
      <c r="N54" s="253">
        <f>Inmunizaciones!H51</f>
        <v>0</v>
      </c>
      <c r="O54" s="253">
        <f>Inmunizaciones!I51</f>
        <v>0</v>
      </c>
      <c r="P54" s="345"/>
      <c r="Q54" s="343">
        <f>N54+O54</f>
        <v>0</v>
      </c>
      <c r="R54" s="129"/>
      <c r="S54" s="129"/>
      <c r="T54" s="130"/>
      <c r="U54" s="86"/>
    </row>
    <row r="55" spans="1:21" x14ac:dyDescent="0.25">
      <c r="A55" s="101"/>
      <c r="B55" s="616"/>
      <c r="C55" s="617"/>
      <c r="D55" s="661"/>
      <c r="E55" s="640"/>
      <c r="F55" s="108" t="s">
        <v>105</v>
      </c>
      <c r="G55" s="346"/>
      <c r="H55" s="347"/>
      <c r="I55" s="253">
        <f>Inmunizaciones!G52</f>
        <v>0</v>
      </c>
      <c r="J55" s="343">
        <f>I55</f>
        <v>0</v>
      </c>
      <c r="K55" s="129"/>
      <c r="L55" s="129"/>
      <c r="M55" s="130"/>
      <c r="N55" s="346"/>
      <c r="O55" s="347"/>
      <c r="P55" s="253">
        <f>Inmunizaciones!J52</f>
        <v>0</v>
      </c>
      <c r="Q55" s="343">
        <f>P55</f>
        <v>0</v>
      </c>
      <c r="R55" s="129"/>
      <c r="S55" s="129"/>
      <c r="T55" s="130"/>
      <c r="U55" s="86"/>
    </row>
    <row r="56" spans="1:21" x14ac:dyDescent="0.25">
      <c r="A56" s="101"/>
      <c r="B56" s="616"/>
      <c r="C56" s="617"/>
      <c r="D56" s="642" t="s">
        <v>40</v>
      </c>
      <c r="E56" s="642"/>
      <c r="F56" s="643"/>
      <c r="G56" s="253">
        <f>Inmunizaciones!E53</f>
        <v>0</v>
      </c>
      <c r="H56" s="253">
        <f>Inmunizaciones!F53</f>
        <v>0</v>
      </c>
      <c r="I56" s="253">
        <f>Inmunizaciones!G53</f>
        <v>0</v>
      </c>
      <c r="J56" s="343">
        <f>G56+H56+I56</f>
        <v>0</v>
      </c>
      <c r="K56" s="129"/>
      <c r="L56" s="129"/>
      <c r="M56" s="130"/>
      <c r="N56" s="253">
        <f>Inmunizaciones!H53</f>
        <v>0</v>
      </c>
      <c r="O56" s="253">
        <f>Inmunizaciones!I53</f>
        <v>0</v>
      </c>
      <c r="P56" s="253">
        <f>Inmunizaciones!J53</f>
        <v>0</v>
      </c>
      <c r="Q56" s="343">
        <f>N56+O56+P56</f>
        <v>0</v>
      </c>
      <c r="R56" s="129"/>
      <c r="S56" s="129"/>
      <c r="T56" s="130"/>
      <c r="U56" s="86"/>
    </row>
    <row r="57" spans="1:21" ht="12.75" customHeight="1" x14ac:dyDescent="0.25">
      <c r="A57" s="101"/>
      <c r="B57" s="616"/>
      <c r="C57" s="617"/>
      <c r="D57" s="767" t="s">
        <v>121</v>
      </c>
      <c r="E57" s="646"/>
      <c r="F57" s="110" t="s">
        <v>116</v>
      </c>
      <c r="G57" s="351"/>
      <c r="H57" s="253">
        <f>Inmunizaciones!F54</f>
        <v>0</v>
      </c>
      <c r="I57" s="253">
        <f>Inmunizaciones!G54</f>
        <v>0</v>
      </c>
      <c r="J57" s="343">
        <f>H57+I57</f>
        <v>0</v>
      </c>
      <c r="K57" s="129"/>
      <c r="L57" s="129"/>
      <c r="M57" s="130"/>
      <c r="N57" s="351"/>
      <c r="O57" s="253">
        <f>Inmunizaciones!I54</f>
        <v>0</v>
      </c>
      <c r="P57" s="253">
        <f>Inmunizaciones!J54</f>
        <v>0</v>
      </c>
      <c r="Q57" s="343">
        <f>O57+P57</f>
        <v>0</v>
      </c>
      <c r="R57" s="129"/>
      <c r="S57" s="129"/>
      <c r="T57" s="130"/>
      <c r="U57" s="86"/>
    </row>
    <row r="58" spans="1:21" x14ac:dyDescent="0.25">
      <c r="A58" s="101"/>
      <c r="B58" s="616"/>
      <c r="C58" s="617"/>
      <c r="D58" s="768"/>
      <c r="E58" s="648"/>
      <c r="F58" s="108" t="s">
        <v>84</v>
      </c>
      <c r="G58" s="352"/>
      <c r="H58" s="253">
        <f>Inmunizaciones!F55</f>
        <v>0</v>
      </c>
      <c r="I58" s="253">
        <f>Inmunizaciones!G55</f>
        <v>0</v>
      </c>
      <c r="J58" s="343">
        <f>H58+I58</f>
        <v>0</v>
      </c>
      <c r="K58" s="129"/>
      <c r="L58" s="129"/>
      <c r="M58" s="130"/>
      <c r="N58" s="352"/>
      <c r="O58" s="253">
        <f>Inmunizaciones!I55</f>
        <v>0</v>
      </c>
      <c r="P58" s="253">
        <f>Inmunizaciones!J55</f>
        <v>0</v>
      </c>
      <c r="Q58" s="343">
        <f>O58+P58</f>
        <v>0</v>
      </c>
      <c r="R58" s="129"/>
      <c r="S58" s="129"/>
      <c r="T58" s="130"/>
      <c r="U58" s="86"/>
    </row>
    <row r="59" spans="1:21" x14ac:dyDescent="0.25">
      <c r="A59" s="101"/>
      <c r="B59" s="616"/>
      <c r="C59" s="617"/>
      <c r="D59" s="769"/>
      <c r="E59" s="650"/>
      <c r="F59" s="114" t="s">
        <v>85</v>
      </c>
      <c r="G59" s="352"/>
      <c r="H59" s="253">
        <f>Inmunizaciones!F56</f>
        <v>0</v>
      </c>
      <c r="I59" s="253">
        <f>Inmunizaciones!G56</f>
        <v>0</v>
      </c>
      <c r="J59" s="343">
        <f>H59+I59</f>
        <v>0</v>
      </c>
      <c r="K59" s="129"/>
      <c r="L59" s="129"/>
      <c r="M59" s="130"/>
      <c r="N59" s="352"/>
      <c r="O59" s="253">
        <f>Inmunizaciones!I56</f>
        <v>0</v>
      </c>
      <c r="P59" s="253">
        <f>Inmunizaciones!J56</f>
        <v>0</v>
      </c>
      <c r="Q59" s="343">
        <f>O59+P59</f>
        <v>0</v>
      </c>
      <c r="R59" s="129"/>
      <c r="S59" s="129"/>
      <c r="T59" s="130"/>
      <c r="U59" s="86"/>
    </row>
    <row r="60" spans="1:21" x14ac:dyDescent="0.25">
      <c r="A60" s="101"/>
      <c r="B60" s="616"/>
      <c r="C60" s="617"/>
      <c r="D60" s="770" t="s">
        <v>88</v>
      </c>
      <c r="E60" s="770"/>
      <c r="F60" s="771"/>
      <c r="G60" s="219">
        <f>Inmunizaciones!E57</f>
        <v>0</v>
      </c>
      <c r="H60" s="219">
        <f>Inmunizaciones!F57</f>
        <v>0</v>
      </c>
      <c r="I60" s="362"/>
      <c r="J60" s="363">
        <f>G60+H60</f>
        <v>0</v>
      </c>
      <c r="K60" s="153"/>
      <c r="L60" s="153"/>
      <c r="M60" s="154"/>
      <c r="N60" s="253">
        <f>Inmunizaciones!H57</f>
        <v>0</v>
      </c>
      <c r="O60" s="253">
        <f>Inmunizaciones!I57</f>
        <v>0</v>
      </c>
      <c r="P60" s="362"/>
      <c r="Q60" s="363">
        <f>N60+O60</f>
        <v>0</v>
      </c>
      <c r="R60" s="155"/>
      <c r="S60" s="129"/>
      <c r="T60" s="130"/>
      <c r="U60" s="86"/>
    </row>
    <row r="61" spans="1:21" ht="12.75" customHeight="1" x14ac:dyDescent="0.25">
      <c r="A61" s="101"/>
      <c r="B61" s="616"/>
      <c r="C61" s="617"/>
      <c r="D61" s="772" t="s">
        <v>300</v>
      </c>
      <c r="E61" s="773"/>
      <c r="F61" s="773"/>
      <c r="G61" s="253">
        <f>Inmunizaciones!E62</f>
        <v>0</v>
      </c>
      <c r="H61" s="346"/>
      <c r="I61" s="342"/>
      <c r="J61" s="364">
        <f>G61</f>
        <v>0</v>
      </c>
      <c r="K61" s="142"/>
      <c r="L61" s="142"/>
      <c r="M61" s="143"/>
      <c r="N61" s="445">
        <f>Inmunizaciones!H62</f>
        <v>0</v>
      </c>
      <c r="O61" s="346"/>
      <c r="P61" s="342"/>
      <c r="Q61" s="364">
        <f>N61</f>
        <v>0</v>
      </c>
      <c r="R61" s="365"/>
      <c r="S61" s="142"/>
      <c r="T61" s="143"/>
      <c r="U61" s="86"/>
    </row>
    <row r="62" spans="1:21" x14ac:dyDescent="0.25">
      <c r="A62" s="101"/>
      <c r="B62" s="616"/>
      <c r="C62" s="617"/>
      <c r="D62" s="401" t="s">
        <v>42</v>
      </c>
      <c r="E62" s="402"/>
      <c r="F62" s="402"/>
      <c r="G62" s="219">
        <f>Inmunizaciones!J38</f>
        <v>0</v>
      </c>
      <c r="H62" s="219">
        <f>Inmunizaciones!K38</f>
        <v>0</v>
      </c>
      <c r="I62" s="361"/>
      <c r="J62" s="364">
        <f>G62+H62</f>
        <v>0</v>
      </c>
      <c r="K62" s="142"/>
      <c r="L62" s="142"/>
      <c r="M62" s="143"/>
      <c r="N62" s="444">
        <f>Inmunizaciones!J39</f>
        <v>0</v>
      </c>
      <c r="O62" s="444">
        <f>Inmunizaciones!K39</f>
        <v>0</v>
      </c>
      <c r="P62" s="361"/>
      <c r="Q62" s="364">
        <f>N62+O62</f>
        <v>0</v>
      </c>
      <c r="R62" s="365"/>
      <c r="S62" s="142"/>
      <c r="T62" s="143"/>
      <c r="U62" s="86"/>
    </row>
    <row r="63" spans="1:21" ht="13.5" customHeight="1" thickBot="1" x14ac:dyDescent="0.3">
      <c r="A63" s="101"/>
      <c r="B63" s="763" t="s">
        <v>122</v>
      </c>
      <c r="C63" s="764"/>
      <c r="D63" s="764"/>
      <c r="E63" s="764"/>
      <c r="F63" s="765"/>
      <c r="G63" s="220">
        <f>Inmunizaciones!E58</f>
        <v>0</v>
      </c>
      <c r="H63" s="366"/>
      <c r="I63" s="367"/>
      <c r="J63" s="359">
        <f t="shared" ref="J63" si="1">G63</f>
        <v>0</v>
      </c>
      <c r="K63" s="156"/>
      <c r="L63" s="156"/>
      <c r="M63" s="157"/>
      <c r="N63" s="220">
        <f>Inmunizaciones!H58</f>
        <v>0</v>
      </c>
      <c r="O63" s="366"/>
      <c r="P63" s="367"/>
      <c r="Q63" s="359">
        <f t="shared" ref="Q63" si="2">N63</f>
        <v>0</v>
      </c>
      <c r="R63" s="145"/>
      <c r="S63" s="156"/>
      <c r="T63" s="157"/>
      <c r="U63" s="86"/>
    </row>
    <row r="64" spans="1:21" x14ac:dyDescent="0.25">
      <c r="A64" s="101"/>
      <c r="B64" s="147"/>
      <c r="C64" s="147"/>
      <c r="D64" s="766"/>
      <c r="E64" s="766"/>
      <c r="F64" s="766"/>
      <c r="G64" s="92"/>
      <c r="H64" s="92"/>
      <c r="I64" s="92"/>
      <c r="J64" s="92"/>
      <c r="K64" s="92"/>
      <c r="L64" s="86"/>
      <c r="M64" s="86"/>
      <c r="N64" s="92"/>
      <c r="O64" s="92"/>
      <c r="P64" s="92"/>
      <c r="Q64" s="92"/>
      <c r="R64" s="92"/>
      <c r="S64" s="92"/>
      <c r="T64" s="86"/>
      <c r="U64" s="86"/>
    </row>
    <row r="65" spans="1:21" ht="14" thickBot="1" x14ac:dyDescent="0.3">
      <c r="A65" s="86"/>
      <c r="B65" s="91" t="s">
        <v>94</v>
      </c>
      <c r="C65" s="91"/>
      <c r="D65" s="86"/>
      <c r="E65" s="86"/>
      <c r="F65" s="86"/>
      <c r="G65" s="86"/>
      <c r="H65" s="93"/>
      <c r="I65" s="94"/>
      <c r="J65" s="149" t="s">
        <v>92</v>
      </c>
      <c r="K65" s="95"/>
      <c r="L65" s="86"/>
      <c r="M65" s="86"/>
      <c r="N65" s="91" t="s">
        <v>149</v>
      </c>
      <c r="O65" s="86"/>
      <c r="P65" s="86"/>
      <c r="Q65" s="86"/>
      <c r="R65" s="86"/>
      <c r="S65" s="86"/>
      <c r="T65" s="410">
        <v>1</v>
      </c>
      <c r="U65" s="86"/>
    </row>
    <row r="66" spans="1:21" ht="13" thickBot="1" x14ac:dyDescent="0.3">
      <c r="A66" s="86"/>
      <c r="B66" s="585" t="s">
        <v>38</v>
      </c>
      <c r="C66" s="586"/>
      <c r="D66" s="586"/>
      <c r="E66" s="586"/>
      <c r="F66" s="587"/>
      <c r="G66" s="591" t="s">
        <v>13</v>
      </c>
      <c r="H66" s="592"/>
      <c r="I66" s="592"/>
      <c r="J66" s="624"/>
      <c r="K66" s="625" t="s">
        <v>24</v>
      </c>
      <c r="L66" s="657"/>
      <c r="M66" s="626"/>
      <c r="N66" s="368" t="s">
        <v>301</v>
      </c>
      <c r="O66" s="369"/>
      <c r="P66" s="369"/>
      <c r="Q66" s="369"/>
      <c r="R66" s="370" t="s">
        <v>92</v>
      </c>
      <c r="S66" s="371"/>
      <c r="T66" s="372"/>
      <c r="U66" s="86"/>
    </row>
    <row r="67" spans="1:21" x14ac:dyDescent="0.25">
      <c r="A67" s="86"/>
      <c r="B67" s="588"/>
      <c r="C67" s="589"/>
      <c r="D67" s="589"/>
      <c r="E67" s="589"/>
      <c r="F67" s="590"/>
      <c r="G67" s="97" t="s">
        <v>25</v>
      </c>
      <c r="H67" s="97" t="s">
        <v>26</v>
      </c>
      <c r="I67" s="97" t="s">
        <v>27</v>
      </c>
      <c r="J67" s="99" t="s">
        <v>10</v>
      </c>
      <c r="K67" s="100" t="s">
        <v>10</v>
      </c>
      <c r="L67" s="97" t="s">
        <v>19</v>
      </c>
      <c r="M67" s="122" t="s">
        <v>28</v>
      </c>
      <c r="N67" s="622" t="s">
        <v>150</v>
      </c>
      <c r="O67" s="591" t="s">
        <v>13</v>
      </c>
      <c r="P67" s="592"/>
      <c r="Q67" s="592"/>
      <c r="R67" s="624"/>
      <c r="S67" s="625" t="s">
        <v>31</v>
      </c>
      <c r="T67" s="626"/>
      <c r="U67" s="86"/>
    </row>
    <row r="68" spans="1:21" x14ac:dyDescent="0.25">
      <c r="A68" s="101"/>
      <c r="B68" s="151" t="s">
        <v>147</v>
      </c>
      <c r="C68" s="124"/>
      <c r="D68" s="124"/>
      <c r="E68" s="124"/>
      <c r="F68" s="110" t="s">
        <v>25</v>
      </c>
      <c r="G68" s="219">
        <f>Inmunizaciones!K47</f>
        <v>0</v>
      </c>
      <c r="H68" s="341"/>
      <c r="I68" s="342"/>
      <c r="J68" s="340">
        <f>G68</f>
        <v>0</v>
      </c>
      <c r="K68" s="126"/>
      <c r="L68" s="126"/>
      <c r="M68" s="158"/>
      <c r="N68" s="623"/>
      <c r="O68" s="100" t="s">
        <v>25</v>
      </c>
      <c r="P68" s="97" t="s">
        <v>26</v>
      </c>
      <c r="Q68" s="97" t="s">
        <v>27</v>
      </c>
      <c r="R68" s="99" t="s">
        <v>10</v>
      </c>
      <c r="S68" s="99" t="s">
        <v>19</v>
      </c>
      <c r="T68" s="122" t="s">
        <v>28</v>
      </c>
      <c r="U68" s="86"/>
    </row>
    <row r="69" spans="1:21" x14ac:dyDescent="0.25">
      <c r="A69" s="101"/>
      <c r="B69" s="151" t="s">
        <v>265</v>
      </c>
      <c r="C69" s="124"/>
      <c r="D69" s="124"/>
      <c r="E69" s="124"/>
      <c r="F69" s="110" t="s">
        <v>25</v>
      </c>
      <c r="G69" s="219">
        <f>Inmunizaciones!K48</f>
        <v>0</v>
      </c>
      <c r="H69" s="341"/>
      <c r="I69" s="342"/>
      <c r="J69" s="340">
        <f>G69</f>
        <v>0</v>
      </c>
      <c r="K69" s="126"/>
      <c r="L69" s="126"/>
      <c r="M69" s="158"/>
      <c r="N69" s="167" t="s">
        <v>151</v>
      </c>
      <c r="O69" s="219">
        <f>Inmunizaciones!C66</f>
        <v>0</v>
      </c>
      <c r="P69" s="219">
        <f>Inmunizaciones!D66</f>
        <v>0</v>
      </c>
      <c r="Q69" s="219">
        <f>Inmunizaciones!E66</f>
        <v>0</v>
      </c>
      <c r="R69" s="343">
        <f>O69+P69+Q69</f>
        <v>0</v>
      </c>
      <c r="S69" s="126"/>
      <c r="T69" s="158"/>
      <c r="U69" s="86"/>
    </row>
    <row r="70" spans="1:21" x14ac:dyDescent="0.25">
      <c r="A70" s="101"/>
      <c r="B70" s="151" t="s">
        <v>148</v>
      </c>
      <c r="C70" s="124"/>
      <c r="D70" s="124"/>
      <c r="E70" s="124"/>
      <c r="F70" s="110" t="s">
        <v>25</v>
      </c>
      <c r="G70" s="219">
        <f>Inmunizaciones!K49</f>
        <v>0</v>
      </c>
      <c r="H70" s="341"/>
      <c r="I70" s="342"/>
      <c r="J70" s="340">
        <f>G70</f>
        <v>0</v>
      </c>
      <c r="K70" s="126"/>
      <c r="L70" s="126"/>
      <c r="M70" s="158"/>
      <c r="N70" s="167" t="s">
        <v>152</v>
      </c>
      <c r="O70" s="219">
        <f>Inmunizaciones!C67</f>
        <v>0</v>
      </c>
      <c r="P70" s="219">
        <f>Inmunizaciones!D67</f>
        <v>0</v>
      </c>
      <c r="Q70" s="219">
        <f>Inmunizaciones!E67</f>
        <v>0</v>
      </c>
      <c r="R70" s="343">
        <f>O70+P70+Q70</f>
        <v>0</v>
      </c>
      <c r="S70" s="126"/>
      <c r="T70" s="158"/>
      <c r="U70" s="86"/>
    </row>
    <row r="71" spans="1:21" ht="12.75" customHeight="1" x14ac:dyDescent="0.25">
      <c r="A71" s="101"/>
      <c r="B71" s="614" t="s">
        <v>145</v>
      </c>
      <c r="C71" s="615"/>
      <c r="D71" s="131" t="s">
        <v>143</v>
      </c>
      <c r="E71" s="132"/>
      <c r="F71" s="134"/>
      <c r="G71" s="219">
        <f>Inmunizaciones!K50</f>
        <v>0</v>
      </c>
      <c r="H71" s="341"/>
      <c r="I71" s="342"/>
      <c r="J71" s="343">
        <f>G71</f>
        <v>0</v>
      </c>
      <c r="K71" s="129"/>
      <c r="L71" s="129"/>
      <c r="M71" s="158"/>
      <c r="N71" s="167" t="s">
        <v>153</v>
      </c>
      <c r="O71" s="219">
        <f>Inmunizaciones!C68</f>
        <v>0</v>
      </c>
      <c r="P71" s="219">
        <f>Inmunizaciones!D68</f>
        <v>0</v>
      </c>
      <c r="Q71" s="219">
        <f>Inmunizaciones!E68</f>
        <v>0</v>
      </c>
      <c r="R71" s="343">
        <f>O71+P71+Q71</f>
        <v>0</v>
      </c>
      <c r="S71" s="129"/>
      <c r="T71" s="160"/>
      <c r="U71" s="86"/>
    </row>
    <row r="72" spans="1:21" x14ac:dyDescent="0.25">
      <c r="A72" s="101"/>
      <c r="B72" s="616"/>
      <c r="C72" s="617"/>
      <c r="D72" s="637" t="s">
        <v>7</v>
      </c>
      <c r="E72" s="638"/>
      <c r="F72" s="110" t="s">
        <v>104</v>
      </c>
      <c r="G72" s="219">
        <f>Inmunizaciones!K51</f>
        <v>0</v>
      </c>
      <c r="H72" s="219">
        <f>Inmunizaciones!L51</f>
        <v>0</v>
      </c>
      <c r="I72" s="345"/>
      <c r="J72" s="343">
        <f>G72+H72</f>
        <v>0</v>
      </c>
      <c r="K72" s="129"/>
      <c r="L72" s="129"/>
      <c r="M72" s="158"/>
      <c r="N72" s="167" t="s">
        <v>154</v>
      </c>
      <c r="O72" s="219">
        <f>Inmunizaciones!C69</f>
        <v>0</v>
      </c>
      <c r="P72" s="219">
        <f>Inmunizaciones!D69</f>
        <v>0</v>
      </c>
      <c r="Q72" s="219">
        <f>Inmunizaciones!E69</f>
        <v>0</v>
      </c>
      <c r="R72" s="373">
        <f>O72+P72+Q72</f>
        <v>0</v>
      </c>
      <c r="S72" s="155"/>
      <c r="T72" s="168"/>
      <c r="U72" s="86"/>
    </row>
    <row r="73" spans="1:21" x14ac:dyDescent="0.25">
      <c r="A73" s="101"/>
      <c r="B73" s="616"/>
      <c r="C73" s="617"/>
      <c r="D73" s="639"/>
      <c r="E73" s="640"/>
      <c r="F73" s="108" t="s">
        <v>105</v>
      </c>
      <c r="G73" s="346"/>
      <c r="H73" s="347"/>
      <c r="I73" s="253">
        <f>Inmunizaciones!M52</f>
        <v>0</v>
      </c>
      <c r="J73" s="343">
        <f>I73</f>
        <v>0</v>
      </c>
      <c r="K73" s="129"/>
      <c r="L73" s="129"/>
      <c r="M73" s="158"/>
      <c r="N73" s="167" t="s">
        <v>267</v>
      </c>
      <c r="O73" s="219">
        <f>Inmunizaciones!C70</f>
        <v>0</v>
      </c>
      <c r="P73" s="219">
        <f>Inmunizaciones!D70</f>
        <v>0</v>
      </c>
      <c r="Q73" s="219">
        <f>Inmunizaciones!E70</f>
        <v>0</v>
      </c>
      <c r="R73" s="373">
        <f t="shared" ref="R73:R74" si="3">O73+P73+Q73</f>
        <v>0</v>
      </c>
      <c r="S73" s="155"/>
      <c r="T73" s="168"/>
      <c r="U73" s="86"/>
    </row>
    <row r="74" spans="1:21" ht="13" thickBot="1" x14ac:dyDescent="0.3">
      <c r="A74" s="101"/>
      <c r="B74" s="616"/>
      <c r="C74" s="617"/>
      <c r="D74" s="641" t="s">
        <v>40</v>
      </c>
      <c r="E74" s="642"/>
      <c r="F74" s="643"/>
      <c r="G74" s="253">
        <f>Inmunizaciones!K53</f>
        <v>0</v>
      </c>
      <c r="H74" s="253">
        <f>Inmunizaciones!L53</f>
        <v>0</v>
      </c>
      <c r="I74" s="253">
        <f>Inmunizaciones!M53</f>
        <v>0</v>
      </c>
      <c r="J74" s="343">
        <f>G74+H74+I74</f>
        <v>0</v>
      </c>
      <c r="K74" s="129"/>
      <c r="L74" s="129"/>
      <c r="M74" s="158"/>
      <c r="N74" s="172" t="s">
        <v>302</v>
      </c>
      <c r="O74" s="220">
        <f>Inmunizaciones!C71</f>
        <v>0</v>
      </c>
      <c r="P74" s="220">
        <f>Inmunizaciones!D71</f>
        <v>0</v>
      </c>
      <c r="Q74" s="220">
        <f>Inmunizaciones!E71</f>
        <v>0</v>
      </c>
      <c r="R74" s="359">
        <f t="shared" si="3"/>
        <v>0</v>
      </c>
      <c r="S74" s="145"/>
      <c r="T74" s="173"/>
      <c r="U74" s="86"/>
    </row>
    <row r="75" spans="1:21" ht="12.75" customHeight="1" x14ac:dyDescent="0.25">
      <c r="A75" s="101"/>
      <c r="B75" s="616"/>
      <c r="C75" s="617"/>
      <c r="D75" s="645" t="s">
        <v>121</v>
      </c>
      <c r="E75" s="646"/>
      <c r="F75" s="110" t="s">
        <v>116</v>
      </c>
      <c r="G75" s="351"/>
      <c r="H75" s="253">
        <f>Inmunizaciones!L54</f>
        <v>0</v>
      </c>
      <c r="I75" s="253">
        <f>Inmunizaciones!M54</f>
        <v>0</v>
      </c>
      <c r="J75" s="343">
        <f>H75+I75</f>
        <v>0</v>
      </c>
      <c r="K75" s="129"/>
      <c r="L75" s="129"/>
      <c r="M75" s="158"/>
      <c r="N75" s="86"/>
      <c r="O75" s="86"/>
      <c r="P75" s="86"/>
      <c r="Q75" s="86"/>
      <c r="R75" s="86"/>
      <c r="S75" s="86"/>
      <c r="T75" s="86"/>
      <c r="U75" s="86"/>
    </row>
    <row r="76" spans="1:21" ht="13" thickBot="1" x14ac:dyDescent="0.3">
      <c r="A76" s="101"/>
      <c r="B76" s="616"/>
      <c r="C76" s="617"/>
      <c r="D76" s="647"/>
      <c r="E76" s="648"/>
      <c r="F76" s="108" t="s">
        <v>84</v>
      </c>
      <c r="G76" s="352"/>
      <c r="H76" s="253">
        <f>Inmunizaciones!L55</f>
        <v>0</v>
      </c>
      <c r="I76" s="253">
        <f>Inmunizaciones!M55</f>
        <v>0</v>
      </c>
      <c r="J76" s="343">
        <f>H76+I76</f>
        <v>0</v>
      </c>
      <c r="K76" s="129"/>
      <c r="L76" s="129"/>
      <c r="M76" s="158"/>
      <c r="N76" s="91" t="s">
        <v>303</v>
      </c>
      <c r="O76" s="86"/>
      <c r="P76" s="86"/>
      <c r="Q76" s="86"/>
      <c r="R76" s="149" t="s">
        <v>92</v>
      </c>
      <c r="S76" s="95"/>
      <c r="T76" s="86"/>
      <c r="U76" s="86"/>
    </row>
    <row r="77" spans="1:21" x14ac:dyDescent="0.25">
      <c r="A77" s="101"/>
      <c r="B77" s="616"/>
      <c r="C77" s="617"/>
      <c r="D77" s="649"/>
      <c r="E77" s="650"/>
      <c r="F77" s="114" t="s">
        <v>85</v>
      </c>
      <c r="G77" s="352"/>
      <c r="H77" s="253">
        <f>Inmunizaciones!L56</f>
        <v>0</v>
      </c>
      <c r="I77" s="253">
        <f>Inmunizaciones!M56</f>
        <v>0</v>
      </c>
      <c r="J77" s="343">
        <f>H77+I77</f>
        <v>0</v>
      </c>
      <c r="K77" s="129"/>
      <c r="L77" s="129"/>
      <c r="M77" s="158"/>
      <c r="N77" s="622" t="s">
        <v>150</v>
      </c>
      <c r="O77" s="775" t="s">
        <v>304</v>
      </c>
      <c r="P77" s="776"/>
      <c r="Q77" s="777"/>
      <c r="R77" s="454" t="s">
        <v>353</v>
      </c>
      <c r="S77" s="625" t="s">
        <v>31</v>
      </c>
      <c r="T77" s="626"/>
      <c r="U77" s="86"/>
    </row>
    <row r="78" spans="1:21" x14ac:dyDescent="0.25">
      <c r="A78" s="101"/>
      <c r="B78" s="616"/>
      <c r="C78" s="617"/>
      <c r="D78" s="778" t="s">
        <v>88</v>
      </c>
      <c r="E78" s="662"/>
      <c r="F78" s="663"/>
      <c r="G78" s="253">
        <f>Inmunizaciones!K57</f>
        <v>0</v>
      </c>
      <c r="H78" s="253">
        <f>Inmunizaciones!L57</f>
        <v>0</v>
      </c>
      <c r="I78" s="362"/>
      <c r="J78" s="373">
        <f>G78+H78</f>
        <v>0</v>
      </c>
      <c r="K78" s="129"/>
      <c r="L78" s="129"/>
      <c r="M78" s="158"/>
      <c r="N78" s="623"/>
      <c r="O78" s="99" t="s">
        <v>25</v>
      </c>
      <c r="P78" s="99" t="s">
        <v>26</v>
      </c>
      <c r="Q78" s="99" t="s">
        <v>27</v>
      </c>
      <c r="R78" s="455" t="s">
        <v>305</v>
      </c>
      <c r="S78" s="99" t="s">
        <v>19</v>
      </c>
      <c r="T78" s="122" t="s">
        <v>28</v>
      </c>
      <c r="U78" s="86"/>
    </row>
    <row r="79" spans="1:21" x14ac:dyDescent="0.25">
      <c r="A79" s="101"/>
      <c r="B79" s="616"/>
      <c r="C79" s="617"/>
      <c r="D79" s="779" t="s">
        <v>306</v>
      </c>
      <c r="E79" s="780"/>
      <c r="F79" s="781"/>
      <c r="G79" s="219">
        <f>Inmunizaciones!K62</f>
        <v>0</v>
      </c>
      <c r="H79" s="374"/>
      <c r="I79" s="342"/>
      <c r="J79" s="373">
        <f>G79</f>
        <v>0</v>
      </c>
      <c r="K79" s="129"/>
      <c r="L79" s="129"/>
      <c r="M79" s="158"/>
      <c r="N79" s="167" t="s">
        <v>151</v>
      </c>
      <c r="O79" s="219">
        <f>Inmunizaciones!C75</f>
        <v>0</v>
      </c>
      <c r="P79" s="219">
        <f>Inmunizaciones!D75</f>
        <v>0</v>
      </c>
      <c r="Q79" s="219">
        <f>Inmunizaciones!E75</f>
        <v>0</v>
      </c>
      <c r="R79" s="453">
        <f>Inmunizaciones!H75</f>
        <v>0</v>
      </c>
      <c r="S79" s="155"/>
      <c r="T79" s="168"/>
      <c r="U79" s="86"/>
    </row>
    <row r="80" spans="1:21" x14ac:dyDescent="0.25">
      <c r="A80" s="101"/>
      <c r="B80" s="635"/>
      <c r="C80" s="774"/>
      <c r="D80" s="772" t="s">
        <v>42</v>
      </c>
      <c r="E80" s="772"/>
      <c r="F80" s="772"/>
      <c r="G80" s="219">
        <f>Inmunizaciones!J40</f>
        <v>0</v>
      </c>
      <c r="H80" s="219">
        <f>Inmunizaciones!K40</f>
        <v>0</v>
      </c>
      <c r="I80" s="375"/>
      <c r="J80" s="343">
        <f>G80+H80</f>
        <v>0</v>
      </c>
      <c r="K80" s="129"/>
      <c r="L80" s="129"/>
      <c r="M80" s="158"/>
      <c r="N80" s="167" t="s">
        <v>152</v>
      </c>
      <c r="O80" s="219">
        <f>Inmunizaciones!C76</f>
        <v>0</v>
      </c>
      <c r="P80" s="219">
        <f>Inmunizaciones!D76</f>
        <v>0</v>
      </c>
      <c r="Q80" s="219">
        <f>Inmunizaciones!E76</f>
        <v>0</v>
      </c>
      <c r="R80" s="453">
        <f>Inmunizaciones!H76</f>
        <v>0</v>
      </c>
      <c r="S80" s="155"/>
      <c r="T80" s="168"/>
      <c r="U80" s="86"/>
    </row>
    <row r="81" spans="1:21" x14ac:dyDescent="0.25">
      <c r="A81" s="101"/>
      <c r="B81" s="782" t="s">
        <v>122</v>
      </c>
      <c r="C81" s="783"/>
      <c r="D81" s="783"/>
      <c r="E81" s="783"/>
      <c r="F81" s="784"/>
      <c r="G81" s="219">
        <f>Inmunizaciones!K58</f>
        <v>0</v>
      </c>
      <c r="H81" s="374"/>
      <c r="I81" s="342"/>
      <c r="J81" s="373">
        <f>G81</f>
        <v>0</v>
      </c>
      <c r="K81" s="129"/>
      <c r="L81" s="129"/>
      <c r="M81" s="158"/>
      <c r="N81" s="167" t="s">
        <v>153</v>
      </c>
      <c r="O81" s="219">
        <f>Inmunizaciones!C77</f>
        <v>0</v>
      </c>
      <c r="P81" s="219">
        <f>Inmunizaciones!D77</f>
        <v>0</v>
      </c>
      <c r="Q81" s="219">
        <f>Inmunizaciones!E77</f>
        <v>0</v>
      </c>
      <c r="R81" s="453">
        <f>Inmunizaciones!H77</f>
        <v>0</v>
      </c>
      <c r="S81" s="155"/>
      <c r="T81" s="168"/>
      <c r="U81" s="86"/>
    </row>
    <row r="82" spans="1:21" x14ac:dyDescent="0.25">
      <c r="A82" s="101"/>
      <c r="B82" s="151" t="s">
        <v>101</v>
      </c>
      <c r="C82" s="124"/>
      <c r="D82" s="313"/>
      <c r="E82" s="313"/>
      <c r="F82" s="114" t="s">
        <v>266</v>
      </c>
      <c r="G82" s="352"/>
      <c r="H82" s="253">
        <f>Inmunizaciones!L59</f>
        <v>0</v>
      </c>
      <c r="I82" s="342"/>
      <c r="J82" s="373">
        <f>H82</f>
        <v>0</v>
      </c>
      <c r="K82" s="129"/>
      <c r="L82" s="129"/>
      <c r="M82" s="158"/>
      <c r="N82" s="167" t="s">
        <v>154</v>
      </c>
      <c r="O82" s="219">
        <f>Inmunizaciones!C78</f>
        <v>0</v>
      </c>
      <c r="P82" s="219">
        <f>Inmunizaciones!D78</f>
        <v>0</v>
      </c>
      <c r="Q82" s="219">
        <f>Inmunizaciones!E78</f>
        <v>0</v>
      </c>
      <c r="R82" s="453">
        <f>Inmunizaciones!H78</f>
        <v>0</v>
      </c>
      <c r="S82" s="155"/>
      <c r="T82" s="168"/>
      <c r="U82" s="86"/>
    </row>
    <row r="83" spans="1:21" ht="13" thickBot="1" x14ac:dyDescent="0.3">
      <c r="A83" s="101"/>
      <c r="B83" s="169" t="s">
        <v>155</v>
      </c>
      <c r="C83" s="170"/>
      <c r="D83" s="170"/>
      <c r="E83" s="170"/>
      <c r="F83" s="280" t="s">
        <v>266</v>
      </c>
      <c r="G83" s="376"/>
      <c r="H83" s="266">
        <f>Inmunizaciones!L60</f>
        <v>0</v>
      </c>
      <c r="I83" s="377"/>
      <c r="J83" s="359">
        <f>H83</f>
        <v>0</v>
      </c>
      <c r="K83" s="156"/>
      <c r="L83" s="156"/>
      <c r="M83" s="173"/>
      <c r="N83" s="172" t="s">
        <v>307</v>
      </c>
      <c r="O83" s="220"/>
      <c r="P83" s="277"/>
      <c r="Q83" s="277"/>
      <c r="R83" s="403"/>
      <c r="S83" s="145"/>
      <c r="T83" s="173"/>
      <c r="U83" s="86"/>
    </row>
    <row r="84" spans="1:21" x14ac:dyDescent="0.2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</row>
    <row r="85" spans="1:21" ht="14" thickBot="1" x14ac:dyDescent="0.3">
      <c r="A85" s="86"/>
      <c r="B85" s="91" t="s">
        <v>156</v>
      </c>
      <c r="C85" s="91"/>
      <c r="D85" s="86"/>
      <c r="E85" s="86"/>
      <c r="F85" s="410">
        <v>3</v>
      </c>
      <c r="G85" s="86"/>
      <c r="H85" s="91" t="s">
        <v>157</v>
      </c>
      <c r="I85" s="91"/>
      <c r="J85" s="86"/>
      <c r="K85" s="174"/>
      <c r="L85" s="410">
        <v>4</v>
      </c>
      <c r="M85" s="86"/>
      <c r="N85" s="91" t="s">
        <v>158</v>
      </c>
      <c r="O85" s="86"/>
      <c r="P85" s="86"/>
      <c r="Q85" s="86"/>
      <c r="R85" s="410">
        <v>2</v>
      </c>
      <c r="S85" s="86"/>
      <c r="T85" s="86"/>
      <c r="U85" s="86"/>
    </row>
    <row r="86" spans="1:21" ht="13" thickBot="1" x14ac:dyDescent="0.3">
      <c r="A86" s="86"/>
      <c r="B86" s="91" t="s">
        <v>159</v>
      </c>
      <c r="C86" s="86"/>
      <c r="D86" s="86"/>
      <c r="E86" s="174"/>
      <c r="F86" s="174"/>
      <c r="G86" s="147"/>
      <c r="H86" s="91" t="s">
        <v>160</v>
      </c>
      <c r="I86" s="86"/>
      <c r="J86" s="86"/>
      <c r="K86" s="86"/>
      <c r="L86" s="147"/>
      <c r="M86" s="86"/>
      <c r="N86" s="622" t="s">
        <v>150</v>
      </c>
      <c r="O86" s="592" t="s">
        <v>13</v>
      </c>
      <c r="P86" s="592"/>
      <c r="Q86" s="592"/>
      <c r="R86" s="624"/>
      <c r="S86" s="625" t="s">
        <v>31</v>
      </c>
      <c r="T86" s="626"/>
      <c r="U86" s="86"/>
    </row>
    <row r="87" spans="1:21" x14ac:dyDescent="0.25">
      <c r="A87" s="86"/>
      <c r="B87" s="585" t="s">
        <v>161</v>
      </c>
      <c r="C87" s="586"/>
      <c r="D87" s="586"/>
      <c r="E87" s="587"/>
      <c r="F87" s="606" t="s">
        <v>10</v>
      </c>
      <c r="G87" s="147"/>
      <c r="H87" s="585" t="s">
        <v>269</v>
      </c>
      <c r="I87" s="586"/>
      <c r="J87" s="586"/>
      <c r="K87" s="587"/>
      <c r="L87" s="606" t="s">
        <v>10</v>
      </c>
      <c r="M87" s="86"/>
      <c r="N87" s="623"/>
      <c r="O87" s="100" t="s">
        <v>25</v>
      </c>
      <c r="P87" s="97" t="s">
        <v>26</v>
      </c>
      <c r="Q87" s="97" t="s">
        <v>27</v>
      </c>
      <c r="R87" s="99" t="s">
        <v>10</v>
      </c>
      <c r="S87" s="99" t="s">
        <v>19</v>
      </c>
      <c r="T87" s="122" t="s">
        <v>28</v>
      </c>
      <c r="U87" s="86"/>
    </row>
    <row r="88" spans="1:21" x14ac:dyDescent="0.25">
      <c r="A88" s="86"/>
      <c r="B88" s="588"/>
      <c r="C88" s="589"/>
      <c r="D88" s="589"/>
      <c r="E88" s="590"/>
      <c r="F88" s="607"/>
      <c r="G88" s="147"/>
      <c r="H88" s="627"/>
      <c r="I88" s="628"/>
      <c r="J88" s="628"/>
      <c r="K88" s="629"/>
      <c r="L88" s="607"/>
      <c r="M88" s="175"/>
      <c r="N88" s="167" t="s">
        <v>151</v>
      </c>
      <c r="O88" s="308">
        <f>Inmunizaciones!C135</f>
        <v>0</v>
      </c>
      <c r="P88" s="308">
        <f>Inmunizaciones!D135</f>
        <v>0</v>
      </c>
      <c r="Q88" s="308">
        <f>Inmunizaciones!E135</f>
        <v>0</v>
      </c>
      <c r="R88" s="373">
        <f>O88+P88+Q88</f>
        <v>0</v>
      </c>
      <c r="S88" s="155"/>
      <c r="T88" s="168"/>
      <c r="U88" s="86"/>
    </row>
    <row r="89" spans="1:21" ht="12.75" customHeight="1" x14ac:dyDescent="0.25">
      <c r="A89" s="101"/>
      <c r="B89" s="614" t="s">
        <v>270</v>
      </c>
      <c r="C89" s="615"/>
      <c r="D89" s="226" t="s">
        <v>162</v>
      </c>
      <c r="E89" s="177"/>
      <c r="F89" s="227">
        <f>Inmunizaciones!D102</f>
        <v>0</v>
      </c>
      <c r="G89" s="101"/>
      <c r="H89" s="614" t="s">
        <v>163</v>
      </c>
      <c r="I89" s="615"/>
      <c r="J89" s="176" t="s">
        <v>162</v>
      </c>
      <c r="K89" s="178"/>
      <c r="L89" s="314">
        <f>Inmunizaciones!C149</f>
        <v>0</v>
      </c>
      <c r="M89" s="175"/>
      <c r="N89" s="167" t="s">
        <v>152</v>
      </c>
      <c r="O89" s="308">
        <f>Inmunizaciones!C136</f>
        <v>0</v>
      </c>
      <c r="P89" s="308">
        <f>Inmunizaciones!D136</f>
        <v>0</v>
      </c>
      <c r="Q89" s="308">
        <f>Inmunizaciones!E136</f>
        <v>0</v>
      </c>
      <c r="R89" s="373">
        <f>O89+P89+Q89</f>
        <v>0</v>
      </c>
      <c r="S89" s="155"/>
      <c r="T89" s="168"/>
      <c r="U89" s="86"/>
    </row>
    <row r="90" spans="1:21" x14ac:dyDescent="0.25">
      <c r="A90" s="101"/>
      <c r="B90" s="616"/>
      <c r="C90" s="617"/>
      <c r="D90" s="226" t="s">
        <v>95</v>
      </c>
      <c r="E90" s="177"/>
      <c r="F90" s="227">
        <f>Inmunizaciones!D103</f>
        <v>0</v>
      </c>
      <c r="G90" s="101"/>
      <c r="H90" s="616"/>
      <c r="I90" s="617"/>
      <c r="J90" s="176" t="s">
        <v>95</v>
      </c>
      <c r="K90" s="178"/>
      <c r="L90" s="314">
        <f>Inmunizaciones!C150</f>
        <v>0</v>
      </c>
      <c r="M90" s="175"/>
      <c r="N90" s="167" t="s">
        <v>153</v>
      </c>
      <c r="O90" s="308">
        <f>Inmunizaciones!C137</f>
        <v>0</v>
      </c>
      <c r="P90" s="308">
        <f>Inmunizaciones!D137</f>
        <v>0</v>
      </c>
      <c r="Q90" s="308">
        <f>Inmunizaciones!E137</f>
        <v>0</v>
      </c>
      <c r="R90" s="373">
        <f>O90+P90+Q90</f>
        <v>0</v>
      </c>
      <c r="S90" s="155"/>
      <c r="T90" s="168"/>
      <c r="U90" s="86"/>
    </row>
    <row r="91" spans="1:21" x14ac:dyDescent="0.25">
      <c r="A91" s="101"/>
      <c r="B91" s="616"/>
      <c r="C91" s="617"/>
      <c r="D91" s="226" t="s">
        <v>96</v>
      </c>
      <c r="E91" s="177"/>
      <c r="F91" s="227">
        <f>Inmunizaciones!D104</f>
        <v>0</v>
      </c>
      <c r="G91" s="101"/>
      <c r="H91" s="616"/>
      <c r="I91" s="617"/>
      <c r="J91" s="176" t="s">
        <v>96</v>
      </c>
      <c r="K91" s="178"/>
      <c r="L91" s="314">
        <f>Inmunizaciones!C151</f>
        <v>0</v>
      </c>
      <c r="M91" s="175"/>
      <c r="N91" s="167" t="s">
        <v>164</v>
      </c>
      <c r="O91" s="308">
        <f>Inmunizaciones!C138</f>
        <v>0</v>
      </c>
      <c r="P91" s="308">
        <f>Inmunizaciones!D138</f>
        <v>0</v>
      </c>
      <c r="Q91" s="308">
        <f>Inmunizaciones!E138</f>
        <v>0</v>
      </c>
      <c r="R91" s="373">
        <f>O91+P91+Q91</f>
        <v>0</v>
      </c>
      <c r="S91" s="155"/>
      <c r="T91" s="168"/>
      <c r="U91" s="86"/>
    </row>
    <row r="92" spans="1:21" x14ac:dyDescent="0.25">
      <c r="A92" s="101"/>
      <c r="B92" s="616"/>
      <c r="C92" s="617"/>
      <c r="D92" s="226" t="s">
        <v>97</v>
      </c>
      <c r="E92" s="177"/>
      <c r="F92" s="227">
        <f>Inmunizaciones!D105</f>
        <v>0</v>
      </c>
      <c r="G92" s="101"/>
      <c r="H92" s="616"/>
      <c r="I92" s="617"/>
      <c r="J92" s="179" t="s">
        <v>97</v>
      </c>
      <c r="K92" s="180"/>
      <c r="L92" s="314">
        <f>Inmunizaciones!C152</f>
        <v>0</v>
      </c>
      <c r="M92" s="175"/>
      <c r="N92" s="167" t="s">
        <v>271</v>
      </c>
      <c r="O92" s="308">
        <f>Inmunizaciones!C139</f>
        <v>0</v>
      </c>
      <c r="P92" s="308">
        <f>Inmunizaciones!D139</f>
        <v>0</v>
      </c>
      <c r="Q92" s="308">
        <f>Inmunizaciones!E139</f>
        <v>0</v>
      </c>
      <c r="R92" s="373">
        <f>O92+P92+Q92</f>
        <v>0</v>
      </c>
      <c r="S92" s="155"/>
      <c r="T92" s="168"/>
      <c r="U92" s="86"/>
    </row>
    <row r="93" spans="1:21" ht="12.75" customHeight="1" x14ac:dyDescent="0.25">
      <c r="A93" s="101"/>
      <c r="B93" s="635"/>
      <c r="C93" s="774"/>
      <c r="D93" s="226" t="s">
        <v>272</v>
      </c>
      <c r="E93" s="177"/>
      <c r="F93" s="227">
        <f>Inmunizaciones!D106</f>
        <v>0</v>
      </c>
      <c r="G93" s="147"/>
      <c r="H93" s="635"/>
      <c r="I93" s="774"/>
      <c r="J93" s="408" t="s">
        <v>308</v>
      </c>
      <c r="K93" s="409"/>
      <c r="L93" s="314">
        <f>Inmunizaciones!C161</f>
        <v>0</v>
      </c>
      <c r="M93" s="86"/>
      <c r="N93" s="802" t="s">
        <v>309</v>
      </c>
      <c r="O93" s="804">
        <f>Inmunizaciones!C140</f>
        <v>0</v>
      </c>
      <c r="P93" s="620"/>
      <c r="Q93" s="620"/>
      <c r="R93" s="796">
        <f>O93</f>
        <v>0</v>
      </c>
      <c r="S93" s="600"/>
      <c r="T93" s="602"/>
      <c r="U93" s="86"/>
    </row>
    <row r="94" spans="1:21" ht="12.75" customHeight="1" x14ac:dyDescent="0.25">
      <c r="A94" s="101"/>
      <c r="B94" s="798" t="s">
        <v>275</v>
      </c>
      <c r="C94" s="799"/>
      <c r="D94" s="226" t="s">
        <v>162</v>
      </c>
      <c r="E94" s="177"/>
      <c r="F94" s="227">
        <f>Inmunizaciones!D107</f>
        <v>0</v>
      </c>
      <c r="G94" s="147"/>
      <c r="H94" s="181" t="s">
        <v>273</v>
      </c>
      <c r="I94" s="182"/>
      <c r="J94" s="182"/>
      <c r="K94" s="183"/>
      <c r="L94" s="315">
        <f>Inmunizaciones!C153</f>
        <v>0</v>
      </c>
      <c r="M94" s="184" t="s">
        <v>176</v>
      </c>
      <c r="N94" s="802"/>
      <c r="O94" s="804">
        <f>Inmunizaciones!C141</f>
        <v>0</v>
      </c>
      <c r="P94" s="620"/>
      <c r="Q94" s="620"/>
      <c r="R94" s="796"/>
      <c r="S94" s="600"/>
      <c r="T94" s="602"/>
      <c r="U94" s="86"/>
    </row>
    <row r="95" spans="1:21" ht="13" thickBot="1" x14ac:dyDescent="0.3">
      <c r="A95" s="101"/>
      <c r="B95" s="798"/>
      <c r="C95" s="799"/>
      <c r="D95" s="226" t="s">
        <v>95</v>
      </c>
      <c r="E95" s="177"/>
      <c r="F95" s="227">
        <f>Inmunizaciones!D108</f>
        <v>0</v>
      </c>
      <c r="G95" s="147"/>
      <c r="H95" s="181" t="s">
        <v>276</v>
      </c>
      <c r="I95" s="182"/>
      <c r="J95" s="182"/>
      <c r="K95" s="183"/>
      <c r="L95" s="315">
        <f>Inmunizaciones!C154</f>
        <v>0</v>
      </c>
      <c r="M95" s="184" t="s">
        <v>176</v>
      </c>
      <c r="N95" s="803"/>
      <c r="O95" s="805">
        <f>Inmunizaciones!C142</f>
        <v>0</v>
      </c>
      <c r="P95" s="621"/>
      <c r="Q95" s="621"/>
      <c r="R95" s="797"/>
      <c r="S95" s="601"/>
      <c r="T95" s="603"/>
      <c r="U95" s="86"/>
    </row>
    <row r="96" spans="1:21" x14ac:dyDescent="0.25">
      <c r="A96" s="101"/>
      <c r="B96" s="798"/>
      <c r="C96" s="799"/>
      <c r="D96" s="226" t="s">
        <v>96</v>
      </c>
      <c r="E96" s="177"/>
      <c r="F96" s="227">
        <f>Inmunizaciones!D109</f>
        <v>0</v>
      </c>
      <c r="G96" s="147"/>
      <c r="H96" s="181" t="s">
        <v>277</v>
      </c>
      <c r="I96" s="182"/>
      <c r="J96" s="182"/>
      <c r="K96" s="183"/>
      <c r="L96" s="315">
        <f>Inmunizaciones!C155</f>
        <v>0</v>
      </c>
      <c r="M96" s="184" t="s">
        <v>176</v>
      </c>
      <c r="N96" s="185"/>
      <c r="O96" s="91"/>
      <c r="P96" s="120"/>
      <c r="Q96" s="174"/>
      <c r="R96" s="174"/>
      <c r="S96" s="120"/>
      <c r="T96" s="120"/>
      <c r="U96" s="86"/>
    </row>
    <row r="97" spans="1:21" ht="13.5" x14ac:dyDescent="0.25">
      <c r="A97" s="101"/>
      <c r="B97" s="798"/>
      <c r="C97" s="799"/>
      <c r="D97" s="226" t="s">
        <v>97</v>
      </c>
      <c r="E97" s="177"/>
      <c r="F97" s="227">
        <f>Inmunizaciones!D110</f>
        <v>0</v>
      </c>
      <c r="G97" s="184"/>
      <c r="H97" s="181" t="s">
        <v>278</v>
      </c>
      <c r="I97" s="182"/>
      <c r="J97" s="182"/>
      <c r="K97" s="183"/>
      <c r="L97" s="315">
        <f>Inmunizaciones!C156</f>
        <v>0</v>
      </c>
      <c r="M97" s="184" t="s">
        <v>176</v>
      </c>
      <c r="N97" s="91" t="s">
        <v>166</v>
      </c>
      <c r="O97" s="86"/>
      <c r="P97" s="410">
        <v>6</v>
      </c>
      <c r="Q97" s="86"/>
      <c r="R97" s="91" t="s">
        <v>310</v>
      </c>
      <c r="S97" s="86"/>
      <c r="T97" s="410">
        <v>8</v>
      </c>
      <c r="U97" s="86"/>
    </row>
    <row r="98" spans="1:21" ht="12.75" customHeight="1" x14ac:dyDescent="0.25">
      <c r="A98" s="101"/>
      <c r="B98" s="798"/>
      <c r="C98" s="799"/>
      <c r="D98" s="226" t="s">
        <v>272</v>
      </c>
      <c r="E98" s="177"/>
      <c r="F98" s="227">
        <f>Inmunizaciones!D111</f>
        <v>0</v>
      </c>
      <c r="G98" s="184"/>
      <c r="H98" s="181" t="s">
        <v>279</v>
      </c>
      <c r="I98" s="182"/>
      <c r="J98" s="182"/>
      <c r="K98" s="183"/>
      <c r="L98" s="315">
        <f>Inmunizaciones!C157</f>
        <v>0</v>
      </c>
      <c r="M98" s="184" t="s">
        <v>176</v>
      </c>
      <c r="N98" s="91" t="s">
        <v>311</v>
      </c>
      <c r="O98" s="86"/>
      <c r="P98" s="120"/>
      <c r="Q98" s="86"/>
      <c r="R98" s="800" t="s">
        <v>312</v>
      </c>
      <c r="S98" s="800"/>
      <c r="T98" s="800"/>
      <c r="U98" s="86"/>
    </row>
    <row r="99" spans="1:21" ht="13" thickBot="1" x14ac:dyDescent="0.3">
      <c r="A99" s="101"/>
      <c r="B99" s="206" t="s">
        <v>215</v>
      </c>
      <c r="C99" s="187"/>
      <c r="D99" s="86"/>
      <c r="E99" s="188"/>
      <c r="F99" s="227">
        <f>Inmunizaciones!D112</f>
        <v>0</v>
      </c>
      <c r="G99" s="184"/>
      <c r="H99" s="181" t="s">
        <v>256</v>
      </c>
      <c r="I99" s="182"/>
      <c r="J99" s="182"/>
      <c r="K99" s="183"/>
      <c r="L99" s="315">
        <f>Inmunizaciones!C158</f>
        <v>0</v>
      </c>
      <c r="M99" s="184" t="s">
        <v>176</v>
      </c>
      <c r="N99" s="91" t="s">
        <v>313</v>
      </c>
      <c r="O99" s="86"/>
      <c r="P99" s="120"/>
      <c r="Q99" s="86"/>
      <c r="R99" s="801"/>
      <c r="S99" s="801"/>
      <c r="T99" s="801"/>
      <c r="U99" s="86"/>
    </row>
    <row r="100" spans="1:21" x14ac:dyDescent="0.25">
      <c r="A100" s="101"/>
      <c r="B100" s="189" t="s">
        <v>125</v>
      </c>
      <c r="C100" s="190"/>
      <c r="D100" s="191"/>
      <c r="E100" s="191"/>
      <c r="F100" s="227">
        <f>Inmunizaciones!D113</f>
        <v>0</v>
      </c>
      <c r="G100" s="184" t="s">
        <v>176</v>
      </c>
      <c r="H100" s="181" t="s">
        <v>280</v>
      </c>
      <c r="I100" s="182"/>
      <c r="J100" s="182"/>
      <c r="K100" s="183"/>
      <c r="L100" s="315">
        <f>Inmunizaciones!C159</f>
        <v>0</v>
      </c>
      <c r="M100" s="184" t="s">
        <v>176</v>
      </c>
      <c r="N100" s="585" t="s">
        <v>269</v>
      </c>
      <c r="O100" s="587"/>
      <c r="P100" s="424" t="s">
        <v>10</v>
      </c>
      <c r="Q100" s="86"/>
      <c r="R100" s="585" t="s">
        <v>282</v>
      </c>
      <c r="S100" s="587"/>
      <c r="T100" s="606" t="s">
        <v>10</v>
      </c>
      <c r="U100" s="86"/>
    </row>
    <row r="101" spans="1:21" ht="13" thickBot="1" x14ac:dyDescent="0.3">
      <c r="A101" s="86"/>
      <c r="B101" s="189" t="s">
        <v>126</v>
      </c>
      <c r="C101" s="190"/>
      <c r="D101" s="191"/>
      <c r="E101" s="191"/>
      <c r="F101" s="227">
        <f>Inmunizaciones!D114</f>
        <v>0</v>
      </c>
      <c r="G101" s="195" t="s">
        <v>176</v>
      </c>
      <c r="H101" s="192" t="s">
        <v>281</v>
      </c>
      <c r="I101" s="193"/>
      <c r="J101" s="193"/>
      <c r="K101" s="194"/>
      <c r="L101" s="316">
        <f>Inmunizaciones!C160</f>
        <v>0</v>
      </c>
      <c r="M101" s="195" t="s">
        <v>176</v>
      </c>
      <c r="N101" s="197" t="s">
        <v>162</v>
      </c>
      <c r="O101" s="178"/>
      <c r="P101" s="315">
        <f>Inmunizaciones!C95</f>
        <v>0</v>
      </c>
      <c r="Q101" s="86"/>
      <c r="R101" s="588" t="s">
        <v>283</v>
      </c>
      <c r="S101" s="590"/>
      <c r="T101" s="607"/>
      <c r="U101" s="86"/>
    </row>
    <row r="102" spans="1:21" x14ac:dyDescent="0.25">
      <c r="A102" s="86"/>
      <c r="B102" s="189" t="s">
        <v>45</v>
      </c>
      <c r="C102" s="190"/>
      <c r="D102" s="191"/>
      <c r="E102" s="191"/>
      <c r="F102" s="227">
        <f>Inmunizaciones!D115</f>
        <v>0</v>
      </c>
      <c r="G102" s="195" t="s">
        <v>176</v>
      </c>
      <c r="H102" s="86"/>
      <c r="I102" s="86"/>
      <c r="J102" s="86"/>
      <c r="K102" s="86"/>
      <c r="L102" s="86"/>
      <c r="M102" s="86"/>
      <c r="N102" s="197" t="s">
        <v>95</v>
      </c>
      <c r="O102" s="178"/>
      <c r="P102" s="315">
        <f>Inmunizaciones!C96</f>
        <v>0</v>
      </c>
      <c r="Q102" s="86"/>
      <c r="R102" s="415" t="s">
        <v>162</v>
      </c>
      <c r="S102" s="416"/>
      <c r="T102" s="315">
        <f>Inmunizaciones!C200</f>
        <v>0</v>
      </c>
      <c r="U102" s="86"/>
    </row>
    <row r="103" spans="1:21" x14ac:dyDescent="0.25">
      <c r="A103" s="86"/>
      <c r="B103" s="189" t="s">
        <v>285</v>
      </c>
      <c r="C103" s="190"/>
      <c r="D103" s="191"/>
      <c r="E103" s="191"/>
      <c r="F103" s="218">
        <f>Inmunizaciones!D117</f>
        <v>0</v>
      </c>
      <c r="G103" s="195" t="s">
        <v>176</v>
      </c>
      <c r="H103" s="86"/>
      <c r="I103" s="86"/>
      <c r="J103" s="86"/>
      <c r="K103" s="86"/>
      <c r="L103" s="86"/>
      <c r="M103" s="86"/>
      <c r="N103" s="197" t="s">
        <v>96</v>
      </c>
      <c r="O103" s="178"/>
      <c r="P103" s="315">
        <f>Inmunizaciones!C97</f>
        <v>0</v>
      </c>
      <c r="Q103" s="86"/>
      <c r="R103" s="415" t="s">
        <v>95</v>
      </c>
      <c r="S103" s="416"/>
      <c r="T103" s="315">
        <f>Inmunizaciones!C201</f>
        <v>0</v>
      </c>
      <c r="U103" s="86"/>
    </row>
    <row r="104" spans="1:21" x14ac:dyDescent="0.25">
      <c r="A104" s="86"/>
      <c r="B104" s="189" t="s">
        <v>227</v>
      </c>
      <c r="C104" s="190"/>
      <c r="D104" s="191"/>
      <c r="E104" s="191"/>
      <c r="F104" s="218">
        <f>Inmunizaciones!D118</f>
        <v>0</v>
      </c>
      <c r="G104" s="195" t="s">
        <v>176</v>
      </c>
      <c r="H104" s="86"/>
      <c r="I104" s="86"/>
      <c r="J104" s="86"/>
      <c r="K104" s="86"/>
      <c r="L104" s="86"/>
      <c r="M104" s="86"/>
      <c r="N104" s="202" t="s">
        <v>98</v>
      </c>
      <c r="O104" s="180"/>
      <c r="P104" s="315">
        <f>Inmunizaciones!C98</f>
        <v>0</v>
      </c>
      <c r="Q104" s="86"/>
      <c r="R104" s="415" t="s">
        <v>96</v>
      </c>
      <c r="S104" s="416"/>
      <c r="T104" s="315">
        <f>Inmunizaciones!C202</f>
        <v>0</v>
      </c>
      <c r="U104" s="86"/>
    </row>
    <row r="105" spans="1:21" ht="14" thickBot="1" x14ac:dyDescent="0.3">
      <c r="A105" s="86"/>
      <c r="B105" s="189" t="s">
        <v>287</v>
      </c>
      <c r="C105" s="190"/>
      <c r="D105" s="86"/>
      <c r="E105" s="191"/>
      <c r="F105" s="218">
        <f>Inmunizaciones!D119</f>
        <v>0</v>
      </c>
      <c r="G105" s="195" t="s">
        <v>176</v>
      </c>
      <c r="H105" s="91" t="s">
        <v>165</v>
      </c>
      <c r="I105" s="91"/>
      <c r="J105" s="86"/>
      <c r="K105" s="86"/>
      <c r="L105" s="410">
        <v>5</v>
      </c>
      <c r="M105" s="147"/>
      <c r="N105" s="411" t="s">
        <v>271</v>
      </c>
      <c r="O105" s="412"/>
      <c r="P105" s="316">
        <f>Inmunizaciones!C99</f>
        <v>0</v>
      </c>
      <c r="Q105" s="86"/>
      <c r="R105" s="415" t="s">
        <v>98</v>
      </c>
      <c r="S105" s="416"/>
      <c r="T105" s="315">
        <f>Inmunizaciones!C203</f>
        <v>0</v>
      </c>
      <c r="U105" s="86"/>
    </row>
    <row r="106" spans="1:21" ht="13" thickBot="1" x14ac:dyDescent="0.3">
      <c r="A106" s="86"/>
      <c r="B106" s="189" t="s">
        <v>229</v>
      </c>
      <c r="C106" s="190"/>
      <c r="D106" s="191"/>
      <c r="E106" s="191"/>
      <c r="F106" s="218">
        <f>Inmunizaciones!D120</f>
        <v>0</v>
      </c>
      <c r="G106" s="195" t="s">
        <v>176</v>
      </c>
      <c r="H106" s="91" t="s">
        <v>167</v>
      </c>
      <c r="I106" s="86"/>
      <c r="J106" s="86"/>
      <c r="K106" s="86"/>
      <c r="L106" s="86"/>
      <c r="M106" s="86"/>
      <c r="N106" s="86"/>
      <c r="O106" s="101"/>
      <c r="P106" s="86"/>
      <c r="Q106" s="378" t="s">
        <v>176</v>
      </c>
      <c r="R106" s="417" t="s">
        <v>45</v>
      </c>
      <c r="S106" s="412"/>
      <c r="T106" s="316">
        <f>Inmunizaciones!C204</f>
        <v>0</v>
      </c>
      <c r="U106" s="195"/>
    </row>
    <row r="107" spans="1:21" x14ac:dyDescent="0.25">
      <c r="A107" s="86"/>
      <c r="B107" s="189" t="s">
        <v>288</v>
      </c>
      <c r="C107" s="190"/>
      <c r="D107" s="191"/>
      <c r="E107" s="191"/>
      <c r="F107" s="218">
        <f>Inmunizaciones!D121</f>
        <v>0</v>
      </c>
      <c r="G107" s="195" t="s">
        <v>176</v>
      </c>
      <c r="H107" s="809" t="s">
        <v>269</v>
      </c>
      <c r="I107" s="810"/>
      <c r="J107" s="810"/>
      <c r="K107" s="596" t="s">
        <v>13</v>
      </c>
      <c r="L107" s="596"/>
      <c r="M107" s="596"/>
      <c r="N107" s="596"/>
      <c r="O107" s="597"/>
      <c r="P107" s="86"/>
      <c r="Q107" s="86"/>
      <c r="R107" s="86"/>
      <c r="S107" s="86"/>
      <c r="T107" s="86"/>
      <c r="U107" s="86"/>
    </row>
    <row r="108" spans="1:21" ht="13.5" x14ac:dyDescent="0.25">
      <c r="A108" s="86"/>
      <c r="B108" s="189" t="s">
        <v>231</v>
      </c>
      <c r="C108" s="190"/>
      <c r="D108" s="191"/>
      <c r="E108" s="191"/>
      <c r="F108" s="218">
        <f>Inmunizaciones!D122</f>
        <v>0</v>
      </c>
      <c r="G108" s="195" t="s">
        <v>176</v>
      </c>
      <c r="H108" s="811"/>
      <c r="I108" s="812"/>
      <c r="J108" s="812"/>
      <c r="K108" s="99" t="s">
        <v>25</v>
      </c>
      <c r="L108" s="99" t="s">
        <v>26</v>
      </c>
      <c r="M108" s="99" t="s">
        <v>27</v>
      </c>
      <c r="N108" s="99" t="s">
        <v>314</v>
      </c>
      <c r="O108" s="122" t="s">
        <v>10</v>
      </c>
      <c r="P108" s="86"/>
      <c r="Q108" s="91" t="s">
        <v>289</v>
      </c>
      <c r="R108" s="86"/>
      <c r="S108" s="410">
        <v>7</v>
      </c>
      <c r="T108" s="86"/>
      <c r="U108" s="86"/>
    </row>
    <row r="109" spans="1:21" ht="13.5" customHeight="1" thickBot="1" x14ac:dyDescent="0.3">
      <c r="A109" s="86"/>
      <c r="B109" s="189" t="s">
        <v>232</v>
      </c>
      <c r="C109" s="86"/>
      <c r="D109" s="191"/>
      <c r="E109" s="191"/>
      <c r="F109" s="218">
        <f>Inmunizaciones!D123</f>
        <v>0</v>
      </c>
      <c r="G109" s="195" t="s">
        <v>176</v>
      </c>
      <c r="H109" s="793" t="s">
        <v>162</v>
      </c>
      <c r="I109" s="794"/>
      <c r="J109" s="795"/>
      <c r="K109" s="219">
        <f>Inmunizaciones!C82</f>
        <v>0</v>
      </c>
      <c r="L109" s="219">
        <f>Inmunizaciones!D82</f>
        <v>0</v>
      </c>
      <c r="M109" s="219">
        <f>Inmunizaciones!E82</f>
        <v>0</v>
      </c>
      <c r="N109" s="379"/>
      <c r="O109" s="380">
        <f>K109+L109+M109</f>
        <v>0</v>
      </c>
      <c r="P109" s="86"/>
      <c r="Q109" s="594" t="s">
        <v>290</v>
      </c>
      <c r="R109" s="594"/>
      <c r="S109" s="594"/>
      <c r="T109" s="594"/>
      <c r="U109" s="86"/>
    </row>
    <row r="110" spans="1:21" ht="12.75" customHeight="1" x14ac:dyDescent="0.25">
      <c r="A110" s="86"/>
      <c r="B110" s="785" t="s">
        <v>233</v>
      </c>
      <c r="C110" s="786"/>
      <c r="D110" s="786"/>
      <c r="E110" s="787"/>
      <c r="F110" s="791">
        <f>Inmunizaciones!D124</f>
        <v>0</v>
      </c>
      <c r="G110" s="195" t="s">
        <v>176</v>
      </c>
      <c r="H110" s="793" t="s">
        <v>95</v>
      </c>
      <c r="I110" s="794"/>
      <c r="J110" s="795"/>
      <c r="K110" s="219">
        <f>Inmunizaciones!C83</f>
        <v>0</v>
      </c>
      <c r="L110" s="219">
        <f>Inmunizaciones!D83</f>
        <v>0</v>
      </c>
      <c r="M110" s="219">
        <f>Inmunizaciones!E83</f>
        <v>0</v>
      </c>
      <c r="N110" s="381"/>
      <c r="O110" s="380">
        <f t="shared" ref="O110:O116" si="4">K110+L110+M110</f>
        <v>0</v>
      </c>
      <c r="P110" s="86"/>
      <c r="Q110" s="644" t="s">
        <v>269</v>
      </c>
      <c r="R110" s="596" t="s">
        <v>13</v>
      </c>
      <c r="S110" s="596"/>
      <c r="T110" s="597"/>
      <c r="U110" s="86"/>
    </row>
    <row r="111" spans="1:21" x14ac:dyDescent="0.25">
      <c r="A111" s="86"/>
      <c r="B111" s="788"/>
      <c r="C111" s="789"/>
      <c r="D111" s="789"/>
      <c r="E111" s="790"/>
      <c r="F111" s="792"/>
      <c r="G111" s="201" t="s">
        <v>176</v>
      </c>
      <c r="H111" s="793" t="s">
        <v>96</v>
      </c>
      <c r="I111" s="794"/>
      <c r="J111" s="795"/>
      <c r="K111" s="219">
        <f>Inmunizaciones!C84</f>
        <v>0</v>
      </c>
      <c r="L111" s="219">
        <f>Inmunizaciones!D84</f>
        <v>0</v>
      </c>
      <c r="M111" s="219">
        <f>Inmunizaciones!E84</f>
        <v>0</v>
      </c>
      <c r="N111" s="381"/>
      <c r="O111" s="380">
        <f t="shared" si="4"/>
        <v>0</v>
      </c>
      <c r="P111" s="86"/>
      <c r="Q111" s="618"/>
      <c r="R111" s="99" t="s">
        <v>25</v>
      </c>
      <c r="S111" s="99" t="s">
        <v>26</v>
      </c>
      <c r="T111" s="122" t="s">
        <v>27</v>
      </c>
      <c r="U111" s="86"/>
    </row>
    <row r="112" spans="1:21" x14ac:dyDescent="0.25">
      <c r="A112" s="86"/>
      <c r="B112" s="189" t="s">
        <v>235</v>
      </c>
      <c r="C112" s="317"/>
      <c r="D112" s="317"/>
      <c r="E112" s="318"/>
      <c r="F112" s="423">
        <f>Inmunizaciones!D126</f>
        <v>0</v>
      </c>
      <c r="G112" s="195" t="s">
        <v>176</v>
      </c>
      <c r="H112" s="793" t="s">
        <v>98</v>
      </c>
      <c r="I112" s="794"/>
      <c r="J112" s="795"/>
      <c r="K112" s="219">
        <f>Inmunizaciones!C85</f>
        <v>0</v>
      </c>
      <c r="L112" s="219">
        <f>Inmunizaciones!D85</f>
        <v>0</v>
      </c>
      <c r="M112" s="219">
        <f>Inmunizaciones!E85</f>
        <v>0</v>
      </c>
      <c r="N112" s="381"/>
      <c r="O112" s="380">
        <f t="shared" si="4"/>
        <v>0</v>
      </c>
      <c r="P112" s="86"/>
      <c r="Q112" s="382" t="s">
        <v>315</v>
      </c>
      <c r="R112" s="108">
        <f>Inmunizaciones!C193</f>
        <v>0</v>
      </c>
      <c r="S112" s="108">
        <f>Inmunizaciones!D193</f>
        <v>0</v>
      </c>
      <c r="T112" s="383"/>
      <c r="U112" s="86"/>
    </row>
    <row r="113" spans="1:21" x14ac:dyDescent="0.25">
      <c r="A113" s="86"/>
      <c r="B113" s="189" t="s">
        <v>236</v>
      </c>
      <c r="C113" s="190"/>
      <c r="D113" s="191"/>
      <c r="E113" s="191"/>
      <c r="F113" s="423">
        <f>Inmunizaciones!D127</f>
        <v>0</v>
      </c>
      <c r="G113" s="195" t="s">
        <v>176</v>
      </c>
      <c r="H113" s="793" t="s">
        <v>271</v>
      </c>
      <c r="I113" s="794"/>
      <c r="J113" s="795"/>
      <c r="K113" s="219">
        <f>Inmunizaciones!C86</f>
        <v>0</v>
      </c>
      <c r="L113" s="219">
        <f>Inmunizaciones!D86</f>
        <v>0</v>
      </c>
      <c r="M113" s="219">
        <f>Inmunizaciones!E86</f>
        <v>0</v>
      </c>
      <c r="N113" s="381"/>
      <c r="O113" s="380">
        <f t="shared" si="4"/>
        <v>0</v>
      </c>
      <c r="P113" s="86"/>
      <c r="Q113" s="384" t="s">
        <v>316</v>
      </c>
      <c r="R113" s="108">
        <f>Inmunizaciones!C194</f>
        <v>0</v>
      </c>
      <c r="S113" s="108">
        <f>Inmunizaciones!D194</f>
        <v>0</v>
      </c>
      <c r="T113" s="470">
        <f>Inmunizaciones!E194</f>
        <v>0</v>
      </c>
      <c r="U113" s="86"/>
    </row>
    <row r="114" spans="1:21" x14ac:dyDescent="0.25">
      <c r="A114" s="86"/>
      <c r="B114" s="206" t="s">
        <v>237</v>
      </c>
      <c r="C114" s="190"/>
      <c r="D114" s="191"/>
      <c r="E114" s="191"/>
      <c r="F114" s="423">
        <f>Inmunizaciones!D128</f>
        <v>0</v>
      </c>
      <c r="G114" s="195" t="s">
        <v>176</v>
      </c>
      <c r="H114" s="806" t="s">
        <v>45</v>
      </c>
      <c r="I114" s="807"/>
      <c r="J114" s="808"/>
      <c r="K114" s="219">
        <f>Inmunizaciones!C87</f>
        <v>0</v>
      </c>
      <c r="L114" s="219">
        <f>Inmunizaciones!D87</f>
        <v>0</v>
      </c>
      <c r="M114" s="219">
        <f>Inmunizaciones!E87</f>
        <v>0</v>
      </c>
      <c r="N114" s="381"/>
      <c r="O114" s="380">
        <f t="shared" si="4"/>
        <v>0</v>
      </c>
      <c r="P114" s="385" t="s">
        <v>176</v>
      </c>
      <c r="Q114" s="386" t="s">
        <v>317</v>
      </c>
      <c r="R114" s="387" t="s">
        <v>318</v>
      </c>
      <c r="S114" s="387" t="s">
        <v>319</v>
      </c>
      <c r="T114" s="388" t="s">
        <v>320</v>
      </c>
      <c r="U114" s="86"/>
    </row>
    <row r="115" spans="1:21" ht="13" thickBot="1" x14ac:dyDescent="0.3">
      <c r="A115" s="86"/>
      <c r="B115" s="413" t="s">
        <v>321</v>
      </c>
      <c r="C115" s="404"/>
      <c r="D115" s="405"/>
      <c r="E115" s="405"/>
      <c r="F115" s="423">
        <f>Inmunizaciones!D130</f>
        <v>0</v>
      </c>
      <c r="G115" s="195" t="s">
        <v>176</v>
      </c>
      <c r="H115" s="806" t="s">
        <v>321</v>
      </c>
      <c r="I115" s="807"/>
      <c r="J115" s="808"/>
      <c r="K115" s="108">
        <f>Inmunizaciones!C90</f>
        <v>0</v>
      </c>
      <c r="L115" s="108">
        <f>Inmunizaciones!D90</f>
        <v>0</v>
      </c>
      <c r="M115" s="108">
        <f>Inmunizaciones!E90</f>
        <v>0</v>
      </c>
      <c r="N115" s="381"/>
      <c r="O115" s="380">
        <f t="shared" si="4"/>
        <v>0</v>
      </c>
      <c r="P115" s="385" t="s">
        <v>176</v>
      </c>
      <c r="Q115" s="390" t="s">
        <v>322</v>
      </c>
      <c r="R115" s="280">
        <f>Inmunizaciones!C196</f>
        <v>0</v>
      </c>
      <c r="S115" s="280">
        <f>Inmunizaciones!D196</f>
        <v>0</v>
      </c>
      <c r="T115" s="282">
        <f>Inmunizaciones!E196</f>
        <v>0</v>
      </c>
      <c r="U115" s="86"/>
    </row>
    <row r="116" spans="1:21" ht="14" thickBot="1" x14ac:dyDescent="0.3">
      <c r="A116" s="86"/>
      <c r="B116" s="414" t="s">
        <v>323</v>
      </c>
      <c r="C116" s="406"/>
      <c r="D116" s="406"/>
      <c r="E116" s="407"/>
      <c r="F116" s="423">
        <f>Inmunizaciones!D131</f>
        <v>0</v>
      </c>
      <c r="G116" s="195" t="s">
        <v>176</v>
      </c>
      <c r="H116" s="806" t="s">
        <v>323</v>
      </c>
      <c r="I116" s="807"/>
      <c r="J116" s="808"/>
      <c r="K116" s="108">
        <f>Inmunizaciones!C91</f>
        <v>0</v>
      </c>
      <c r="L116" s="108">
        <f>Inmunizaciones!D91</f>
        <v>0</v>
      </c>
      <c r="M116" s="108">
        <f>Inmunizaciones!E91</f>
        <v>0</v>
      </c>
      <c r="N116" s="381"/>
      <c r="O116" s="380">
        <f t="shared" si="4"/>
        <v>0</v>
      </c>
      <c r="P116" s="385" t="s">
        <v>176</v>
      </c>
      <c r="Q116" s="91" t="s">
        <v>324</v>
      </c>
      <c r="R116" s="86"/>
      <c r="S116" s="410">
        <v>9</v>
      </c>
      <c r="T116" s="86"/>
      <c r="U116" s="86"/>
    </row>
    <row r="117" spans="1:21" ht="13" thickBot="1" x14ac:dyDescent="0.3">
      <c r="A117" s="86"/>
      <c r="B117" s="319" t="s">
        <v>80</v>
      </c>
      <c r="C117" s="369"/>
      <c r="D117" s="369"/>
      <c r="E117" s="369"/>
      <c r="F117" s="221">
        <f>Inmunizaciones!D129</f>
        <v>0</v>
      </c>
      <c r="G117" s="195" t="s">
        <v>176</v>
      </c>
      <c r="H117" s="320" t="s">
        <v>80</v>
      </c>
      <c r="I117" s="321"/>
      <c r="J117" s="321"/>
      <c r="K117" s="462">
        <f>Inmunizaciones!C88</f>
        <v>0</v>
      </c>
      <c r="L117" s="462">
        <f>Inmunizaciones!D88</f>
        <v>0</v>
      </c>
      <c r="M117" s="462">
        <f>Inmunizaciones!E88</f>
        <v>0</v>
      </c>
      <c r="N117" s="381"/>
      <c r="O117" s="380">
        <f>K117+L117+M117</f>
        <v>0</v>
      </c>
      <c r="P117" s="385" t="s">
        <v>176</v>
      </c>
      <c r="Q117" s="809" t="s">
        <v>269</v>
      </c>
      <c r="R117" s="810"/>
      <c r="S117" s="810"/>
      <c r="T117" s="166" t="s">
        <v>10</v>
      </c>
      <c r="U117" s="86"/>
    </row>
    <row r="118" spans="1:21" ht="12.75" customHeight="1" thickBot="1" x14ac:dyDescent="0.3">
      <c r="A118" s="86"/>
      <c r="B118" s="86"/>
      <c r="C118" s="214"/>
      <c r="D118" s="86"/>
      <c r="E118" s="86"/>
      <c r="F118" s="322"/>
      <c r="G118" s="195"/>
      <c r="H118" s="806" t="s">
        <v>125</v>
      </c>
      <c r="I118" s="807"/>
      <c r="J118" s="808"/>
      <c r="K118" s="484">
        <f>Inmunizaciones!H82</f>
        <v>0</v>
      </c>
      <c r="L118" s="484">
        <f>Inmunizaciones!I82</f>
        <v>0</v>
      </c>
      <c r="M118" s="484">
        <f>Inmunizaciones!J82</f>
        <v>0</v>
      </c>
      <c r="N118" s="381"/>
      <c r="O118" s="380">
        <f>K118+L118+M118</f>
        <v>0</v>
      </c>
      <c r="P118" s="385" t="s">
        <v>176</v>
      </c>
      <c r="Q118" s="490" t="s">
        <v>124</v>
      </c>
      <c r="R118" s="822" t="s">
        <v>223</v>
      </c>
      <c r="S118" s="822"/>
      <c r="T118" s="491">
        <f>Inmunizaciones!M31</f>
        <v>0</v>
      </c>
      <c r="U118" s="86"/>
    </row>
    <row r="119" spans="1:21" x14ac:dyDescent="0.25">
      <c r="A119" s="86"/>
      <c r="B119" s="213"/>
      <c r="C119" s="214"/>
      <c r="D119" s="86"/>
      <c r="E119" s="86"/>
      <c r="F119" s="215"/>
      <c r="G119" s="91"/>
      <c r="H119" s="819" t="s">
        <v>325</v>
      </c>
      <c r="I119" s="820"/>
      <c r="J119" s="821"/>
      <c r="K119" s="488">
        <f>Inmunizaciones!C89</f>
        <v>0</v>
      </c>
      <c r="L119" s="488">
        <f>Inmunizaciones!D89</f>
        <v>0</v>
      </c>
      <c r="M119" s="488">
        <f>Inmunizaciones!E89</f>
        <v>0</v>
      </c>
      <c r="N119" s="488">
        <f>Inmunizaciones!F89</f>
        <v>0</v>
      </c>
      <c r="O119" s="489">
        <f>K119+L119+M119+N119</f>
        <v>0</v>
      </c>
      <c r="P119" s="378"/>
      <c r="Q119" s="490" t="s">
        <v>69</v>
      </c>
      <c r="R119" s="822"/>
      <c r="S119" s="822"/>
      <c r="T119" s="491">
        <f>Inmunizaciones!M32</f>
        <v>0</v>
      </c>
      <c r="U119" s="86"/>
    </row>
    <row r="120" spans="1:21" ht="13" x14ac:dyDescent="0.25">
      <c r="A120" s="86"/>
      <c r="B120" s="391"/>
      <c r="C120" s="91" t="s">
        <v>170</v>
      </c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378"/>
      <c r="Q120" s="490" t="s">
        <v>70</v>
      </c>
      <c r="R120" s="822"/>
      <c r="S120" s="822"/>
      <c r="T120" s="491">
        <f>Inmunizaciones!M33</f>
        <v>0</v>
      </c>
      <c r="U120" s="86"/>
    </row>
    <row r="121" spans="1:21" x14ac:dyDescent="0.25">
      <c r="A121" s="86"/>
      <c r="B121" s="205"/>
      <c r="C121" s="91" t="s">
        <v>171</v>
      </c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490" t="s">
        <v>71</v>
      </c>
      <c r="R121" s="822"/>
      <c r="S121" s="822"/>
      <c r="T121" s="491">
        <f>Inmunizaciones!M34</f>
        <v>0</v>
      </c>
      <c r="U121" s="86"/>
    </row>
    <row r="122" spans="1:21" x14ac:dyDescent="0.25">
      <c r="A122" s="86"/>
      <c r="B122" s="196" t="s">
        <v>175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490" t="s">
        <v>214</v>
      </c>
      <c r="R122" s="822"/>
      <c r="S122" s="822"/>
      <c r="T122" s="491">
        <f>Inmunizaciones!M35</f>
        <v>0</v>
      </c>
      <c r="U122" s="86"/>
    </row>
    <row r="123" spans="1:21" x14ac:dyDescent="0.2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490" t="s">
        <v>124</v>
      </c>
      <c r="R123" s="822" t="s">
        <v>224</v>
      </c>
      <c r="S123" s="822"/>
      <c r="T123" s="491">
        <f>Inmunizaciones!M36</f>
        <v>0</v>
      </c>
      <c r="U123" s="86"/>
    </row>
    <row r="124" spans="1:21" x14ac:dyDescent="0.25">
      <c r="Q124" s="490" t="s">
        <v>69</v>
      </c>
      <c r="R124" s="822"/>
      <c r="S124" s="822"/>
      <c r="T124" s="491">
        <f>Inmunizaciones!M37</f>
        <v>0</v>
      </c>
    </row>
    <row r="125" spans="1:21" x14ac:dyDescent="0.25">
      <c r="Q125" s="490" t="s">
        <v>70</v>
      </c>
      <c r="R125" s="822"/>
      <c r="S125" s="822"/>
      <c r="T125" s="491">
        <f>Inmunizaciones!M38</f>
        <v>0</v>
      </c>
    </row>
    <row r="126" spans="1:21" x14ac:dyDescent="0.25">
      <c r="Q126" s="490" t="s">
        <v>71</v>
      </c>
      <c r="R126" s="822"/>
      <c r="S126" s="822"/>
      <c r="T126" s="491">
        <f>Inmunizaciones!M39</f>
        <v>0</v>
      </c>
    </row>
    <row r="127" spans="1:21" ht="13" thickBot="1" x14ac:dyDescent="0.3">
      <c r="Q127" s="492" t="s">
        <v>214</v>
      </c>
      <c r="R127" s="823"/>
      <c r="S127" s="823"/>
      <c r="T127" s="493">
        <f>Inmunizaciones!M40</f>
        <v>0</v>
      </c>
    </row>
    <row r="128" spans="1:21" x14ac:dyDescent="0.25">
      <c r="Q128" s="813" t="s">
        <v>271</v>
      </c>
      <c r="R128" s="814"/>
      <c r="S128" s="814"/>
      <c r="T128" s="489">
        <f>Inmunizaciones!M41</f>
        <v>0</v>
      </c>
    </row>
    <row r="129" spans="17:20" x14ac:dyDescent="0.25">
      <c r="Q129" s="815" t="s">
        <v>326</v>
      </c>
      <c r="R129" s="816"/>
      <c r="S129" s="816"/>
      <c r="T129" s="389">
        <f>Inmunizaciones!M42</f>
        <v>0</v>
      </c>
    </row>
    <row r="130" spans="17:20" x14ac:dyDescent="0.25">
      <c r="Q130" s="817" t="s">
        <v>327</v>
      </c>
      <c r="R130" s="818"/>
      <c r="S130" s="818"/>
      <c r="T130" s="389">
        <f>Inmunizaciones!M43</f>
        <v>0</v>
      </c>
    </row>
    <row r="131" spans="17:20" ht="13" thickBot="1" x14ac:dyDescent="0.3">
      <c r="Q131" s="751" t="s">
        <v>45</v>
      </c>
      <c r="R131" s="752"/>
      <c r="S131" s="752"/>
      <c r="T131" s="392">
        <f>Inmunizaciones!M44</f>
        <v>0</v>
      </c>
    </row>
  </sheetData>
  <mergeCells count="120"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LPSALUD</cp:lastModifiedBy>
  <cp:lastPrinted>2019-03-06T15:54:00Z</cp:lastPrinted>
  <dcterms:created xsi:type="dcterms:W3CDTF">1999-06-21T16:16:19Z</dcterms:created>
  <dcterms:modified xsi:type="dcterms:W3CDTF">2022-04-06T20:27:26Z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