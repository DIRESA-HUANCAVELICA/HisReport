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workbookPr/>
  <mc:AlternateContent xmlns:mc="http://schemas.openxmlformats.org/markup-compatibility/2006">
    <mc:Choice Requires="x15">
      <x15ac:absPath xmlns:x15ac="http://schemas.microsoft.com/office/spreadsheetml/2010/11/ac" url="D:\HisReport2025\Plantillasxls\"/>
    </mc:Choice>
  </mc:AlternateContent>
  <xr:revisionPtr revIDLastSave="0" documentId="13_ncr:1_{23D3900B-E43D-4B7A-999A-1A1AF0D033C3}" xr6:coauthVersionLast="47" xr6:coauthVersionMax="47" xr10:uidLastSave="{00000000-0000-0000-0000-000000000000}"/>
  <bookViews>
    <workbookView xWindow="-120" yWindow="-120" windowWidth="29040" windowHeight="15720" firstSheet="1" activeTab="1" xr2:uid="{00000000-000D-0000-FFFF-FFFF00000000}"/>
  </bookViews>
  <sheets>
    <sheet name="SUPLEMENTACION" sheetId="2" state="hidden" r:id="rId1"/>
    <sheet name="Niño" sheetId="1" r:id="rId2"/>
    <sheet name="Hoja1" sheetId="3" state="hidden" r:id="rId3"/>
  </sheets>
  <definedNames>
    <definedName name="_xlnm.Print_Titles" localSheetId="1">Niño!#REF!</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193" i="1" l="1"/>
  <c r="L181" i="1"/>
  <c r="L180" i="1"/>
  <c r="L172" i="1"/>
  <c r="L171" i="1"/>
  <c r="L170" i="1"/>
  <c r="L169" i="1"/>
  <c r="L168" i="1"/>
  <c r="L167" i="1"/>
  <c r="L166" i="1"/>
  <c r="L165" i="1"/>
  <c r="L164" i="1"/>
  <c r="L160" i="1"/>
  <c r="L159" i="1"/>
  <c r="E288" i="1"/>
  <c r="E287" i="1"/>
  <c r="E286" i="1"/>
  <c r="E285" i="1"/>
  <c r="E282" i="1"/>
  <c r="E281" i="1"/>
  <c r="E280" i="1"/>
  <c r="E279" i="1"/>
  <c r="E278" i="1"/>
  <c r="E277" i="1"/>
  <c r="E276" i="1"/>
  <c r="E275" i="1"/>
  <c r="E274" i="1"/>
  <c r="E273" i="1"/>
  <c r="E272" i="1"/>
  <c r="E271" i="1"/>
  <c r="E270" i="1"/>
  <c r="E269" i="1"/>
  <c r="E268" i="1"/>
  <c r="E267" i="1"/>
  <c r="E266" i="1"/>
  <c r="K404" i="1" l="1"/>
  <c r="N398" i="1"/>
  <c r="L398" i="1"/>
  <c r="J398" i="1"/>
  <c r="H398" i="1"/>
  <c r="F398" i="1"/>
  <c r="D398" i="1"/>
  <c r="J381" i="1"/>
  <c r="J380" i="1"/>
  <c r="J376" i="1"/>
  <c r="J375" i="1"/>
  <c r="J374" i="1"/>
  <c r="J373" i="1"/>
  <c r="J372" i="1"/>
  <c r="J371" i="1"/>
  <c r="J369" i="1"/>
  <c r="J368" i="1"/>
  <c r="J367" i="1"/>
  <c r="I366" i="1"/>
  <c r="H366" i="1"/>
  <c r="G366" i="1"/>
  <c r="I370" i="1"/>
  <c r="H370" i="1"/>
  <c r="G370" i="1"/>
  <c r="N361" i="1"/>
  <c r="N360" i="1"/>
  <c r="N355" i="1"/>
  <c r="O137" i="1"/>
  <c r="O136" i="1"/>
  <c r="O135" i="1"/>
  <c r="O134" i="1"/>
  <c r="O133" i="1"/>
  <c r="O132" i="1"/>
  <c r="O131" i="1"/>
  <c r="O130" i="1"/>
  <c r="O129" i="1"/>
  <c r="O128" i="1"/>
  <c r="O116" i="1"/>
  <c r="O115" i="1"/>
  <c r="O114" i="1"/>
  <c r="O113" i="1"/>
  <c r="O112" i="1"/>
  <c r="O111" i="1"/>
  <c r="O110" i="1"/>
  <c r="O109" i="1"/>
  <c r="O108" i="1"/>
  <c r="L343" i="1"/>
  <c r="L342" i="1"/>
  <c r="L341" i="1"/>
  <c r="L339" i="1"/>
  <c r="L338" i="1"/>
  <c r="L337" i="1"/>
  <c r="L336" i="1"/>
  <c r="L335" i="1"/>
  <c r="L349" i="1"/>
  <c r="L348" i="1"/>
  <c r="K340" i="1"/>
  <c r="J340" i="1"/>
  <c r="I340" i="1"/>
  <c r="H340" i="1"/>
  <c r="G340" i="1"/>
  <c r="K334" i="1"/>
  <c r="J334" i="1"/>
  <c r="I334" i="1"/>
  <c r="H334" i="1"/>
  <c r="G334" i="1"/>
  <c r="L340" i="1" l="1"/>
  <c r="J370" i="1"/>
  <c r="L334" i="1"/>
  <c r="J366" i="1"/>
  <c r="K333" i="1"/>
  <c r="J333" i="1"/>
  <c r="G333" i="1"/>
  <c r="H333" i="1"/>
  <c r="I333" i="1"/>
  <c r="F418" i="1"/>
  <c r="E205" i="1"/>
  <c r="U145" i="1"/>
  <c r="U144" i="1"/>
  <c r="U143" i="1"/>
  <c r="U142" i="1"/>
  <c r="L333" i="1" l="1"/>
  <c r="R14" i="2"/>
  <c r="R33" i="2"/>
  <c r="R49" i="2"/>
  <c r="J420" i="1" l="1"/>
  <c r="I420" i="1"/>
  <c r="H420" i="1"/>
  <c r="G420" i="1"/>
  <c r="F419" i="1"/>
  <c r="F420" i="1" s="1"/>
  <c r="E419" i="1"/>
  <c r="E418" i="1"/>
  <c r="K413" i="1"/>
  <c r="J413" i="1"/>
  <c r="I413" i="1"/>
  <c r="H413" i="1"/>
  <c r="G413" i="1"/>
  <c r="F413" i="1"/>
  <c r="E412" i="1"/>
  <c r="D412" i="1"/>
  <c r="E411" i="1"/>
  <c r="D411" i="1"/>
  <c r="E410" i="1"/>
  <c r="D410" i="1"/>
  <c r="P397" i="1"/>
  <c r="P396" i="1"/>
  <c r="P395" i="1"/>
  <c r="P394" i="1"/>
  <c r="P393" i="1"/>
  <c r="P392" i="1"/>
  <c r="F387" i="1"/>
  <c r="E387" i="1"/>
  <c r="P124" i="1"/>
  <c r="B124" i="1" s="1"/>
  <c r="E420" i="1" l="1"/>
  <c r="D413" i="1"/>
  <c r="E413" i="1"/>
  <c r="P398" i="1"/>
</calcChain>
</file>

<file path=xl/sharedStrings.xml><?xml version="1.0" encoding="utf-8"?>
<sst xmlns="http://schemas.openxmlformats.org/spreadsheetml/2006/main" count="1064" uniqueCount="649">
  <si>
    <t xml:space="preserve"> I. ATENCIÓN DEL RECIÉN NACIDO</t>
  </si>
  <si>
    <t>A) Atención Inmediata</t>
  </si>
  <si>
    <t>ACTIVIDADES</t>
  </si>
  <si>
    <t>Nº</t>
  </si>
  <si>
    <t>CAUSAS DE MORBILIDAD</t>
  </si>
  <si>
    <t>Atención Inmediata</t>
  </si>
  <si>
    <t>Contacto Piel a Piel con la madre</t>
  </si>
  <si>
    <t>DIAGNÓSTICOS</t>
  </si>
  <si>
    <t>Hiperplasia Suprarrenal Congénita</t>
  </si>
  <si>
    <t>Catarata Congénita</t>
  </si>
  <si>
    <t>CONDICIÓN</t>
  </si>
  <si>
    <t>Lugar de Nacimiento</t>
  </si>
  <si>
    <t>EESS</t>
  </si>
  <si>
    <t>Domicilio</t>
  </si>
  <si>
    <t>Total</t>
  </si>
  <si>
    <t>II. CONTROL DE CRECIMIENTO Y DESARROLLO</t>
  </si>
  <si>
    <t>Grupo de Edad</t>
  </si>
  <si>
    <t>Número de Controles</t>
  </si>
  <si>
    <t>Registros
Errados</t>
  </si>
  <si>
    <t>1º</t>
  </si>
  <si>
    <t>2º</t>
  </si>
  <si>
    <t>3º</t>
  </si>
  <si>
    <t>4º</t>
  </si>
  <si>
    <t>5º</t>
  </si>
  <si>
    <t>6º</t>
  </si>
  <si>
    <t>7º</t>
  </si>
  <si>
    <t>8º</t>
  </si>
  <si>
    <t>9º</t>
  </si>
  <si>
    <t>10º</t>
  </si>
  <si>
    <t>11º</t>
  </si>
  <si>
    <t>De 1d a 7d</t>
  </si>
  <si>
    <t>De 8d a 14d</t>
  </si>
  <si>
    <t>De 15d a 21d</t>
  </si>
  <si>
    <t>De 22d a +d</t>
  </si>
  <si>
    <t>29 días - 11 meses</t>
  </si>
  <si>
    <t>01 año</t>
  </si>
  <si>
    <t>02 años</t>
  </si>
  <si>
    <t>03 años</t>
  </si>
  <si>
    <t>04 años</t>
  </si>
  <si>
    <t>05 a 11 años</t>
  </si>
  <si>
    <t>Número de Evaluaciones Antropométricas</t>
  </si>
  <si>
    <t>III. TAMIZAJE</t>
  </si>
  <si>
    <t>01m*</t>
  </si>
  <si>
    <t>06m</t>
  </si>
  <si>
    <t>01 a</t>
  </si>
  <si>
    <t>02 a</t>
  </si>
  <si>
    <t>03 a</t>
  </si>
  <si>
    <t>04 a</t>
  </si>
  <si>
    <t>1. Detección de Anemia</t>
  </si>
  <si>
    <t>Solicitud de Dosaje de Hb</t>
  </si>
  <si>
    <t>Resultados Evaluados</t>
  </si>
  <si>
    <t>2. Descarte de Parasitosis</t>
  </si>
  <si>
    <t>* Prematuros y Bajo Peso al Nacer.</t>
  </si>
  <si>
    <t>IV. ADMINISTRACIÓN DE PROFILAXIS ANTIPARASITARIA</t>
  </si>
  <si>
    <t>Página 03</t>
  </si>
  <si>
    <t>05 - 11 años</t>
  </si>
  <si>
    <t>Administración de Profilaxis Antiparasitaria</t>
  </si>
  <si>
    <t>V. ADMINISTRACION DE MICRONUTRIENTES</t>
  </si>
  <si>
    <t>DOSIS</t>
  </si>
  <si>
    <t>12º</t>
  </si>
  <si>
    <t>TA</t>
  </si>
  <si>
    <t>&lt; 06 meses (BPN y Prematuros (SF))</t>
  </si>
  <si>
    <t>EDAD= 1M + DX= Z298 + LAB=SF1</t>
  </si>
  <si>
    <t>EDAD =2M + DX= Z298 + LAB=SF2</t>
  </si>
  <si>
    <t>EDAD =3M + DX= Z298 + LAB=SF3</t>
  </si>
  <si>
    <t>EDAD=4M + DX= Z298 + LAB=SF4</t>
  </si>
  <si>
    <t>EDAD =5M + DX= Z298 + LAB=SF5</t>
  </si>
  <si>
    <t>EDAD &lt; 6M + DX= Z298 + LAB=TA</t>
  </si>
  <si>
    <t>Z001 + LAB &lt;&gt; [1...11]</t>
  </si>
  <si>
    <t>De 4 a 5 meses (Sulfato Ferroso)</t>
  </si>
  <si>
    <t>(EDAD = 4M + DX= Z298 + LAB=SF1)</t>
  </si>
  <si>
    <t>(EDAD = 5M + DX= Z298 + LAB=SF2)</t>
  </si>
  <si>
    <t>De 6 a 11 meses (MMN)</t>
  </si>
  <si>
    <t>(EDAD &gt;= 6M y &lt;= 11M) + (DX= Z298 + LAB=1)</t>
  </si>
  <si>
    <t>(EDAD &gt;= 6M y &lt;= 11M) + (DX= Z298 + LAB=2)</t>
  </si>
  <si>
    <t>(EDAD &gt;= 6M y &lt;= 11M) + (DX= Z298 + LAB=3)</t>
  </si>
  <si>
    <t>(EDAD &gt;= 6M y &lt;= 11M) + (DX= Z298 + LAB=4)</t>
  </si>
  <si>
    <t>(EDAD &gt;= 6M y &lt;= 11M) + (DX= Z298 + LAB=5)</t>
  </si>
  <si>
    <t>(EDAD &gt;= 6M y &lt;= 11M) + (DX= Z298 + LAB=6)</t>
  </si>
  <si>
    <t>(EDAD &gt;= 6M y &lt;= 11M) + (DX= Z298 + LAB=7)</t>
  </si>
  <si>
    <t>(EDAD &gt;= 6M y &lt;= 11M) + (DX= Z298 + LAB=8)</t>
  </si>
  <si>
    <t>(EDAD &gt;= 6M y &lt;= 11M) + (DX= Z298 + LAB=9)</t>
  </si>
  <si>
    <t>(EDAD &gt;= 6M y &lt;= 11M) + (DX= Z298 + LAB=10)</t>
  </si>
  <si>
    <t>(EDAD &gt;= 6M y &lt;= 11M) + (DX= Z298 + LAB=11)</t>
  </si>
  <si>
    <t>(EDAD &gt;= 6M y &lt;= 11M) + (DX= Z298 + LAB=12)</t>
  </si>
  <si>
    <t>(EDAD &gt;= 6M y &lt;= 11M) + (DX= Z298 + LAB=TA)</t>
  </si>
  <si>
    <t>De 1 año (MMN)</t>
  </si>
  <si>
    <t>(EDAD = 1A + (DX= Z298 + LAB=1)</t>
  </si>
  <si>
    <t>(EDAD = 1A + (DX= Z298 + LAB=2)</t>
  </si>
  <si>
    <t>(EDAD = 1A + (DX= Z298 + LAB=3)</t>
  </si>
  <si>
    <t>(EDAD = 1A + (DX= Z298 + LAB=4)</t>
  </si>
  <si>
    <t>(EDAD = 1A + (DX= Z298 + LAB=5)</t>
  </si>
  <si>
    <t>(EDAD = 1A + (DX= Z298 + LAB=6)</t>
  </si>
  <si>
    <t>(EDAD = 1A + (DX= Z298 + LAB=7)</t>
  </si>
  <si>
    <t>(EDAD = 1A + (DX= Z298 + LAB=8)</t>
  </si>
  <si>
    <t>(EDAD = 1A + (DX= Z298 + LAB=9)</t>
  </si>
  <si>
    <t>(EDAD = 1A + (DX= Z298 + LAB=10)</t>
  </si>
  <si>
    <t>(EDAD = 1A + (DX= Z298 + LAB=11)</t>
  </si>
  <si>
    <t>(EDAD = 1A + (DX= Z298 + LAB=12)</t>
  </si>
  <si>
    <t>(EDAD = 1A + (DX= Z298 + LAB=TA)</t>
  </si>
  <si>
    <t>De 2 año (MMN)</t>
  </si>
  <si>
    <t>(EDAD = 2A + (DX= Z298 + LAB=1)</t>
  </si>
  <si>
    <t>(EDAD = 2A + (DX= Z298 + LAB=2)</t>
  </si>
  <si>
    <t>(EDAD = 2A + (DX= Z298 + LAB=3)</t>
  </si>
  <si>
    <t>(EDAD = 2A + (DX= Z298 + LAB=4)</t>
  </si>
  <si>
    <t>(EDAD = 2A + (DX= Z298 + LAB=5)</t>
  </si>
  <si>
    <t>(EDAD = 2A + (DX= Z298 + LAB=6)</t>
  </si>
  <si>
    <t>(EDAD = 2A + (DX= Z298 + LAB=7)</t>
  </si>
  <si>
    <t>(EDAD = 2A + (DX= Z298 + LAB=8)</t>
  </si>
  <si>
    <t>(EDAD = 2A + (DX= Z298 + LAB=9)</t>
  </si>
  <si>
    <t>(EDAD = 2A + (DX= Z298 + LAB=10)</t>
  </si>
  <si>
    <t>(EDAD = 2A + (DX= Z298 + LAB=11)</t>
  </si>
  <si>
    <t>(EDAD = 2A + (DX= Z298 + LAB=12)</t>
  </si>
  <si>
    <t>(EDAD = 2A + (DX= Z298 + LAB=TA)</t>
  </si>
  <si>
    <t>De 3 año (MMN)</t>
  </si>
  <si>
    <t>(EDAD = 3A + (DX= Z298 + LAB=1)</t>
  </si>
  <si>
    <t>(EDAD = 3A + (DX= Z298 + LAB=2)</t>
  </si>
  <si>
    <t>(EDAD = 3A + (DX= Z298 + LAB=3)</t>
  </si>
  <si>
    <t>(EDAD = 3A + (DX= Z298 + LAB=4)</t>
  </si>
  <si>
    <t>(EDAD = 3A + (DX= Z298 + LAB=5)</t>
  </si>
  <si>
    <t>(EDAD = 3A + (DX= Z298 + LAB=6)</t>
  </si>
  <si>
    <t>(EDAD = 3A + (DX= Z298 + LAB=7)</t>
  </si>
  <si>
    <t>(EDAD = 3A + (DX= Z298 + LAB=8)</t>
  </si>
  <si>
    <t>(EDAD = 3A + (DX= Z298 + LAB=9)</t>
  </si>
  <si>
    <t>(EDAD = 3A + (DX= Z298 + LAB=10)</t>
  </si>
  <si>
    <t>(EDAD = 3A + (DX= Z298 + LAB=11)</t>
  </si>
  <si>
    <t>(EDAD = 3A + (DX= Z298 + LAB=12)</t>
  </si>
  <si>
    <t>(EDAD = 3A + (DX= Z298 + LAB=TA)</t>
  </si>
  <si>
    <t>De 4 año (MMN)</t>
  </si>
  <si>
    <t>(EDAD = 4A + (DX= Z298 + LAB=1)</t>
  </si>
  <si>
    <t>(EDAD = 4A + (DX= Z298 + LAB=2)</t>
  </si>
  <si>
    <t>(EDAD = 4A + (DX= Z298 + LAB=3)</t>
  </si>
  <si>
    <t>(EDAD = 4A + (DX= Z298 + LAB=4)</t>
  </si>
  <si>
    <t>(EDAD = 4A + (DX= Z298 + LAB=5)</t>
  </si>
  <si>
    <t>(EDAD = 4A + (DX= Z298 + LAB=6)</t>
  </si>
  <si>
    <t>(EDAD = 4A + (DX= Z298 + LAB=7)</t>
  </si>
  <si>
    <t>(EDAD = 4A + (DX= Z298 + LAB=8)</t>
  </si>
  <si>
    <t>(EDAD = 4A + (DX= Z298 + LAB=9)</t>
  </si>
  <si>
    <t>(EDAD = 4A + (DX= Z298 + LAB=10)</t>
  </si>
  <si>
    <t>(EDAD = 4A + (DX= Z298 + LAB=11)</t>
  </si>
  <si>
    <t>(EDAD = 4A + (DX= Z298 + LAB=12)</t>
  </si>
  <si>
    <t>(EDAD = 4A + (DX= Z298 + LAB=TA)</t>
  </si>
  <si>
    <t>Los Suplementados son los que CONSUMEN 360 sobres de MMN (a partir de los 18 meses, no antes) para indicar que se ha consumido el último sobre de MMN se registra TA</t>
  </si>
  <si>
    <t>EDAD= 1M + DX= Z298 + LAB=P01</t>
  </si>
  <si>
    <t>EDAD =2M + DX= Z298 + LAB=P02</t>
  </si>
  <si>
    <t>EDAD =3M + DX= Z298 + LAB=P03</t>
  </si>
  <si>
    <t>EDAD=4M + DX= Z298 + LAB=P04</t>
  </si>
  <si>
    <t>EDAD =5M + DX= Z298 + LAB=P05</t>
  </si>
  <si>
    <t>(EDAD = 4M + DX= Z298 + LAB=P01)</t>
  </si>
  <si>
    <t>(EDAD = 5M + DX= Z298 + LAB=P02)</t>
  </si>
  <si>
    <t>(EDAD &gt;= 6M y &lt;= 11M) + (DX= Z298 + LAB=P01)</t>
  </si>
  <si>
    <t>(EDAD &gt;= 6M y &lt;= 11M) + (DX= Z298 + LAB=P03)</t>
  </si>
  <si>
    <t>(EDAD = 1A + (DX= Z298 + LAB=P01)</t>
  </si>
  <si>
    <t>(EDAD = 1A + (DX= Z298 + LAB=P03)</t>
  </si>
  <si>
    <t>(EDAD = 2A + (DX= Z298 + LAB=P01)</t>
  </si>
  <si>
    <t>(EDAD = 2A + (DX= Z298 + LAB=P03)</t>
  </si>
  <si>
    <t>(EDAD = 3A + (DX= Z298 + LAB=P01)</t>
  </si>
  <si>
    <t>(EDAD = 3A + (DX= Z298 + LAB=P03)</t>
  </si>
  <si>
    <t>(EDAD = 4A + (DX= Z298 + LAB=P01)</t>
  </si>
  <si>
    <t>(EDAD = 4A + (DX= Z298 + LAB=P03)</t>
  </si>
  <si>
    <t>B) Vitamina "A"</t>
  </si>
  <si>
    <t>06 meses</t>
  </si>
  <si>
    <t xml:space="preserve">02 años </t>
  </si>
  <si>
    <t xml:space="preserve">03 años </t>
  </si>
  <si>
    <t>Dosis</t>
  </si>
  <si>
    <t>1º Dosis</t>
  </si>
  <si>
    <t>2º Dosis</t>
  </si>
  <si>
    <t>Suplementados</t>
  </si>
  <si>
    <t>VI. LACTANCIA MATERNA EXCLUSIVA</t>
  </si>
  <si>
    <t>VII. ALIMENTACIÓN COMPLEMENTARIA</t>
  </si>
  <si>
    <t>Solo se evalua el registro a los 06 meses</t>
  </si>
  <si>
    <t>VIII. EVALUACION DEL ESTADO NUTRICIONAL</t>
  </si>
  <si>
    <t>Dx.</t>
  </si>
  <si>
    <t>Recup.</t>
  </si>
  <si>
    <t>Muy bajo peso al nacer</t>
  </si>
  <si>
    <t>Bajo peso al nacer</t>
  </si>
  <si>
    <t>Normal</t>
  </si>
  <si>
    <t>GRUPO DE 
EDAD</t>
  </si>
  <si>
    <t>Ganancia Inadecuada de Peso o Talla</t>
  </si>
  <si>
    <t>Peso</t>
  </si>
  <si>
    <t>Talla</t>
  </si>
  <si>
    <t>&lt; 1 año</t>
  </si>
  <si>
    <t>1 año</t>
  </si>
  <si>
    <t>2 años</t>
  </si>
  <si>
    <t>3 años</t>
  </si>
  <si>
    <t>4 años</t>
  </si>
  <si>
    <t>GRUPO DE
EDAD</t>
  </si>
  <si>
    <t>Peso para la Edad (PE)</t>
  </si>
  <si>
    <t>Peso para la Edad (TP)</t>
  </si>
  <si>
    <t>Talla para la Edad (TE)</t>
  </si>
  <si>
    <t>Sobrepeso</t>
  </si>
  <si>
    <t>Obesidad</t>
  </si>
  <si>
    <t>Desnutrición Aguda</t>
  </si>
  <si>
    <t>Alto</t>
  </si>
  <si>
    <t>IX. EVALUACION DEL DESARROLLO</t>
  </si>
  <si>
    <t>Edades</t>
  </si>
  <si>
    <t>Evaluac.
Normal</t>
  </si>
  <si>
    <t>Lenguaje</t>
  </si>
  <si>
    <t>Motora</t>
  </si>
  <si>
    <t>Social</t>
  </si>
  <si>
    <t>Coordinación</t>
  </si>
  <si>
    <t>Cognitiva</t>
  </si>
  <si>
    <t>X. PLAN DE ATENCION INTEGRAL</t>
  </si>
  <si>
    <t>RN</t>
  </si>
  <si>
    <t>&lt;1 año</t>
  </si>
  <si>
    <t>05 años</t>
  </si>
  <si>
    <t>06 años</t>
  </si>
  <si>
    <t>07 años</t>
  </si>
  <si>
    <t>08 años</t>
  </si>
  <si>
    <t>09 años</t>
  </si>
  <si>
    <t>10 años</t>
  </si>
  <si>
    <t>11 años</t>
  </si>
  <si>
    <t>Elaborado</t>
  </si>
  <si>
    <t>Ejecutado</t>
  </si>
  <si>
    <t>XI. CONSEJERÍA</t>
  </si>
  <si>
    <t>Tipos / Edades</t>
  </si>
  <si>
    <t>05 - 11 a</t>
  </si>
  <si>
    <t>XII. VISITA DOMICILIARIA</t>
  </si>
  <si>
    <t>TIPOS DE VISITA / EDADES</t>
  </si>
  <si>
    <t>Seguimiento a Problemas Nutricionales</t>
  </si>
  <si>
    <t>Seguimiento a Problemas del Desarrollo</t>
  </si>
  <si>
    <t>Entrega de Suplementación</t>
  </si>
  <si>
    <t>Verificación de Consumo de Micronutrientes</t>
  </si>
  <si>
    <t>Seguimiento de EDA</t>
  </si>
  <si>
    <t>Seguimiento de Anemia</t>
  </si>
  <si>
    <t>EDADES / SESIONES</t>
  </si>
  <si>
    <t>Unidad Medida</t>
  </si>
  <si>
    <t>Actividad Extramural</t>
  </si>
  <si>
    <t>Actividades de Gestión</t>
  </si>
  <si>
    <t>Recién Nacido</t>
  </si>
  <si>
    <t xml:space="preserve">Sesiones Educativas   </t>
  </si>
  <si>
    <t>Asistencia Técnica</t>
  </si>
  <si>
    <t>Reu.Téc: Personal de Salud</t>
  </si>
  <si>
    <t>Reu.Téc: Agente Com. de Salud</t>
  </si>
  <si>
    <t>&lt; 01 año</t>
  </si>
  <si>
    <t>Actividades</t>
  </si>
  <si>
    <t>Participantes</t>
  </si>
  <si>
    <t>A. INFECCIÓN RESPIRATORIA AGUDA</t>
  </si>
  <si>
    <t>&lt; 29 Días</t>
  </si>
  <si>
    <t>29 d a 59 Días</t>
  </si>
  <si>
    <t>02 - 11 Meses</t>
  </si>
  <si>
    <t>01 - 04 Años</t>
  </si>
  <si>
    <t>05 - 11 Años</t>
  </si>
  <si>
    <t>1. Total de Casos de IRA (1+2+3)</t>
  </si>
  <si>
    <t>1.1 N° casos de IRA sin complicaciones (a+b+c+d+e)</t>
  </si>
  <si>
    <t xml:space="preserve">a. Infección Respiratoria Aguda (IRA) no complicada </t>
  </si>
  <si>
    <t>b. Faringoamigdalitis Aguda</t>
  </si>
  <si>
    <t>c. Otitis Media Aguda (OMA)</t>
  </si>
  <si>
    <t xml:space="preserve">d. Sinusitis Aguda </t>
  </si>
  <si>
    <t xml:space="preserve">e. Neumonía sin complicaciones </t>
  </si>
  <si>
    <t>1.2 N° casos IRA con complicaciones (a+b+c)</t>
  </si>
  <si>
    <t>a. Infecciones Respiratorias Agudas con complicaciones</t>
  </si>
  <si>
    <t>b. Neumonía Grave o Enfermedad Muy Grave en Niños Menores de 2 Meses</t>
  </si>
  <si>
    <t>c. Neumonía y Enfermedad Muy Grave en Niños de 2 Meses a 4 Años</t>
  </si>
  <si>
    <t xml:space="preserve">12 meses - 
23 meses </t>
  </si>
  <si>
    <t xml:space="preserve">02 - 02 Años con 11 meses </t>
  </si>
  <si>
    <t>03 - 04 Años</t>
  </si>
  <si>
    <t xml:space="preserve">a. SOB/Asma </t>
  </si>
  <si>
    <t>&lt; 01 Año</t>
  </si>
  <si>
    <t>1. Enfermedades Diarreicas sin complicaciones ( a + b + c)</t>
  </si>
  <si>
    <t>a. Diarrea Aguda Acuosa sin deshidratación</t>
  </si>
  <si>
    <t xml:space="preserve">b. Diarrea Aguda Disentérica sin deshidratación </t>
  </si>
  <si>
    <t xml:space="preserve">c. Diarrea Persistente sin deshidratación </t>
  </si>
  <si>
    <t>2.   Enfermedades Diarreicas con complicaciones (a + b + c+ d+ e+ f)</t>
  </si>
  <si>
    <t>a. Diarrea Aguda Acuosa con deshidratación</t>
  </si>
  <si>
    <t xml:space="preserve">b. Diarrea Aguda Disentérica con deshidratación </t>
  </si>
  <si>
    <t xml:space="preserve">c. Diarrea Persistente con deshidratación </t>
  </si>
  <si>
    <t>d. Diarrea Aguda Acuosa con deshidratación con shock</t>
  </si>
  <si>
    <t>e. Diarrea Aguda Disentérica con deshidratación con shock</t>
  </si>
  <si>
    <t>f. Diarrea Persistente con deshidratación con shock</t>
  </si>
  <si>
    <t xml:space="preserve">ADMINISTRACIÓN DE ZINC Y SAL DE REHIDRATACIÓN ORAL </t>
  </si>
  <si>
    <t xml:space="preserve">ACTIVIDADES </t>
  </si>
  <si>
    <t>Diagnósticado</t>
  </si>
  <si>
    <t xml:space="preserve">  Anemia por Deficiencia de Hierro</t>
  </si>
  <si>
    <t xml:space="preserve">  Parasitosis Intestinal</t>
  </si>
  <si>
    <t>GRUPOS DE EDAD</t>
  </si>
  <si>
    <t>Intrahospitalario</t>
  </si>
  <si>
    <t>Extrahospitalario</t>
  </si>
  <si>
    <t>TOTAL</t>
  </si>
  <si>
    <t>IRA</t>
  </si>
  <si>
    <t>EDA</t>
  </si>
  <si>
    <t>Todas las Causas</t>
  </si>
  <si>
    <t>&lt; 29 días</t>
  </si>
  <si>
    <t>29 días a 59 días</t>
  </si>
  <si>
    <t>02 meses a  11 meses</t>
  </si>
  <si>
    <t>02 años a 04 años</t>
  </si>
  <si>
    <t>05 años a 11 años</t>
  </si>
  <si>
    <t>1.  CONTROL CUALITATIVO DE SAL YODADA</t>
  </si>
  <si>
    <t>CALIDAD DE LA SAL</t>
  </si>
  <si>
    <t>Vivienda</t>
  </si>
  <si>
    <t>Mercado</t>
  </si>
  <si>
    <t>Planta Procesadora</t>
  </si>
  <si>
    <t>Nº Activ.</t>
  </si>
  <si>
    <t>Muestras</t>
  </si>
  <si>
    <t>Suficiente</t>
  </si>
  <si>
    <t>Poco</t>
  </si>
  <si>
    <t>Negativo</t>
  </si>
  <si>
    <t>2.CONTROL CUANTITATIVO DE SAL YODADA POR RESULTADO</t>
  </si>
  <si>
    <t>RESULTADOS DE MUESTRAS</t>
  </si>
  <si>
    <t>Muestra de Sal &lt;= 15 Ppm de Yodo</t>
  </si>
  <si>
    <t>Muestra de Sal &gt; 15 Ppm de Yodo</t>
  </si>
  <si>
    <t>Total de muestras tomadas</t>
  </si>
  <si>
    <t>(EDAD = 4A + (DX= Z298 + LAB=P12)</t>
  </si>
  <si>
    <t>(EDAD = 4A + (DX= Z298 + LAB=P11)</t>
  </si>
  <si>
    <t>(EDAD = 4A + (DX= Z298 + LAB=P10)</t>
  </si>
  <si>
    <t>(EDAD = 4A + (DX= Z298 + LAB=P09)</t>
  </si>
  <si>
    <t>(EDAD = 4A + (DX= Z298 + LAB=P08)</t>
  </si>
  <si>
    <t>(EDAD = 4A + (DX= Z298 + LAB=P07)</t>
  </si>
  <si>
    <t>(EDAD = 4A + (DX= Z298 + LAB=P06)</t>
  </si>
  <si>
    <t>(EDAD = 4A + (DX= Z298 + LAB=P05)</t>
  </si>
  <si>
    <t>(EDAD = 4A + (DX= Z298 + LAB=P04)</t>
  </si>
  <si>
    <t>(EDAD = 4A + (DX= Z298 + LAB=P02)</t>
  </si>
  <si>
    <t>(EDAD = 3A + (DX= Z298 + LAB=P12)</t>
  </si>
  <si>
    <t>(EDAD = 3A + (DX= Z298 + LAB=P11)</t>
  </si>
  <si>
    <t>(EDAD = 3A + (DX= Z298 + LAB=P10)</t>
  </si>
  <si>
    <t>(EDAD = 3A + (DX= Z298 + LAB=P09)</t>
  </si>
  <si>
    <t>(EDAD = 3A + (DX= Z298 + LAB=P08)</t>
  </si>
  <si>
    <t>(EDAD = 3A + (DX= Z298 + LAB=P07)</t>
  </si>
  <si>
    <t>(EDAD = 3A + (DX= Z298 + LAB=P06)</t>
  </si>
  <si>
    <t>(EDAD = 3A + (DX= Z298 + LAB=P05)</t>
  </si>
  <si>
    <t>(EDAD = 3A + (DX= Z298 + LAB=P04)</t>
  </si>
  <si>
    <t>(EDAD = 3A + (DX= Z298 + LAB=P02)</t>
  </si>
  <si>
    <t>(EDAD = 2A + (DX= Z298 + LAB=P12)</t>
  </si>
  <si>
    <t>(EDAD = 2A + (DX= Z298 + LAB=P11)</t>
  </si>
  <si>
    <t>(EDAD = 2A + (DX= Z298 + LAB=P10)</t>
  </si>
  <si>
    <t>(EDAD = 2A + (DX= Z298 + LAB=P09)</t>
  </si>
  <si>
    <t>(EDAD = 2A + (DX= Z298 + LAB=P08)</t>
  </si>
  <si>
    <t>(EDAD = 2A + (DX= Z298 + LAB=P07)</t>
  </si>
  <si>
    <t>(EDAD = 2A + (DX= Z298 + LAB=P06)</t>
  </si>
  <si>
    <t>(EDAD = 2A + (DX= Z298 + LAB=P05)</t>
  </si>
  <si>
    <t>(EDAD = 2A + (DX= Z298 + LAB=P04)</t>
  </si>
  <si>
    <t>(EDAD = 2A + (DX= Z298 + LAB=P02)</t>
  </si>
  <si>
    <t>(EDAD = 1A + (DX= Z298 + LAB=P12)</t>
  </si>
  <si>
    <t>(EDAD = 1A + (DX= Z298 + LAB=P11)</t>
  </si>
  <si>
    <t>(EDAD = 1A + (DX= Z298 + LAB=P10)</t>
  </si>
  <si>
    <t>(EDAD = 1A + (DX= Z298 + LAB=P09)</t>
  </si>
  <si>
    <t>(EDAD = 1A + (DX= Z298 + LAB=P08)</t>
  </si>
  <si>
    <t>(EDAD = 1A + (DX= Z298 + LAB=P07)</t>
  </si>
  <si>
    <t>(EDAD = 1A + (DX= Z298 + LAB=P06)</t>
  </si>
  <si>
    <t>(EDAD = 1A + (DX= Z298 + LAB=P05)</t>
  </si>
  <si>
    <t>(EDAD = 1A + (DX= Z298 + LAB=P04)</t>
  </si>
  <si>
    <t>(EDAD = 1A + (DX= Z298 + LAB=P02)</t>
  </si>
  <si>
    <t>(EDAD &gt;= 6M y &lt;= 11M) + (DX= Z298 + LAB=P06)</t>
  </si>
  <si>
    <t>(EDAD &gt;= 6M y &lt;= 11M) + (DX= Z298 + LAB=P05)</t>
  </si>
  <si>
    <t>(EDAD &gt;= 6M y &lt;= 11M) + (DX= Z298 + LAB=P04)</t>
  </si>
  <si>
    <t>(EDAD &gt;= 6M y &lt;= 11M) + (DX= Z298 + LAB=P02)</t>
  </si>
  <si>
    <t>(EDAD &gt;= 4M y &lt;= 5M) + (DX= Z298 + LAB=TA)</t>
  </si>
  <si>
    <t>De 4 a 5 meses (Hierro Polimaltosado)</t>
  </si>
  <si>
    <t>&lt; 06 meses (BPN y Prematuros (P0))</t>
  </si>
  <si>
    <t>C) Hierro Polimaltosado</t>
  </si>
  <si>
    <t>(EDAD = 4A + (DX= Z298 + LAB=S12)</t>
  </si>
  <si>
    <t>(EDAD = 4A + (DX= Z298 + LAB=S11)</t>
  </si>
  <si>
    <t>(EDAD = 4A + (DX= Z298 + LAB=S10)</t>
  </si>
  <si>
    <t>(EDAD = 4A + (DX= Z298 + LAB=SF9)</t>
  </si>
  <si>
    <t>(EDAD = 4A + (DX= Z298 + LAB=SF8)</t>
  </si>
  <si>
    <t>(EDAD = 4A + (DX= Z298 + LAB=SF7)</t>
  </si>
  <si>
    <t>(EDAD = 4A + (DX= Z298 + LAB=SF6)</t>
  </si>
  <si>
    <t>(EDAD = 4A + (DX= Z298 + LAB=SF5)</t>
  </si>
  <si>
    <t>(EDAD = 4A + (DX= Z298 + LAB=SF4)</t>
  </si>
  <si>
    <t>(EDAD = 4A + (DX= Z298 + LAB=SF3)</t>
  </si>
  <si>
    <t>(EDAD = 4A + (DX= Z298 + LAB=SF2)</t>
  </si>
  <si>
    <t>(EDAD = 4A + (DX= Z298 + LAB=SF1)</t>
  </si>
  <si>
    <t>(EDAD = 3A + (DX= Z298 + LAB=S12)</t>
  </si>
  <si>
    <t>(EDAD = 3A + (DX= Z298 + LAB=S11)</t>
  </si>
  <si>
    <t>(EDAD = 3A + (DX= Z298 + LAB=S10)</t>
  </si>
  <si>
    <t>(EDAD = 3A + (DX= Z298 + LAB=SF9)</t>
  </si>
  <si>
    <t>(EDAD = 3A + (DX= Z298 + LAB=SF8)</t>
  </si>
  <si>
    <t>(EDAD = 3A + (DX= Z298 + LAB=SF7)</t>
  </si>
  <si>
    <t>(EDAD = 3A + (DX= Z298 + LAB=SF6)</t>
  </si>
  <si>
    <t>(EDAD = 3A + (DX= Z298 + LAB=SF5)</t>
  </si>
  <si>
    <t>(EDAD = 3A + (DX= Z298 + LAB=SF4)</t>
  </si>
  <si>
    <t>(EDAD = 3A + (DX= Z298 + LAB=SF3)</t>
  </si>
  <si>
    <t>(EDAD = 3A + (DX= Z298 + LAB=SF2)</t>
  </si>
  <si>
    <t>(EDAD = 3A + (DX= Z298 + LAB=SF1)</t>
  </si>
  <si>
    <t>(EDAD = 2A + (DX= Z298 + LAB=S12)</t>
  </si>
  <si>
    <t>(EDAD = 2A + (DX= Z298 + LAB=S11)</t>
  </si>
  <si>
    <t>(EDAD = 2A + (DX= Z298 + LAB=S10)</t>
  </si>
  <si>
    <t>(EDAD = 2A + (DX= Z298 + LAB=SF9)</t>
  </si>
  <si>
    <t>(EDAD = 2A + (DX= Z298 + LAB=SF8)</t>
  </si>
  <si>
    <t>(EDAD = 2A + (DX= Z298 + LAB=SF7)</t>
  </si>
  <si>
    <t>(EDAD = 2A + (DX= Z298 + LAB=SF6)</t>
  </si>
  <si>
    <t>(EDAD = 2A + (DX= Z298 + LAB=SF5)</t>
  </si>
  <si>
    <t>(EDAD = 2A + (DX= Z298 + LAB=SF4)</t>
  </si>
  <si>
    <t>(EDAD = 2A + (DX= Z298 + LAB=SF3)</t>
  </si>
  <si>
    <t>(EDAD = 2A + (DX= Z298 + LAB=SF2)</t>
  </si>
  <si>
    <t>(EDAD = 2A + (DX= Z298 + LAB=SF1)</t>
  </si>
  <si>
    <t>(EDAD = 1A + (DX= Z298 + LAB=S12)</t>
  </si>
  <si>
    <t>(EDAD = 1A + (DX= Z298 + LAB=S11)</t>
  </si>
  <si>
    <t>(EDAD = 1A + (DX= Z298 + LAB=S10)</t>
  </si>
  <si>
    <t>(EDAD = 1A + (DX= Z298 + LAB=SF9)</t>
  </si>
  <si>
    <t>(EDAD = 1A + (DX= Z298 + LAB=SF8)</t>
  </si>
  <si>
    <t>(EDAD = 1A + (DX= Z298 + LAB=SF7)</t>
  </si>
  <si>
    <t>(EDAD = 1A + (DX= Z298 + LAB=SF6)</t>
  </si>
  <si>
    <t>(EDAD = 1A + (DX= Z298 + LAB=SF5)</t>
  </si>
  <si>
    <t>(EDAD = 1A + (DX= Z298 + LAB=SF4)</t>
  </si>
  <si>
    <t>(EDAD = 1A + (DX= Z298 + LAB=SF3)</t>
  </si>
  <si>
    <t>(EDAD = 1A + (DX= Z298 + LAB=SF2)</t>
  </si>
  <si>
    <t>(EDAD = 1A + (DX= Z298 + LAB=SF1)</t>
  </si>
  <si>
    <t>(EDAD &gt;= 6M y &lt;= 11M) + (DX= Z298 + LAB=SF6)</t>
  </si>
  <si>
    <t>(EDAD &gt;= 6M y &lt;= 11M) + (DX= Z298 + LAB=SF5)</t>
  </si>
  <si>
    <t>(EDAD &gt;= 6M y &lt;= 11M) + (DX= Z298 + LAB=SF4)</t>
  </si>
  <si>
    <t>(EDAD &gt;= 6M y &lt;= 11M) + (DX= Z298 + LAB=SF3)</t>
  </si>
  <si>
    <t>(EDAD &gt;= 6M y &lt;= 11M) + (DX= Z298 + LAB=SF2)</t>
  </si>
  <si>
    <t>(EDAD &gt;= 6M y &lt;= 11M) + (DX= Z298 + LAB=SF1)</t>
  </si>
  <si>
    <t>&lt; 06 meses (BPN y Prematuros)</t>
  </si>
  <si>
    <t xml:space="preserve">B) Sulfato Ferroso </t>
  </si>
  <si>
    <t>&lt; 06 meses (BPN y Prematuros )</t>
  </si>
  <si>
    <t>A) Multimicronutriente (en polvo)</t>
  </si>
  <si>
    <t>Examen físico del recien nacido normal</t>
  </si>
  <si>
    <t>Extremadamente bajo peso</t>
  </si>
  <si>
    <t>Macrosomico</t>
  </si>
  <si>
    <t>Recién nacido prematuro extremo</t>
  </si>
  <si>
    <t>Recien nacido prematuro</t>
  </si>
  <si>
    <t>Recién nacido post termino</t>
  </si>
  <si>
    <t>Atención del recien nacido en Alojamiento Conjunto</t>
  </si>
  <si>
    <t xml:space="preserve">Evaluación médica del recién nacido </t>
  </si>
  <si>
    <t xml:space="preserve">Tamizaje neonatal: toma de muestra </t>
  </si>
  <si>
    <t xml:space="preserve">Tamizaje de catarata congénita </t>
  </si>
  <si>
    <t>Tamizaje de cardiopatía congénita</t>
  </si>
  <si>
    <t xml:space="preserve">Consejería en corte y cuidado del cordón umbilical </t>
  </si>
  <si>
    <t xml:space="preserve">Consejería en Lactancia Materna Exclusiva </t>
  </si>
  <si>
    <t xml:space="preserve">Consejería en importancia del control de crecimiento y desarrollo (4 controles) </t>
  </si>
  <si>
    <t>Consejería de identiﬁcación de signos de alarma.</t>
  </si>
  <si>
    <t xml:space="preserve">Consejería en higiene del recién nacido, niño o niña y cuidado en el hogar </t>
  </si>
  <si>
    <t xml:space="preserve">Consejería y acompañamiento en alimentación con sucedáneos de leche materna a neonatos expuestos al VIH </t>
  </si>
  <si>
    <t>Hipotiroidismo Congénito sin bocio</t>
  </si>
  <si>
    <t>Fenilcetonuria Clásica</t>
  </si>
  <si>
    <t>Fibrosis quística, sin otra especificación</t>
  </si>
  <si>
    <t xml:space="preserve">Hipoacusia conductiva, sin otra especificación </t>
  </si>
  <si>
    <t xml:space="preserve">Visita domiciliaria para el cuidado y evaluación neonatal </t>
  </si>
  <si>
    <t>Anamnesis y el examen físico del recién nacido normal</t>
  </si>
  <si>
    <t>Consejería en higiene del recién nacido, niño o niña y cuidado en el hogar</t>
  </si>
  <si>
    <t>Consejería en el cuidado del cordón umbilical</t>
  </si>
  <si>
    <t>Consejería en importancia del control de crecimiento y desarrollo (4 controles)</t>
  </si>
  <si>
    <t>Consejería en higiene de manos</t>
  </si>
  <si>
    <t xml:space="preserve">   Cardiopatía congénita</t>
  </si>
  <si>
    <t>Solicitud del Estudio parasitológico por 3</t>
  </si>
  <si>
    <t>Solicitud de Test de Graham</t>
  </si>
  <si>
    <t>5 a</t>
  </si>
  <si>
    <t>6 a</t>
  </si>
  <si>
    <t>7 a</t>
  </si>
  <si>
    <t>8 a</t>
  </si>
  <si>
    <t>9 a</t>
  </si>
  <si>
    <t>10 a</t>
  </si>
  <si>
    <t>11 a</t>
  </si>
  <si>
    <t>5 años</t>
  </si>
  <si>
    <t>6 años</t>
  </si>
  <si>
    <t>7 años</t>
  </si>
  <si>
    <t>8 años</t>
  </si>
  <si>
    <t>9 años</t>
  </si>
  <si>
    <t>Desnutrición Crónica</t>
  </si>
  <si>
    <t>Desnutrición Global</t>
  </si>
  <si>
    <t>Índice de Masa Corporal (IMC)</t>
  </si>
  <si>
    <t>Retardo del Desarrollo</t>
  </si>
  <si>
    <t>XIII. ATENCION TEMPRANA</t>
  </si>
  <si>
    <t>99401.01 Consejería en el apego y comunicación.</t>
  </si>
  <si>
    <t>Consejería en atención temprana del desarrollo</t>
  </si>
  <si>
    <t>Consejería en inmunizaciones</t>
  </si>
  <si>
    <t>99401.01</t>
  </si>
  <si>
    <t>Consejería en el apego y comunicación</t>
  </si>
  <si>
    <t>99401.02</t>
  </si>
  <si>
    <t>Consejería en importancia de la lactancia materna en la primera hora, lactancia materna exclusiva. Técnicas de amamantamiento, extracción y almacenamiento de la leche</t>
  </si>
  <si>
    <t>99401.03</t>
  </si>
  <si>
    <t>Consejería en Lactancia Materna Exclusiva hasta los 06 meses</t>
  </si>
  <si>
    <t>99401.04</t>
  </si>
  <si>
    <t>Consejería en corte y cuidado del cordón umbilical</t>
  </si>
  <si>
    <t>99401.05</t>
  </si>
  <si>
    <t>99401.06</t>
  </si>
  <si>
    <t>99401.07</t>
  </si>
  <si>
    <t>99401.08</t>
  </si>
  <si>
    <t>Consejería de identificación de signos de alarma</t>
  </si>
  <si>
    <t>99401.09</t>
  </si>
  <si>
    <t>Consejería para la prevención de muerte súbita del lactante</t>
  </si>
  <si>
    <t>99401.10</t>
  </si>
  <si>
    <t>99401.11</t>
  </si>
  <si>
    <t>Consejería para la prevención de accidentes</t>
  </si>
  <si>
    <t>99401.12</t>
  </si>
  <si>
    <t>Consejería para la prevención de enfermedades prevalentes (EDA, IRA, entre otras)</t>
  </si>
  <si>
    <t>99401.16</t>
  </si>
  <si>
    <t>Consejería en salud ocular</t>
  </si>
  <si>
    <t>99401.24</t>
  </si>
  <si>
    <t>99401.25</t>
  </si>
  <si>
    <t>Consejería en pautas de crianza, buen trato, comunicación y cuidados adecuados</t>
  </si>
  <si>
    <t>99401.01/99401.02/99401.03/99401.05/99401.07/99401.08/99401.09/99401.11/99401.01/99401.12/99401.16/99401.24/99401.25</t>
  </si>
  <si>
    <t>99401.01/99401.05/99401.07/99401.08/99401.11/99401.01/99401.12/99401.16/99401.24/99401.25</t>
  </si>
  <si>
    <t>99401.05/99401.07/99401.11/99401.12/99401.16/99401.24/99401.25</t>
  </si>
  <si>
    <t>Consejería en medicina preventiva y/o provisión de intervenciones de reducción de factores de riesgo, proporcionados a individuo, durante aproximadamente 45 minutos (p. ej. consejería nutricional)</t>
  </si>
  <si>
    <t>Consejería nutricional: Alimentación saludable</t>
  </si>
  <si>
    <t xml:space="preserve">Problemas relacionados con la dieta y hábitos alimentarios inapropiados. (Alimentación complementaria inadecuada)
</t>
  </si>
  <si>
    <t>Microcefalia</t>
  </si>
  <si>
    <t>01 a 28 días</t>
  </si>
  <si>
    <t>12 meses a 23 meses</t>
  </si>
  <si>
    <t>24 meses a 35 meses</t>
  </si>
  <si>
    <t>29 días a 11 meses</t>
  </si>
  <si>
    <t>0 días a 28 días</t>
  </si>
  <si>
    <t>36 meses a 47 meses</t>
  </si>
  <si>
    <t>DIAGNOSTICO</t>
  </si>
  <si>
    <t>01-11m</t>
  </si>
  <si>
    <t>01-05a</t>
  </si>
  <si>
    <t>06-11a</t>
  </si>
  <si>
    <t>FARINGITIS AGUDA, NO ESPECIFICADA</t>
  </si>
  <si>
    <t>RINOFARINGITIS AGUDA, RINITIS AGUDA</t>
  </si>
  <si>
    <t>Faringitis aguda, no especificada</t>
  </si>
  <si>
    <t>Rinofaringitis aguda, rinitis aguda</t>
  </si>
  <si>
    <t>Caries de la dentina</t>
  </si>
  <si>
    <t>Anemia por deficiencia de hierro sin especificación</t>
  </si>
  <si>
    <t>Amigdalitis aguda, no especificada</t>
  </si>
  <si>
    <t>Retardo del desarrollo debido a desnutrición proteicocalórica</t>
  </si>
  <si>
    <t>Bronquitis aguda, no especificada</t>
  </si>
  <si>
    <t>Fiebre, no especificada</t>
  </si>
  <si>
    <t>Faringoamigdalitis aguda</t>
  </si>
  <si>
    <t>Obesidad debida a exceso de calorías</t>
  </si>
  <si>
    <t>Otras gastroenteritis y colitis no especificadas de origen infeccioso</t>
  </si>
  <si>
    <t>Infecciones intestinales debidas a otros organismos sin especificar</t>
  </si>
  <si>
    <t>Parasitosis intestinal, sin otra especificación</t>
  </si>
  <si>
    <t>Caries limitada al esmalte</t>
  </si>
  <si>
    <t>Infección aguda de las vías respiratorias superiores, no especificada</t>
  </si>
  <si>
    <t>Necrosis de la pulpa</t>
  </si>
  <si>
    <t>Desequilibrio de los constituyentes en la dieta</t>
  </si>
  <si>
    <t>Rinitis alérgica, no especificada</t>
  </si>
  <si>
    <t>Gingivitis aguda</t>
  </si>
  <si>
    <t>Infección de vías urinarias, sitio no especificado</t>
  </si>
  <si>
    <t>Infección intestinal bacteriana, no especificada</t>
  </si>
  <si>
    <t>Deficiencia de múltiples elementos nutricionales</t>
  </si>
  <si>
    <t>Pulpitis</t>
  </si>
  <si>
    <t>Obesidad no especificada</t>
  </si>
  <si>
    <t>En los Niños y Niñas de 0 días a &lt; 05 años</t>
  </si>
  <si>
    <t xml:space="preserve">29 días hasta 11 meses </t>
  </si>
  <si>
    <t>ICTERICIA NEONATAL, NO ESPECIFICADA</t>
  </si>
  <si>
    <t>RN DE BAJO PESO AL NACER (&lt; 2500 GRAMOS)</t>
  </si>
  <si>
    <t>DERMATITIS DEL PAÑAL</t>
  </si>
  <si>
    <t>FLATULENCIA Y AFECCIONES AFINES</t>
  </si>
  <si>
    <t>RN PRE TERMINO</t>
  </si>
  <si>
    <t>RN CON PESO EXTREMADAMENTE BAJO AL NACER</t>
  </si>
  <si>
    <t>ABDOMEN AGUDO</t>
  </si>
  <si>
    <t>ONFALITIS DEL RN CON O SIN HEMORRAGIA LEVE</t>
  </si>
  <si>
    <t>B) Condición al Nacimiento</t>
  </si>
  <si>
    <t>C) Atención de Recién Nacido en Alojamiento Conjunto</t>
  </si>
  <si>
    <t>D) Resultados del Tamizaje Neonatal</t>
  </si>
  <si>
    <t>E) Atención de Recién Nacido en la visita domiciliaria</t>
  </si>
  <si>
    <t>F) Morbilidad Neonatal</t>
  </si>
  <si>
    <t>5 a 11 años</t>
  </si>
  <si>
    <t>00 - 28</t>
  </si>
  <si>
    <t xml:space="preserve">Consejería de idenficación de signos de alarma </t>
  </si>
  <si>
    <t>XIV. TELEMEDICINA</t>
  </si>
  <si>
    <t>SERVICIO</t>
  </si>
  <si>
    <t>Telemonitoreo</t>
  </si>
  <si>
    <t>Teleorientación Síncrona</t>
  </si>
  <si>
    <t>Teleconsulta en línea</t>
  </si>
  <si>
    <t>Teleinterconsulta Síncrona</t>
  </si>
  <si>
    <t>Recien Nacido</t>
  </si>
  <si>
    <t>XV. ACTIVIDADES EXTRAMURALES, MASIVAS Y DE GESTIÓN</t>
  </si>
  <si>
    <t>XVI.  ATENCION DE LAS ENFERMEDADES PREVALENTES DE LA INFANCIA</t>
  </si>
  <si>
    <t>XVII. DEFUNCIONES</t>
  </si>
  <si>
    <t>Supresión de lactancia</t>
  </si>
  <si>
    <t>Total LME</t>
  </si>
  <si>
    <t xml:space="preserve">Niños con 06 meses </t>
  </si>
  <si>
    <t>Consejería en identificación de signos de alarma IRA</t>
  </si>
  <si>
    <t>Consejería en identificación de signos de alarma SOB/ASMA</t>
  </si>
  <si>
    <t xml:space="preserve"> Consejería de identificación de signos de alarma/EDA</t>
  </si>
  <si>
    <t xml:space="preserve"> Consejería de identificación de signos de alarma/Parasitosis</t>
  </si>
  <si>
    <t xml:space="preserve">Seguimiento de IRA </t>
  </si>
  <si>
    <t>Seguimiento de SOB -Asma</t>
  </si>
  <si>
    <t>Seguimiento de Parasitosis</t>
  </si>
  <si>
    <t>OXIGENOTERAPIA / OXIMETRIA</t>
  </si>
  <si>
    <t>ACTIVIDAD</t>
  </si>
  <si>
    <t xml:space="preserve">Oxigenoterapia </t>
  </si>
  <si>
    <t xml:space="preserve">Oximetria </t>
  </si>
  <si>
    <t>B. SINDROME DE OBSTRUCCION BRONQUIAL (SOB)-ASMA</t>
  </si>
  <si>
    <t>SOB/Asma</t>
  </si>
  <si>
    <t>OXIGENOTERAPIA Y NEBULIZACIÓN</t>
  </si>
  <si>
    <t>Nebulización/Inhaloterapia</t>
  </si>
  <si>
    <t xml:space="preserve"> &lt; 1 año</t>
  </si>
  <si>
    <t>Administración de tratamiento (Sales de Rehidratación Oral (SRO)</t>
  </si>
  <si>
    <t>Administración de tratamiento ( Zinc (ZN)</t>
  </si>
  <si>
    <t>Suma</t>
  </si>
  <si>
    <t>C. ENFERMEDAD DIARREICA AGUDA</t>
  </si>
  <si>
    <t>D.  ANEMIA</t>
  </si>
  <si>
    <t>E.   PARASITOSIS</t>
  </si>
  <si>
    <t>XVII. VIGILANCIA DEL CONSUMO DE SAL YODADA</t>
  </si>
  <si>
    <t xml:space="preserve">Sesiones Demostrativas </t>
  </si>
  <si>
    <t>Evaluación</t>
  </si>
  <si>
    <t>Supervisión</t>
  </si>
  <si>
    <r>
      <t>Dx</t>
    </r>
    <r>
      <rPr>
        <sz val="10"/>
        <rFont val="Arial"/>
        <family val="2"/>
      </rPr>
      <t>: Diagnosticado</t>
    </r>
  </si>
  <si>
    <r>
      <t>Recup</t>
    </r>
    <r>
      <rPr>
        <sz val="10"/>
        <rFont val="Arial"/>
        <family val="2"/>
      </rPr>
      <t>: Recuperado</t>
    </r>
  </si>
  <si>
    <t>G) Morbilidad Infantil</t>
  </si>
  <si>
    <t>DIRECCION DE ESTADISTICA E INFORMATICA</t>
  </si>
  <si>
    <t>MINSA/RED/DISA/ESTABLECIMIENTO:</t>
  </si>
  <si>
    <t>DESDE:      /        /</t>
  </si>
  <si>
    <t>HASTA:       /         /</t>
  </si>
  <si>
    <t xml:space="preserve">REPORTE : ACTIVIDADES EN LA ETAPA DE VIDA NIÑO </t>
  </si>
  <si>
    <t>H</t>
  </si>
  <si>
    <t>J</t>
  </si>
  <si>
    <t>K</t>
  </si>
  <si>
    <t>I</t>
  </si>
  <si>
    <t>Evaluación del Estado Nutricional  Antropométricas (Por personal técnico)</t>
  </si>
  <si>
    <t>L</t>
  </si>
  <si>
    <t>N</t>
  </si>
  <si>
    <t>O</t>
  </si>
  <si>
    <t>P</t>
  </si>
  <si>
    <t>Q</t>
  </si>
  <si>
    <t xml:space="preserve">Tamizaje de hipoacusia </t>
  </si>
  <si>
    <t>R</t>
  </si>
  <si>
    <t xml:space="preserve">12 meses - 23 meses </t>
  </si>
  <si>
    <t>02 - 02 Años con 11 meses</t>
  </si>
  <si>
    <t>En los Niños y Niñas de 05 a 11 años</t>
  </si>
  <si>
    <t>S</t>
  </si>
  <si>
    <t>T</t>
  </si>
  <si>
    <t>U</t>
  </si>
  <si>
    <t>V</t>
  </si>
  <si>
    <t>W</t>
  </si>
  <si>
    <t>X</t>
  </si>
  <si>
    <t>Y</t>
  </si>
  <si>
    <t>Z</t>
  </si>
  <si>
    <t>AA</t>
  </si>
  <si>
    <t>AB</t>
  </si>
  <si>
    <t>AC</t>
  </si>
  <si>
    <t>AD</t>
  </si>
  <si>
    <t>AE</t>
  </si>
  <si>
    <t>AF</t>
  </si>
  <si>
    <t>AG</t>
  </si>
  <si>
    <t>AH</t>
  </si>
  <si>
    <t>AI</t>
  </si>
  <si>
    <t>AJ</t>
  </si>
  <si>
    <t>AK</t>
  </si>
  <si>
    <t>AL</t>
  </si>
  <si>
    <t>L1</t>
  </si>
  <si>
    <t>V.1 ADMINISTRACION DE TRATAMIENTO</t>
  </si>
  <si>
    <t>AM</t>
  </si>
  <si>
    <t>Positivo (Lab=1)</t>
  </si>
  <si>
    <t>Negativo (Lab=2)</t>
  </si>
  <si>
    <t>V. ADMINISTRACION DE MICRONUTRIENTES (PREVENTIVO)</t>
  </si>
  <si>
    <t>De 6 a 11 meses</t>
  </si>
  <si>
    <t>De 1 año</t>
  </si>
  <si>
    <t>De 2 año</t>
  </si>
  <si>
    <t>De 3 año</t>
  </si>
  <si>
    <t>De 4 año</t>
  </si>
  <si>
    <t>De 2 años</t>
  </si>
  <si>
    <t>De 3 años</t>
  </si>
  <si>
    <t>De 4 años</t>
  </si>
  <si>
    <t>De 5 años</t>
  </si>
  <si>
    <t>De 6 años</t>
  </si>
  <si>
    <t>De 7 años</t>
  </si>
  <si>
    <t>De 8 años</t>
  </si>
  <si>
    <t>De 9 años</t>
  </si>
  <si>
    <t>De 10 años</t>
  </si>
  <si>
    <t>De 11 años</t>
  </si>
  <si>
    <t>Sulfato Ferroso o Complejo Polimaltosado 99199.17</t>
  </si>
  <si>
    <t>Multimicronutriente 99199.19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</si>
</sst>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
  </numFmts>
  <fonts count="36" x14ac:knownFonts="1">
    <font>
      <sz val="10"/>
      <name val="Arial"/>
      <family val="2"/>
    </font>
    <font>
      <sz val="11"/>
      <color theme="1"/>
      <name val="Calibri"/>
      <family val="2"/>
      <scheme val="minor"/>
    </font>
    <font>
      <sz val="11"/>
      <color theme="1"/>
      <name val="Calibri"/>
      <family val="2"/>
      <scheme val="minor"/>
    </font>
    <font>
      <sz val="10"/>
      <name val="Arial"/>
      <family val="2"/>
    </font>
    <font>
      <sz val="11"/>
      <color indexed="8"/>
      <name val="Calibri"/>
      <family val="2"/>
      <scheme val="minor"/>
    </font>
    <font>
      <sz val="11"/>
      <color theme="1"/>
      <name val="Calibri"/>
      <family val="2"/>
      <scheme val="minor"/>
    </font>
    <font>
      <b/>
      <sz val="11"/>
      <name val="Calibri"/>
      <family val="2"/>
      <scheme val="minor"/>
    </font>
    <font>
      <b/>
      <sz val="11"/>
      <color rgb="FFFF0000"/>
      <name val="Calibri"/>
      <family val="2"/>
      <scheme val="minor"/>
    </font>
    <font>
      <b/>
      <sz val="12"/>
      <color indexed="8"/>
      <name val="Calibri"/>
      <family val="2"/>
      <scheme val="minor"/>
    </font>
    <font>
      <b/>
      <sz val="11"/>
      <color theme="0"/>
      <name val="Calibri"/>
      <family val="2"/>
      <scheme val="minor"/>
    </font>
    <font>
      <sz val="11"/>
      <name val="Calibri"/>
      <family val="2"/>
      <scheme val="minor"/>
    </font>
    <font>
      <sz val="11"/>
      <color theme="0"/>
      <name val="Calibri"/>
      <family val="2"/>
      <scheme val="minor"/>
    </font>
    <font>
      <sz val="10"/>
      <color theme="0"/>
      <name val="Calibri"/>
      <family val="2"/>
      <scheme val="minor"/>
    </font>
    <font>
      <b/>
      <sz val="10"/>
      <name val="Calibri"/>
      <family val="2"/>
      <scheme val="minor"/>
    </font>
    <font>
      <sz val="8"/>
      <name val="Arial"/>
      <family val="2"/>
    </font>
    <font>
      <b/>
      <sz val="10"/>
      <name val="Arial Narrow"/>
      <family val="2"/>
    </font>
    <font>
      <sz val="11"/>
      <color rgb="FF000000"/>
      <name val="Calibri"/>
      <family val="2"/>
    </font>
    <font>
      <sz val="10"/>
      <name val="Arial Narrow"/>
      <family val="2"/>
    </font>
    <font>
      <b/>
      <sz val="10"/>
      <name val="Arial"/>
      <family val="2"/>
    </font>
    <font>
      <b/>
      <sz val="12"/>
      <name val="Arial"/>
      <family val="2"/>
    </font>
    <font>
      <b/>
      <sz val="11"/>
      <name val="Arial"/>
      <family val="2"/>
    </font>
    <font>
      <sz val="11"/>
      <name val="Arial"/>
      <family val="2"/>
    </font>
    <font>
      <b/>
      <i/>
      <sz val="11"/>
      <name val="Arial"/>
      <family val="2"/>
    </font>
    <font>
      <b/>
      <sz val="20"/>
      <name val="Arial"/>
      <family val="2"/>
    </font>
    <font>
      <b/>
      <i/>
      <sz val="12"/>
      <name val="Arial"/>
      <family val="2"/>
    </font>
    <font>
      <b/>
      <sz val="16"/>
      <name val="Arial"/>
      <family val="2"/>
    </font>
    <font>
      <sz val="16"/>
      <name val="Arial"/>
      <family val="2"/>
    </font>
    <font>
      <b/>
      <i/>
      <sz val="10"/>
      <name val="Arial"/>
      <family val="2"/>
    </font>
    <font>
      <sz val="10"/>
      <color rgb="FF0070C0"/>
      <name val="Calibri"/>
      <family val="2"/>
      <scheme val="minor"/>
    </font>
    <font>
      <sz val="10"/>
      <name val="Calibri"/>
      <family val="2"/>
      <scheme val="minor"/>
    </font>
    <font>
      <b/>
      <sz val="12"/>
      <name val="Calibri"/>
      <family val="2"/>
      <scheme val="minor"/>
    </font>
    <font>
      <sz val="11"/>
      <color rgb="FFFF0000"/>
      <name val="Arial"/>
      <family val="2"/>
    </font>
    <font>
      <b/>
      <sz val="14"/>
      <name val="Arial"/>
      <family val="2"/>
    </font>
    <font>
      <sz val="12"/>
      <name val="Arial"/>
      <family val="2"/>
    </font>
    <font>
      <b/>
      <sz val="11"/>
      <color theme="0"/>
      <name val="Arial"/>
      <family val="2"/>
    </font>
    <font>
      <b/>
      <sz val="11"/>
      <color rgb="FFFF0000"/>
      <name val="Arial"/>
      <family val="2"/>
    </font>
  </fonts>
  <fills count="18">
    <fill>
      <patternFill patternType="none"/>
    </fill>
    <fill>
      <patternFill patternType="gray125"/>
    </fill>
    <fill>
      <patternFill patternType="solid">
        <fgColor rgb="FF0070C0"/>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3" tint="0.79998168889431442"/>
        <bgColor indexed="64"/>
      </patternFill>
    </fill>
    <fill>
      <patternFill patternType="solid">
        <fgColor theme="0" tint="-0.249977111117893"/>
        <bgColor indexed="64"/>
      </patternFill>
    </fill>
    <fill>
      <patternFill patternType="solid">
        <fgColor rgb="FFFF0000"/>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
      <patternFill patternType="solid">
        <fgColor theme="2" tint="-9.9978637043366805E-2"/>
        <bgColor indexed="64"/>
      </patternFill>
    </fill>
    <fill>
      <patternFill patternType="solid">
        <fgColor theme="0" tint="-0.34998626667073579"/>
        <bgColor indexed="64"/>
      </patternFill>
    </fill>
    <fill>
      <patternFill patternType="solid">
        <fgColor theme="1"/>
        <bgColor indexed="64"/>
      </patternFill>
    </fill>
    <fill>
      <patternFill patternType="solid">
        <fgColor rgb="FFFFC000"/>
        <bgColor indexed="64"/>
      </patternFill>
    </fill>
    <fill>
      <patternFill patternType="solid">
        <fgColor theme="7" tint="0.39997558519241921"/>
        <bgColor indexed="64"/>
      </patternFill>
    </fill>
    <fill>
      <patternFill patternType="solid">
        <fgColor theme="2" tint="-0.249977111117893"/>
        <bgColor indexed="64"/>
      </patternFill>
    </fill>
    <fill>
      <patternFill patternType="solid">
        <fgColor theme="4" tint="0.79998168889431442"/>
        <bgColor indexed="64"/>
      </patternFill>
    </fill>
  </fills>
  <borders count="50">
    <border>
      <left/>
      <right/>
      <top/>
      <bottom/>
      <diagonal/>
    </border>
    <border>
      <left style="thin">
        <color theme="4"/>
      </left>
      <right/>
      <top style="thin">
        <color theme="4"/>
      </top>
      <bottom style="thin">
        <color theme="4"/>
      </bottom>
      <diagonal/>
    </border>
    <border>
      <left style="thin">
        <color theme="4"/>
      </left>
      <right/>
      <top style="thin">
        <color theme="4"/>
      </top>
      <bottom style="dotted">
        <color theme="4"/>
      </bottom>
      <diagonal/>
    </border>
    <border>
      <left/>
      <right/>
      <top style="thin">
        <color theme="4"/>
      </top>
      <bottom style="dotted">
        <color theme="4"/>
      </bottom>
      <diagonal/>
    </border>
    <border>
      <left style="thin">
        <color theme="4"/>
      </left>
      <right style="thin">
        <color theme="4"/>
      </right>
      <top style="thin">
        <color theme="4"/>
      </top>
      <bottom style="dotted">
        <color theme="4"/>
      </bottom>
      <diagonal/>
    </border>
    <border>
      <left/>
      <right style="thin">
        <color theme="4"/>
      </right>
      <top style="thin">
        <color theme="4"/>
      </top>
      <bottom style="dotted">
        <color theme="4"/>
      </bottom>
      <diagonal/>
    </border>
    <border>
      <left style="thin">
        <color theme="4"/>
      </left>
      <right/>
      <top style="dotted">
        <color theme="4"/>
      </top>
      <bottom style="dotted">
        <color theme="4"/>
      </bottom>
      <diagonal/>
    </border>
    <border>
      <left/>
      <right/>
      <top style="dotted">
        <color theme="4"/>
      </top>
      <bottom style="dotted">
        <color theme="4"/>
      </bottom>
      <diagonal/>
    </border>
    <border>
      <left style="thin">
        <color theme="4"/>
      </left>
      <right style="thin">
        <color theme="4"/>
      </right>
      <top style="dotted">
        <color theme="4"/>
      </top>
      <bottom style="dotted">
        <color theme="4"/>
      </bottom>
      <diagonal/>
    </border>
    <border>
      <left/>
      <right style="thin">
        <color theme="4"/>
      </right>
      <top style="dotted">
        <color theme="4"/>
      </top>
      <bottom style="dotted">
        <color theme="4"/>
      </bottom>
      <diagonal/>
    </border>
    <border>
      <left style="thin">
        <color theme="4"/>
      </left>
      <right style="thin">
        <color theme="4"/>
      </right>
      <top/>
      <bottom style="dotted">
        <color theme="4"/>
      </bottom>
      <diagonal/>
    </border>
    <border>
      <left style="thin">
        <color theme="4"/>
      </left>
      <right/>
      <top style="dotted">
        <color theme="4"/>
      </top>
      <bottom style="thin">
        <color theme="4"/>
      </bottom>
      <diagonal/>
    </border>
    <border>
      <left/>
      <right/>
      <top style="dotted">
        <color theme="4"/>
      </top>
      <bottom style="thin">
        <color theme="4"/>
      </bottom>
      <diagonal/>
    </border>
    <border>
      <left style="thin">
        <color theme="4"/>
      </left>
      <right style="thin">
        <color theme="4"/>
      </right>
      <top style="dotted">
        <color theme="4"/>
      </top>
      <bottom style="thin">
        <color theme="4"/>
      </bottom>
      <diagonal/>
    </border>
    <border>
      <left style="thin">
        <color theme="4"/>
      </left>
      <right/>
      <top/>
      <bottom style="thin">
        <color theme="4"/>
      </bottom>
      <diagonal/>
    </border>
    <border>
      <left/>
      <right style="thin">
        <color theme="4"/>
      </right>
      <top style="dotted">
        <color theme="4"/>
      </top>
      <bottom style="thin">
        <color theme="4"/>
      </bottom>
      <diagonal/>
    </border>
    <border>
      <left style="thin">
        <color theme="4"/>
      </left>
      <right/>
      <top style="thin">
        <color theme="4"/>
      </top>
      <bottom/>
      <diagonal/>
    </border>
    <border>
      <left/>
      <right style="thin">
        <color theme="0"/>
      </right>
      <top style="thin">
        <color theme="4"/>
      </top>
      <bottom/>
      <diagonal/>
    </border>
    <border>
      <left style="thin">
        <color theme="4"/>
      </left>
      <right/>
      <top/>
      <bottom/>
      <diagonal/>
    </border>
    <border>
      <left/>
      <right/>
      <top style="thin">
        <color theme="4"/>
      </top>
      <bottom/>
      <diagonal/>
    </border>
    <border>
      <left/>
      <right/>
      <top/>
      <bottom style="thin">
        <color theme="0"/>
      </bottom>
      <diagonal/>
    </border>
    <border>
      <left/>
      <right style="thin">
        <color theme="0"/>
      </right>
      <top/>
      <bottom/>
      <diagonal/>
    </border>
    <border>
      <left style="thin">
        <color theme="0"/>
      </left>
      <right style="thin">
        <color theme="0"/>
      </right>
      <top/>
      <bottom/>
      <diagonal/>
    </border>
    <border>
      <left style="thin">
        <color theme="0"/>
      </left>
      <right style="thin">
        <color theme="0"/>
      </right>
      <top style="thin">
        <color theme="0"/>
      </top>
      <bottom style="thin">
        <color rgb="FFFF0000"/>
      </bottom>
      <diagonal/>
    </border>
    <border>
      <left/>
      <right style="thin">
        <color theme="4"/>
      </right>
      <top style="thin">
        <color theme="4"/>
      </top>
      <bottom style="thin">
        <color theme="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bottom style="thin">
        <color indexed="64"/>
      </bottom>
      <diagonal/>
    </border>
    <border>
      <left/>
      <right style="thin">
        <color rgb="FF000000"/>
      </right>
      <top style="thin">
        <color rgb="FF000000"/>
      </top>
      <bottom style="thin">
        <color rgb="FF000000"/>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theme="0"/>
      </left>
      <right/>
      <top style="thin">
        <color theme="0"/>
      </top>
      <bottom style="thin">
        <color theme="4"/>
      </bottom>
      <diagonal/>
    </border>
    <border>
      <left/>
      <right style="thin">
        <color theme="0"/>
      </right>
      <top style="thin">
        <color theme="0"/>
      </top>
      <bottom style="thin">
        <color theme="4"/>
      </bottom>
      <diagonal/>
    </border>
    <border>
      <left style="thin">
        <color theme="0"/>
      </left>
      <right/>
      <top style="thin">
        <color theme="4"/>
      </top>
      <bottom style="thin">
        <color theme="0"/>
      </bottom>
      <diagonal/>
    </border>
    <border>
      <left/>
      <right/>
      <top style="thin">
        <color theme="4"/>
      </top>
      <bottom style="thin">
        <color theme="0"/>
      </bottom>
      <diagonal/>
    </border>
    <border>
      <left/>
      <right style="thin">
        <color theme="0"/>
      </right>
      <top style="thin">
        <color theme="4"/>
      </top>
      <bottom style="thin">
        <color theme="0"/>
      </bottom>
      <diagonal/>
    </border>
    <border>
      <left/>
      <right style="thin">
        <color theme="0"/>
      </right>
      <top/>
      <bottom style="thin">
        <color theme="4"/>
      </bottom>
      <diagonal/>
    </border>
    <border>
      <left/>
      <right style="thin">
        <color indexed="64"/>
      </right>
      <top/>
      <bottom/>
      <diagonal/>
    </border>
    <border>
      <left style="thin">
        <color theme="0"/>
      </left>
      <right/>
      <top style="thin">
        <color theme="4"/>
      </top>
      <bottom/>
      <diagonal/>
    </border>
    <border>
      <left/>
      <right style="thin">
        <color theme="4"/>
      </right>
      <top style="thin">
        <color theme="4"/>
      </top>
      <bottom/>
      <diagonal/>
    </border>
    <border>
      <left style="thin">
        <color theme="0"/>
      </left>
      <right/>
      <top/>
      <bottom style="thin">
        <color theme="4"/>
      </bottom>
      <diagonal/>
    </border>
    <border>
      <left/>
      <right style="thin">
        <color theme="4"/>
      </right>
      <top/>
      <bottom style="thin">
        <color theme="4"/>
      </bottom>
      <diagonal/>
    </border>
  </borders>
  <cellStyleXfs count="5">
    <xf numFmtId="0" fontId="0" fillId="0" borderId="0"/>
    <xf numFmtId="0" fontId="5" fillId="0" borderId="0"/>
    <xf numFmtId="0" fontId="3" fillId="0" borderId="0"/>
    <xf numFmtId="0" fontId="16" fillId="0" borderId="0"/>
    <xf numFmtId="0" fontId="1" fillId="0" borderId="0"/>
  </cellStyleXfs>
  <cellXfs count="452">
    <xf numFmtId="0" fontId="0" fillId="0" borderId="0" xfId="0"/>
    <xf numFmtId="0" fontId="4" fillId="0" borderId="0" xfId="0" applyFont="1" applyFill="1" applyAlignment="1">
      <alignment vertical="center"/>
    </xf>
    <xf numFmtId="0" fontId="8" fillId="0" borderId="0" xfId="0" applyFont="1" applyFill="1" applyBorder="1" applyAlignment="1">
      <alignment vertical="center"/>
    </xf>
    <xf numFmtId="0" fontId="4" fillId="0" borderId="3" xfId="0" applyFont="1" applyBorder="1" applyAlignment="1">
      <alignment vertical="center"/>
    </xf>
    <xf numFmtId="0" fontId="4" fillId="0" borderId="7" xfId="0" applyFont="1" applyBorder="1" applyAlignment="1">
      <alignment vertical="center"/>
    </xf>
    <xf numFmtId="0" fontId="4" fillId="0" borderId="12" xfId="0" applyFont="1" applyBorder="1" applyAlignment="1">
      <alignment vertical="center"/>
    </xf>
    <xf numFmtId="0" fontId="11" fillId="0" borderId="0" xfId="0" applyFont="1" applyFill="1" applyAlignment="1">
      <alignment vertical="center"/>
    </xf>
    <xf numFmtId="0" fontId="9" fillId="0" borderId="0" xfId="0" applyFont="1" applyFill="1" applyAlignment="1">
      <alignment vertical="center"/>
    </xf>
    <xf numFmtId="0" fontId="7" fillId="6" borderId="4" xfId="0" applyFont="1" applyFill="1" applyBorder="1" applyAlignment="1">
      <alignment vertical="center"/>
    </xf>
    <xf numFmtId="0" fontId="4" fillId="0" borderId="5" xfId="0" applyFont="1" applyBorder="1" applyAlignment="1">
      <alignment vertical="center"/>
    </xf>
    <xf numFmtId="0" fontId="4" fillId="0" borderId="15" xfId="0" applyFont="1" applyBorder="1" applyAlignment="1">
      <alignment vertical="center"/>
    </xf>
    <xf numFmtId="0" fontId="10" fillId="0" borderId="0" xfId="0" applyFont="1" applyFill="1" applyAlignment="1">
      <alignment vertical="center"/>
    </xf>
    <xf numFmtId="0" fontId="6" fillId="0" borderId="0" xfId="0" applyFont="1" applyFill="1" applyAlignment="1">
      <alignment vertical="center"/>
    </xf>
    <xf numFmtId="0" fontId="9" fillId="7" borderId="23" xfId="0" applyFont="1" applyFill="1" applyBorder="1" applyAlignment="1">
      <alignment horizontal="center" vertical="center"/>
    </xf>
    <xf numFmtId="0" fontId="7" fillId="6" borderId="10" xfId="0" applyFont="1" applyFill="1" applyBorder="1" applyAlignment="1">
      <alignment vertical="center"/>
    </xf>
    <xf numFmtId="0" fontId="4" fillId="0" borderId="9" xfId="0" applyFont="1" applyBorder="1" applyAlignment="1">
      <alignment vertical="center"/>
    </xf>
    <xf numFmtId="0" fontId="13" fillId="8" borderId="0" xfId="0" applyFont="1" applyFill="1" applyAlignment="1">
      <alignment vertical="center"/>
    </xf>
    <xf numFmtId="0" fontId="6" fillId="8" borderId="0" xfId="0" applyFont="1" applyFill="1" applyAlignment="1">
      <alignment vertical="center"/>
    </xf>
    <xf numFmtId="0" fontId="10" fillId="8" borderId="0" xfId="0" applyFont="1" applyFill="1" applyAlignment="1">
      <alignment vertical="center"/>
    </xf>
    <xf numFmtId="0" fontId="0" fillId="0" borderId="0" xfId="0" applyFont="1" applyAlignment="1"/>
    <xf numFmtId="0" fontId="9" fillId="2" borderId="21" xfId="0" applyFont="1" applyFill="1" applyBorder="1" applyAlignment="1">
      <alignment horizontal="center" vertical="center"/>
    </xf>
    <xf numFmtId="0" fontId="9" fillId="2" borderId="22" xfId="0" applyFont="1" applyFill="1" applyBorder="1" applyAlignment="1">
      <alignment horizontal="center" vertical="center"/>
    </xf>
    <xf numFmtId="0" fontId="2" fillId="0" borderId="13" xfId="0" applyFont="1" applyBorder="1" applyAlignment="1">
      <alignment vertical="center"/>
    </xf>
    <xf numFmtId="0" fontId="2" fillId="0" borderId="11" xfId="0" applyFont="1" applyBorder="1" applyAlignment="1">
      <alignment horizontal="left" vertical="center" indent="1"/>
    </xf>
    <xf numFmtId="0" fontId="2" fillId="0" borderId="8" xfId="0" applyFont="1" applyBorder="1" applyAlignment="1">
      <alignment vertical="center"/>
    </xf>
    <xf numFmtId="0" fontId="2" fillId="0" borderId="6" xfId="0" applyFont="1" applyBorder="1" applyAlignment="1">
      <alignment horizontal="left" vertical="center" indent="1"/>
    </xf>
    <xf numFmtId="0" fontId="2" fillId="0" borderId="8" xfId="0" applyFont="1" applyFill="1" applyBorder="1" applyAlignment="1">
      <alignment vertical="center"/>
    </xf>
    <xf numFmtId="0" fontId="2" fillId="0" borderId="4" xfId="0" applyFont="1" applyBorder="1" applyAlignment="1">
      <alignment vertical="center"/>
    </xf>
    <xf numFmtId="0" fontId="2" fillId="0" borderId="2" xfId="0" applyFont="1" applyBorder="1" applyAlignment="1">
      <alignment horizontal="left" vertical="center" indent="1"/>
    </xf>
    <xf numFmtId="0" fontId="7" fillId="7" borderId="10" xfId="0" applyFont="1" applyFill="1" applyBorder="1" applyAlignment="1">
      <alignment vertical="center"/>
    </xf>
    <xf numFmtId="0" fontId="7" fillId="7" borderId="4" xfId="0" applyFont="1" applyFill="1" applyBorder="1" applyAlignment="1">
      <alignment vertical="center"/>
    </xf>
    <xf numFmtId="0" fontId="2" fillId="7" borderId="4" xfId="0" applyFont="1" applyFill="1" applyBorder="1" applyAlignment="1">
      <alignment vertical="center"/>
    </xf>
    <xf numFmtId="0" fontId="0" fillId="0" borderId="0" xfId="0" applyFont="1" applyAlignment="1">
      <alignment horizontal="center"/>
    </xf>
    <xf numFmtId="2" fontId="0" fillId="0" borderId="0" xfId="0" applyNumberFormat="1"/>
    <xf numFmtId="49" fontId="15" fillId="10" borderId="25" xfId="0" applyNumberFormat="1" applyFont="1" applyFill="1" applyBorder="1" applyAlignment="1">
      <alignment horizontal="center" vertical="center" wrapText="1"/>
    </xf>
    <xf numFmtId="0" fontId="17" fillId="10" borderId="31" xfId="3" applyFont="1" applyFill="1" applyBorder="1" applyAlignment="1">
      <alignment vertical="center" wrapText="1"/>
    </xf>
    <xf numFmtId="0" fontId="17" fillId="9" borderId="31" xfId="3" applyFont="1" applyFill="1" applyBorder="1" applyAlignment="1">
      <alignment vertical="center" wrapText="1"/>
    </xf>
    <xf numFmtId="0" fontId="17" fillId="14" borderId="31" xfId="3" applyFont="1" applyFill="1" applyBorder="1" applyAlignment="1">
      <alignment vertical="center" wrapText="1"/>
    </xf>
    <xf numFmtId="0" fontId="18" fillId="10" borderId="0" xfId="0" applyFont="1" applyFill="1"/>
    <xf numFmtId="0" fontId="0" fillId="0" borderId="0" xfId="0" applyFont="1"/>
    <xf numFmtId="0" fontId="0" fillId="10" borderId="0" xfId="0" applyFont="1" applyFill="1"/>
    <xf numFmtId="0" fontId="19" fillId="0" borderId="0" xfId="0" applyFont="1" applyAlignment="1">
      <alignment horizontal="center"/>
    </xf>
    <xf numFmtId="0" fontId="0" fillId="0" borderId="0" xfId="0" applyFont="1" applyAlignment="1">
      <alignment vertical="top"/>
    </xf>
    <xf numFmtId="0" fontId="0" fillId="10" borderId="0" xfId="0" applyFont="1" applyFill="1" applyAlignment="1">
      <alignment vertical="top"/>
    </xf>
    <xf numFmtId="0" fontId="0" fillId="0" borderId="0" xfId="0" applyFont="1" applyFill="1"/>
    <xf numFmtId="0" fontId="19" fillId="0" borderId="0" xfId="0" applyFont="1" applyAlignment="1">
      <alignment horizontal="center" vertical="center"/>
    </xf>
    <xf numFmtId="0" fontId="0" fillId="0" borderId="0" xfId="0" applyFont="1" applyAlignment="1">
      <alignment vertical="center"/>
    </xf>
    <xf numFmtId="0" fontId="0" fillId="0" borderId="0" xfId="0" applyFont="1" applyAlignment="1">
      <alignment horizontal="center" vertical="center"/>
    </xf>
    <xf numFmtId="0" fontId="20" fillId="0" borderId="0" xfId="0" applyFont="1" applyBorder="1" applyAlignment="1">
      <alignment vertical="center"/>
    </xf>
    <xf numFmtId="0" fontId="20" fillId="0" borderId="0" xfId="0" applyFont="1" applyBorder="1" applyAlignment="1">
      <alignment horizontal="center" vertical="center"/>
    </xf>
    <xf numFmtId="0" fontId="21" fillId="0" borderId="0" xfId="0" applyFont="1" applyAlignment="1">
      <alignment vertical="center"/>
    </xf>
    <xf numFmtId="0" fontId="21" fillId="0" borderId="0" xfId="0" applyFont="1" applyBorder="1" applyAlignment="1">
      <alignment vertical="center"/>
    </xf>
    <xf numFmtId="0" fontId="21" fillId="0" borderId="0" xfId="0" applyFont="1" applyAlignment="1">
      <alignment horizontal="center" vertical="center"/>
    </xf>
    <xf numFmtId="0" fontId="22" fillId="0" borderId="0" xfId="0" applyFont="1" applyBorder="1" applyAlignment="1">
      <alignment vertical="center"/>
    </xf>
    <xf numFmtId="0" fontId="20" fillId="0" borderId="0" xfId="0" applyFont="1" applyFill="1" applyAlignment="1">
      <alignment horizontal="center" vertical="center"/>
    </xf>
    <xf numFmtId="0" fontId="21" fillId="0" borderId="0" xfId="0" applyFont="1" applyFill="1" applyAlignment="1">
      <alignment vertical="center"/>
    </xf>
    <xf numFmtId="0" fontId="19" fillId="0" borderId="0" xfId="0" applyFont="1" applyBorder="1" applyAlignment="1">
      <alignment vertical="center"/>
    </xf>
    <xf numFmtId="0" fontId="21" fillId="0" borderId="0" xfId="0" applyFont="1" applyFill="1" applyBorder="1" applyAlignment="1">
      <alignment horizontal="center" vertical="center"/>
    </xf>
    <xf numFmtId="0" fontId="20" fillId="0" borderId="0" xfId="0" applyFont="1" applyFill="1" applyBorder="1" applyAlignment="1">
      <alignment horizontal="center" vertical="center"/>
    </xf>
    <xf numFmtId="0" fontId="21" fillId="0" borderId="0" xfId="0" applyFont="1" applyFill="1" applyBorder="1" applyAlignment="1">
      <alignment vertical="center"/>
    </xf>
    <xf numFmtId="3" fontId="21" fillId="0" borderId="0" xfId="0" applyNumberFormat="1" applyFont="1" applyFill="1" applyBorder="1" applyAlignment="1" applyProtection="1">
      <alignment horizontal="left" vertical="center"/>
      <protection locked="0"/>
    </xf>
    <xf numFmtId="0" fontId="21" fillId="0" borderId="0" xfId="0" applyFont="1" applyFill="1" applyAlignment="1">
      <alignment horizontal="center" vertical="center"/>
    </xf>
    <xf numFmtId="3" fontId="21" fillId="0" borderId="0" xfId="0" applyNumberFormat="1" applyFont="1" applyFill="1" applyBorder="1" applyAlignment="1" applyProtection="1">
      <alignment horizontal="left" vertical="center" indent="1"/>
      <protection locked="0"/>
    </xf>
    <xf numFmtId="3" fontId="20" fillId="0" borderId="0" xfId="0" applyNumberFormat="1" applyFont="1" applyBorder="1" applyAlignment="1" applyProtection="1">
      <alignment horizontal="left" vertical="center"/>
      <protection locked="0"/>
    </xf>
    <xf numFmtId="3" fontId="20" fillId="0" borderId="0" xfId="0" applyNumberFormat="1" applyFont="1" applyFill="1" applyBorder="1" applyAlignment="1" applyProtection="1">
      <alignment horizontal="left" vertical="center"/>
      <protection locked="0"/>
    </xf>
    <xf numFmtId="0" fontId="22" fillId="0" borderId="0" xfId="0" applyFont="1" applyAlignment="1">
      <alignment vertical="center"/>
    </xf>
    <xf numFmtId="0" fontId="21" fillId="0" borderId="0" xfId="0" applyFont="1" applyFill="1" applyBorder="1" applyAlignment="1">
      <alignment horizontal="left" vertical="center" indent="1"/>
    </xf>
    <xf numFmtId="0" fontId="19" fillId="0" borderId="0" xfId="0" applyFont="1" applyFill="1" applyBorder="1" applyAlignment="1">
      <alignment vertical="center"/>
    </xf>
    <xf numFmtId="0" fontId="21" fillId="0" borderId="0" xfId="0" applyFont="1" applyFill="1" applyBorder="1" applyAlignment="1">
      <alignment horizontal="left" vertical="center"/>
    </xf>
    <xf numFmtId="0" fontId="20" fillId="0" borderId="0" xfId="0" applyFont="1" applyAlignment="1">
      <alignment vertical="center"/>
    </xf>
    <xf numFmtId="0" fontId="20" fillId="0" borderId="0" xfId="0" applyFont="1" applyFill="1" applyBorder="1" applyAlignment="1">
      <alignment horizontal="right" vertical="center" indent="1"/>
    </xf>
    <xf numFmtId="0" fontId="20" fillId="0" borderId="0" xfId="0" applyFont="1" applyFill="1" applyAlignment="1">
      <alignment vertical="center"/>
    </xf>
    <xf numFmtId="0" fontId="20" fillId="0" borderId="0" xfId="0" applyFont="1" applyFill="1" applyBorder="1" applyAlignment="1">
      <alignment vertical="center"/>
    </xf>
    <xf numFmtId="0" fontId="21" fillId="10" borderId="0" xfId="0" applyFont="1" applyFill="1" applyAlignment="1">
      <alignment vertical="center"/>
    </xf>
    <xf numFmtId="0" fontId="20" fillId="10" borderId="0" xfId="0" applyFont="1" applyFill="1" applyBorder="1" applyAlignment="1">
      <alignment horizontal="center" vertical="center"/>
    </xf>
    <xf numFmtId="0" fontId="19" fillId="0" borderId="0" xfId="0" applyFont="1" applyFill="1" applyAlignment="1">
      <alignment horizontal="center" vertical="center"/>
    </xf>
    <xf numFmtId="0" fontId="0" fillId="0" borderId="0" xfId="0" applyFont="1" applyFill="1" applyAlignment="1">
      <alignment vertical="center"/>
    </xf>
    <xf numFmtId="0" fontId="23" fillId="0" borderId="0" xfId="0" applyFont="1" applyFill="1" applyBorder="1" applyAlignment="1">
      <alignment horizontal="left" vertical="center"/>
    </xf>
    <xf numFmtId="0" fontId="24" fillId="0" borderId="0" xfId="0" applyFont="1" applyFill="1" applyAlignment="1">
      <alignment vertical="center"/>
    </xf>
    <xf numFmtId="0" fontId="19" fillId="0" borderId="0" xfId="0" applyFont="1" applyFill="1" applyBorder="1" applyAlignment="1">
      <alignment horizontal="left" vertical="center"/>
    </xf>
    <xf numFmtId="0" fontId="21" fillId="10" borderId="0" xfId="0" applyFont="1" applyFill="1" applyBorder="1" applyAlignment="1">
      <alignment vertical="center"/>
    </xf>
    <xf numFmtId="0" fontId="23" fillId="0" borderId="0" xfId="0" applyFont="1" applyFill="1" applyBorder="1" applyAlignment="1">
      <alignment vertical="center"/>
    </xf>
    <xf numFmtId="0" fontId="25" fillId="0" borderId="0" xfId="0" applyFont="1" applyFill="1" applyBorder="1" applyAlignment="1">
      <alignment vertical="center"/>
    </xf>
    <xf numFmtId="0" fontId="26" fillId="0" borderId="0" xfId="0" applyFont="1" applyFill="1" applyAlignment="1">
      <alignment vertical="center"/>
    </xf>
    <xf numFmtId="0" fontId="24" fillId="0" borderId="0" xfId="0" applyFont="1" applyFill="1" applyBorder="1" applyAlignment="1">
      <alignment vertical="center"/>
    </xf>
    <xf numFmtId="0" fontId="24" fillId="0" borderId="0" xfId="0" applyFont="1" applyFill="1" applyBorder="1" applyAlignment="1">
      <alignment horizontal="center" vertical="center"/>
    </xf>
    <xf numFmtId="0" fontId="20" fillId="0" borderId="0" xfId="0" applyFont="1" applyAlignment="1">
      <alignment horizontal="center" vertical="center"/>
    </xf>
    <xf numFmtId="3" fontId="20" fillId="0" borderId="0" xfId="2" applyNumberFormat="1" applyFont="1" applyFill="1" applyBorder="1" applyAlignment="1" applyProtection="1">
      <alignment horizontal="center" vertical="center"/>
      <protection locked="0"/>
    </xf>
    <xf numFmtId="0" fontId="18" fillId="0" borderId="0" xfId="0" applyFont="1" applyBorder="1" applyAlignment="1">
      <alignment vertical="center"/>
    </xf>
    <xf numFmtId="3" fontId="20" fillId="0" borderId="0" xfId="0" applyNumberFormat="1" applyFont="1" applyFill="1" applyBorder="1" applyAlignment="1" applyProtection="1">
      <alignment horizontal="center" vertical="center"/>
      <protection locked="0"/>
    </xf>
    <xf numFmtId="3" fontId="20" fillId="0" borderId="0" xfId="0" applyNumberFormat="1" applyFont="1" applyFill="1" applyBorder="1" applyAlignment="1" applyProtection="1">
      <alignment vertical="center"/>
      <protection locked="0"/>
    </xf>
    <xf numFmtId="0" fontId="21" fillId="0" borderId="0" xfId="0" applyFont="1" applyBorder="1" applyAlignment="1">
      <alignment horizontal="center" vertical="center"/>
    </xf>
    <xf numFmtId="3" fontId="20" fillId="10" borderId="0" xfId="0" applyNumberFormat="1" applyFont="1" applyFill="1" applyBorder="1" applyAlignment="1" applyProtection="1">
      <alignment vertical="center"/>
      <protection locked="0"/>
    </xf>
    <xf numFmtId="3" fontId="20" fillId="10" borderId="0" xfId="0" applyNumberFormat="1" applyFont="1" applyFill="1" applyBorder="1" applyAlignment="1" applyProtection="1">
      <alignment horizontal="center" vertical="center"/>
      <protection locked="0"/>
    </xf>
    <xf numFmtId="3" fontId="20" fillId="10" borderId="0" xfId="2" applyNumberFormat="1" applyFont="1" applyFill="1" applyBorder="1" applyAlignment="1" applyProtection="1">
      <alignment horizontal="center" vertical="center"/>
      <protection locked="0"/>
    </xf>
    <xf numFmtId="0" fontId="18" fillId="0" borderId="0" xfId="0" applyFont="1" applyFill="1" applyBorder="1" applyAlignment="1">
      <alignment vertical="center"/>
    </xf>
    <xf numFmtId="0" fontId="24" fillId="0" borderId="0" xfId="0" applyFont="1" applyFill="1" applyAlignment="1">
      <alignment horizontal="left" vertical="center"/>
    </xf>
    <xf numFmtId="0" fontId="22" fillId="0" borderId="0" xfId="0" applyFont="1" applyBorder="1" applyAlignment="1">
      <alignment horizontal="center" vertical="center"/>
    </xf>
    <xf numFmtId="0" fontId="21" fillId="10" borderId="0" xfId="0" applyFont="1" applyFill="1" applyAlignment="1">
      <alignment vertical="top"/>
    </xf>
    <xf numFmtId="0" fontId="21" fillId="0" borderId="0" xfId="0" applyFont="1" applyAlignment="1">
      <alignment vertical="top"/>
    </xf>
    <xf numFmtId="0" fontId="20" fillId="0" borderId="0" xfId="0" applyFont="1" applyAlignment="1">
      <alignment horizontal="left" vertical="center"/>
    </xf>
    <xf numFmtId="0" fontId="20" fillId="0" borderId="0" xfId="0" applyFont="1" applyFill="1" applyAlignment="1">
      <alignment horizontal="left" vertical="center"/>
    </xf>
    <xf numFmtId="0" fontId="21" fillId="0" borderId="0" xfId="0" applyFont="1" applyBorder="1" applyAlignment="1">
      <alignment horizontal="left" vertical="center" indent="1"/>
    </xf>
    <xf numFmtId="0" fontId="19" fillId="0" borderId="0" xfId="0" applyFont="1" applyBorder="1" applyAlignment="1">
      <alignment horizontal="center" vertical="center"/>
    </xf>
    <xf numFmtId="0" fontId="0" fillId="0" borderId="25" xfId="0" applyFont="1" applyBorder="1" applyAlignment="1">
      <alignment horizontal="center" vertical="center"/>
    </xf>
    <xf numFmtId="0" fontId="18" fillId="10" borderId="0" xfId="0" applyFont="1" applyFill="1" applyBorder="1" applyAlignment="1">
      <alignment horizontal="left" vertical="center"/>
    </xf>
    <xf numFmtId="0" fontId="0" fillId="12" borderId="25" xfId="0" applyFont="1" applyFill="1" applyBorder="1" applyAlignment="1">
      <alignment horizontal="center" vertical="top"/>
    </xf>
    <xf numFmtId="0" fontId="0" fillId="12" borderId="25" xfId="0" applyFont="1" applyFill="1" applyBorder="1" applyAlignment="1">
      <alignment horizontal="center" vertical="center" wrapText="1"/>
    </xf>
    <xf numFmtId="0" fontId="0" fillId="10" borderId="0" xfId="0" applyFont="1" applyFill="1" applyBorder="1" applyAlignment="1">
      <alignment horizontal="left" vertical="center"/>
    </xf>
    <xf numFmtId="3" fontId="0" fillId="10" borderId="0" xfId="0" applyNumberFormat="1" applyFont="1" applyFill="1" applyBorder="1" applyAlignment="1" applyProtection="1">
      <alignment vertical="center"/>
      <protection hidden="1"/>
    </xf>
    <xf numFmtId="3" fontId="0" fillId="10" borderId="0" xfId="0" applyNumberFormat="1" applyFont="1" applyFill="1" applyBorder="1" applyAlignment="1" applyProtection="1">
      <alignment vertical="center" wrapText="1"/>
      <protection hidden="1"/>
    </xf>
    <xf numFmtId="0" fontId="0" fillId="0" borderId="0" xfId="0" applyFont="1" applyBorder="1" applyAlignment="1">
      <alignment horizontal="left" vertical="top" wrapText="1"/>
    </xf>
    <xf numFmtId="0" fontId="0" fillId="0" borderId="0" xfId="0" applyFont="1" applyBorder="1" applyAlignment="1">
      <alignment horizontal="center" vertical="top" wrapText="1"/>
    </xf>
    <xf numFmtId="0" fontId="0" fillId="10" borderId="0" xfId="0" applyFont="1" applyFill="1" applyBorder="1" applyAlignment="1">
      <alignment horizontal="center" vertical="top" wrapText="1"/>
    </xf>
    <xf numFmtId="0" fontId="0" fillId="0" borderId="0" xfId="0" applyFont="1" applyBorder="1" applyAlignment="1">
      <alignment horizontal="center" vertical="top"/>
    </xf>
    <xf numFmtId="0" fontId="20" fillId="0" borderId="0" xfId="0" applyFont="1" applyAlignment="1">
      <alignment horizontal="right" vertical="center" indent="1"/>
    </xf>
    <xf numFmtId="0" fontId="21" fillId="10" borderId="0" xfId="0" applyFont="1" applyFill="1" applyBorder="1" applyAlignment="1">
      <alignment horizontal="left" vertical="center"/>
    </xf>
    <xf numFmtId="0" fontId="18" fillId="5" borderId="25" xfId="0" applyFont="1" applyFill="1" applyBorder="1" applyAlignment="1">
      <alignment horizontal="center" vertical="center" wrapText="1"/>
    </xf>
    <xf numFmtId="0" fontId="20" fillId="0" borderId="0" xfId="0" applyFont="1" applyFill="1" applyBorder="1" applyAlignment="1">
      <alignment horizontal="left" vertical="center"/>
    </xf>
    <xf numFmtId="0" fontId="0" fillId="0" borderId="0" xfId="0" applyFont="1" applyFill="1" applyBorder="1" applyAlignment="1">
      <alignment horizontal="left" vertical="center" indent="1"/>
    </xf>
    <xf numFmtId="3" fontId="20" fillId="0" borderId="0" xfId="0" applyNumberFormat="1" applyFont="1" applyFill="1" applyAlignment="1">
      <alignment vertical="center"/>
    </xf>
    <xf numFmtId="3" fontId="20" fillId="0" borderId="0" xfId="0" applyNumberFormat="1" applyFont="1" applyFill="1" applyAlignment="1">
      <alignment horizontal="center" vertical="center"/>
    </xf>
    <xf numFmtId="3" fontId="21" fillId="0" borderId="0" xfId="0" applyNumberFormat="1" applyFont="1" applyAlignment="1">
      <alignment vertical="center"/>
    </xf>
    <xf numFmtId="3" fontId="19" fillId="0" borderId="0" xfId="0" applyNumberFormat="1" applyFont="1" applyAlignment="1">
      <alignment horizontal="center" vertical="center"/>
    </xf>
    <xf numFmtId="3" fontId="20" fillId="0" borderId="0" xfId="0" applyNumberFormat="1" applyFont="1" applyBorder="1" applyAlignment="1">
      <alignment vertical="center"/>
    </xf>
    <xf numFmtId="3" fontId="19" fillId="0" borderId="0" xfId="0" applyNumberFormat="1" applyFont="1" applyFill="1" applyBorder="1" applyAlignment="1">
      <alignment horizontal="center" vertical="center"/>
    </xf>
    <xf numFmtId="3" fontId="21" fillId="0" borderId="0" xfId="0" applyNumberFormat="1" applyFont="1" applyFill="1" applyAlignment="1">
      <alignment vertical="center"/>
    </xf>
    <xf numFmtId="3" fontId="21" fillId="0" borderId="0" xfId="0" applyNumberFormat="1" applyFont="1" applyFill="1" applyAlignment="1">
      <alignment horizontal="center" vertical="center"/>
    </xf>
    <xf numFmtId="3" fontId="21" fillId="0" borderId="0" xfId="0" quotePrefix="1" applyNumberFormat="1" applyFont="1" applyFill="1" applyAlignment="1">
      <alignment vertical="center"/>
    </xf>
    <xf numFmtId="3" fontId="20" fillId="0" borderId="0" xfId="0" applyNumberFormat="1" applyFont="1" applyFill="1" applyBorder="1" applyAlignment="1">
      <alignment vertical="center"/>
    </xf>
    <xf numFmtId="3" fontId="21" fillId="0" borderId="0" xfId="0" applyNumberFormat="1" applyFont="1" applyFill="1" applyBorder="1" applyAlignment="1">
      <alignment vertical="center"/>
    </xf>
    <xf numFmtId="3" fontId="21" fillId="0" borderId="0" xfId="0" applyNumberFormat="1" applyFont="1" applyFill="1" applyBorder="1" applyAlignment="1">
      <alignment horizontal="center" vertical="center"/>
    </xf>
    <xf numFmtId="3" fontId="19" fillId="0" borderId="0" xfId="0" applyNumberFormat="1" applyFont="1" applyBorder="1" applyAlignment="1">
      <alignment horizontal="center" vertical="center"/>
    </xf>
    <xf numFmtId="3" fontId="19" fillId="0" borderId="0" xfId="0" applyNumberFormat="1" applyFont="1" applyFill="1" applyAlignment="1">
      <alignment horizontal="center" vertical="center"/>
    </xf>
    <xf numFmtId="3" fontId="21" fillId="0" borderId="0" xfId="0" applyNumberFormat="1" applyFont="1" applyFill="1" applyBorder="1" applyAlignment="1">
      <alignment horizontal="left" vertical="center"/>
    </xf>
    <xf numFmtId="3" fontId="21" fillId="0" borderId="0" xfId="0" applyNumberFormat="1" applyFont="1" applyBorder="1" applyAlignment="1">
      <alignment vertical="center"/>
    </xf>
    <xf numFmtId="3" fontId="21" fillId="0" borderId="0" xfId="0" applyNumberFormat="1" applyFont="1" applyAlignment="1">
      <alignment horizontal="center" vertical="center"/>
    </xf>
    <xf numFmtId="14" fontId="0" fillId="0" borderId="0" xfId="0" applyNumberFormat="1" applyFont="1" applyAlignment="1">
      <alignment vertical="center"/>
    </xf>
    <xf numFmtId="164" fontId="0" fillId="0" borderId="0" xfId="0" applyNumberFormat="1" applyFont="1" applyAlignment="1">
      <alignment vertical="center"/>
    </xf>
    <xf numFmtId="49" fontId="28" fillId="0" borderId="0" xfId="0" applyNumberFormat="1" applyFont="1" applyFill="1" applyAlignment="1">
      <alignment vertical="center"/>
    </xf>
    <xf numFmtId="0" fontId="13" fillId="0" borderId="0" xfId="0" applyFont="1" applyFill="1" applyAlignment="1">
      <alignment vertical="center"/>
    </xf>
    <xf numFmtId="0" fontId="13" fillId="0" borderId="0" xfId="0" applyFont="1" applyFill="1" applyAlignment="1">
      <alignment horizontal="center" vertical="center"/>
    </xf>
    <xf numFmtId="0" fontId="29" fillId="0" borderId="0" xfId="0" applyFont="1" applyFill="1" applyAlignment="1">
      <alignment vertical="center"/>
    </xf>
    <xf numFmtId="0" fontId="30" fillId="0" borderId="0" xfId="0" applyFont="1" applyFill="1" applyAlignment="1">
      <alignment vertical="center"/>
    </xf>
    <xf numFmtId="0" fontId="29" fillId="0" borderId="0" xfId="0" applyFont="1" applyFill="1" applyAlignment="1">
      <alignment horizontal="center" vertical="center"/>
    </xf>
    <xf numFmtId="0" fontId="31" fillId="0" borderId="0" xfId="0" applyFont="1" applyAlignment="1">
      <alignment vertical="center"/>
    </xf>
    <xf numFmtId="0" fontId="20" fillId="11" borderId="25" xfId="0" applyFont="1" applyFill="1" applyBorder="1" applyAlignment="1">
      <alignment horizontal="center" vertical="center"/>
    </xf>
    <xf numFmtId="0" fontId="21" fillId="11" borderId="25" xfId="0" applyFont="1" applyFill="1" applyBorder="1" applyAlignment="1">
      <alignment vertical="center"/>
    </xf>
    <xf numFmtId="0" fontId="20" fillId="5" borderId="25" xfId="0" applyFont="1" applyFill="1" applyBorder="1" applyAlignment="1">
      <alignment horizontal="center" vertical="center"/>
    </xf>
    <xf numFmtId="0" fontId="20" fillId="0" borderId="25" xfId="0" applyFont="1" applyFill="1" applyBorder="1" applyAlignment="1">
      <alignment vertical="center"/>
    </xf>
    <xf numFmtId="0" fontId="20" fillId="3" borderId="25" xfId="0" applyFont="1" applyFill="1" applyBorder="1" applyAlignment="1">
      <alignment horizontal="center" vertical="center"/>
    </xf>
    <xf numFmtId="0" fontId="20" fillId="11" borderId="25" xfId="0" applyFont="1" applyFill="1" applyBorder="1" applyAlignment="1">
      <alignment horizontal="center" vertical="center"/>
    </xf>
    <xf numFmtId="0" fontId="19" fillId="0" borderId="0" xfId="0" applyFont="1" applyAlignment="1">
      <alignment vertical="center"/>
    </xf>
    <xf numFmtId="0" fontId="20" fillId="11" borderId="25" xfId="0" quotePrefix="1" applyFont="1" applyFill="1" applyBorder="1" applyAlignment="1">
      <alignment horizontal="center" vertical="center"/>
    </xf>
    <xf numFmtId="0" fontId="21" fillId="0" borderId="25" xfId="0" applyFont="1" applyBorder="1" applyAlignment="1">
      <alignment horizontal="center" vertical="center"/>
    </xf>
    <xf numFmtId="0" fontId="20" fillId="11" borderId="25" xfId="0" applyFont="1" applyFill="1" applyBorder="1" applyAlignment="1">
      <alignment horizontal="center" vertical="center"/>
    </xf>
    <xf numFmtId="0" fontId="19" fillId="0" borderId="0" xfId="0" applyFont="1" applyAlignment="1">
      <alignment horizontal="center" vertical="center"/>
    </xf>
    <xf numFmtId="0" fontId="21" fillId="0" borderId="0" xfId="0" applyFont="1" applyFill="1" applyAlignment="1">
      <alignment vertical="center"/>
    </xf>
    <xf numFmtId="0" fontId="21" fillId="0" borderId="0" xfId="0" applyFont="1" applyFill="1" applyBorder="1" applyAlignment="1">
      <alignment horizontal="center" vertical="center"/>
    </xf>
    <xf numFmtId="0" fontId="20" fillId="0" borderId="0" xfId="0" applyFont="1" applyFill="1" applyBorder="1" applyAlignment="1">
      <alignment horizontal="center" vertical="center"/>
    </xf>
    <xf numFmtId="0" fontId="21" fillId="0" borderId="0" xfId="0" applyFont="1" applyFill="1" applyBorder="1" applyAlignment="1">
      <alignment vertical="center"/>
    </xf>
    <xf numFmtId="0" fontId="21" fillId="0" borderId="0" xfId="0" applyFont="1" applyFill="1" applyAlignment="1">
      <alignment horizontal="center" vertical="center"/>
    </xf>
    <xf numFmtId="0" fontId="21" fillId="0" borderId="0" xfId="0" applyFont="1" applyFill="1" applyBorder="1" applyAlignment="1">
      <alignment horizontal="left" vertical="center" indent="1"/>
    </xf>
    <xf numFmtId="0" fontId="20" fillId="0" borderId="0" xfId="0" applyFont="1" applyFill="1" applyAlignment="1">
      <alignment vertical="center"/>
    </xf>
    <xf numFmtId="0" fontId="20" fillId="0" borderId="0" xfId="0" applyFont="1" applyFill="1" applyBorder="1" applyAlignment="1">
      <alignment vertical="center"/>
    </xf>
    <xf numFmtId="0" fontId="19" fillId="0" borderId="0" xfId="0" applyFont="1" applyFill="1" applyAlignment="1">
      <alignment horizontal="center" vertical="center"/>
    </xf>
    <xf numFmtId="0" fontId="20" fillId="11" borderId="25" xfId="0" applyFont="1" applyFill="1" applyBorder="1" applyAlignment="1">
      <alignment horizontal="center" vertical="center"/>
    </xf>
    <xf numFmtId="0" fontId="20" fillId="0" borderId="0" xfId="0" applyFont="1" applyFill="1" applyBorder="1" applyAlignment="1">
      <alignment horizontal="left" vertical="center" indent="1"/>
    </xf>
    <xf numFmtId="0" fontId="32" fillId="0" borderId="0" xfId="0" applyFont="1" applyFill="1" applyBorder="1" applyAlignment="1">
      <alignment vertical="center"/>
    </xf>
    <xf numFmtId="3" fontId="20" fillId="11" borderId="25" xfId="2" applyNumberFormat="1" applyFont="1" applyFill="1" applyBorder="1" applyAlignment="1" applyProtection="1">
      <alignment horizontal="center" vertical="center"/>
      <protection locked="0"/>
    </xf>
    <xf numFmtId="0" fontId="20" fillId="11" borderId="25" xfId="0" applyFont="1" applyFill="1" applyBorder="1" applyAlignment="1">
      <alignment horizontal="center" vertical="center"/>
    </xf>
    <xf numFmtId="3" fontId="20" fillId="11" borderId="25" xfId="2" applyNumberFormat="1" applyFont="1" applyFill="1" applyBorder="1" applyAlignment="1" applyProtection="1">
      <alignment horizontal="center" vertical="center"/>
      <protection locked="0"/>
    </xf>
    <xf numFmtId="3" fontId="0" fillId="10" borderId="27" xfId="0" applyNumberFormat="1" applyFont="1" applyFill="1" applyBorder="1" applyAlignment="1" applyProtection="1">
      <alignment vertical="center"/>
      <protection locked="0"/>
    </xf>
    <xf numFmtId="3" fontId="0" fillId="10" borderId="26" xfId="0" applyNumberFormat="1" applyFont="1" applyFill="1" applyBorder="1" applyAlignment="1" applyProtection="1">
      <alignment vertical="center"/>
      <protection locked="0"/>
    </xf>
    <xf numFmtId="0" fontId="18" fillId="11" borderId="38" xfId="0" applyFont="1" applyFill="1" applyBorder="1" applyAlignment="1">
      <alignment horizontal="center"/>
    </xf>
    <xf numFmtId="0" fontId="18" fillId="11" borderId="25" xfId="0" applyFont="1" applyFill="1" applyBorder="1" applyAlignment="1" applyProtection="1">
      <alignment horizontal="center" vertical="center"/>
      <protection locked="0"/>
    </xf>
    <xf numFmtId="0" fontId="18" fillId="11" borderId="32" xfId="0" applyFont="1" applyFill="1" applyBorder="1" applyAlignment="1">
      <alignment horizontal="center"/>
    </xf>
    <xf numFmtId="3" fontId="18" fillId="11" borderId="25" xfId="2" applyNumberFormat="1" applyFont="1" applyFill="1" applyBorder="1" applyAlignment="1" applyProtection="1">
      <alignment horizontal="center" vertical="center"/>
      <protection locked="0"/>
    </xf>
    <xf numFmtId="0" fontId="20" fillId="0" borderId="0" xfId="0" applyFont="1" applyFill="1" applyAlignment="1">
      <alignment horizontal="right" vertical="center" indent="1"/>
    </xf>
    <xf numFmtId="0" fontId="27" fillId="0" borderId="0" xfId="0" applyFont="1" applyFill="1" applyBorder="1" applyAlignment="1">
      <alignment horizontal="left" vertical="center"/>
    </xf>
    <xf numFmtId="0" fontId="0" fillId="0" borderId="0" xfId="0" applyFont="1" applyFill="1" applyBorder="1" applyAlignment="1">
      <alignment horizontal="left" vertical="center"/>
    </xf>
    <xf numFmtId="3" fontId="0" fillId="0" borderId="0" xfId="0" applyNumberFormat="1" applyFont="1" applyFill="1" applyBorder="1" applyAlignment="1" applyProtection="1">
      <alignment vertical="center"/>
      <protection hidden="1"/>
    </xf>
    <xf numFmtId="3" fontId="0" fillId="0" borderId="0" xfId="0" applyNumberFormat="1" applyFont="1" applyFill="1" applyBorder="1" applyAlignment="1" applyProtection="1">
      <alignment vertical="center" wrapText="1"/>
      <protection hidden="1"/>
    </xf>
    <xf numFmtId="0" fontId="20" fillId="11" borderId="25" xfId="0" applyFont="1" applyFill="1" applyBorder="1" applyAlignment="1">
      <alignment vertical="center"/>
    </xf>
    <xf numFmtId="3" fontId="21" fillId="0" borderId="25" xfId="0" applyNumberFormat="1" applyFont="1" applyFill="1" applyBorder="1" applyAlignment="1" applyProtection="1">
      <alignment horizontal="center" vertical="center"/>
      <protection hidden="1"/>
    </xf>
    <xf numFmtId="3" fontId="21" fillId="0" borderId="25" xfId="0" applyNumberFormat="1" applyFont="1" applyBorder="1" applyAlignment="1" applyProtection="1">
      <alignment horizontal="center" vertical="center"/>
      <protection hidden="1"/>
    </xf>
    <xf numFmtId="0" fontId="19" fillId="0" borderId="0" xfId="0" applyFont="1" applyFill="1" applyBorder="1" applyAlignment="1">
      <alignment horizontal="center" vertical="center"/>
    </xf>
    <xf numFmtId="0" fontId="18" fillId="0" borderId="0" xfId="0" applyFont="1" applyFill="1" applyBorder="1" applyAlignment="1">
      <alignment horizontal="left" vertical="center"/>
    </xf>
    <xf numFmtId="0" fontId="0" fillId="0" borderId="0" xfId="0" applyFont="1" applyFill="1" applyBorder="1" applyAlignment="1">
      <alignment horizontal="left" vertical="top" wrapText="1"/>
    </xf>
    <xf numFmtId="0" fontId="0" fillId="0" borderId="0" xfId="0" applyFont="1" applyFill="1" applyBorder="1"/>
    <xf numFmtId="0" fontId="0" fillId="0" borderId="0" xfId="0" applyFont="1" applyFill="1" applyBorder="1" applyAlignment="1">
      <alignment wrapText="1"/>
    </xf>
    <xf numFmtId="0" fontId="0" fillId="0" borderId="0" xfId="0" applyFont="1" applyFill="1" applyBorder="1" applyAlignment="1">
      <alignment horizontal="center" vertical="center"/>
    </xf>
    <xf numFmtId="0" fontId="0" fillId="12" borderId="25" xfId="0" applyFont="1" applyFill="1" applyBorder="1" applyAlignment="1">
      <alignment horizontal="center"/>
    </xf>
    <xf numFmtId="0" fontId="0" fillId="10" borderId="0" xfId="0" applyFont="1" applyFill="1" applyAlignment="1"/>
    <xf numFmtId="0" fontId="21" fillId="10" borderId="0" xfId="0" applyFont="1" applyFill="1" applyAlignment="1">
      <alignment horizontal="center" vertical="center"/>
    </xf>
    <xf numFmtId="0" fontId="33" fillId="0" borderId="0" xfId="0" applyFont="1" applyFill="1" applyBorder="1" applyAlignment="1">
      <alignment vertical="center"/>
    </xf>
    <xf numFmtId="3" fontId="20" fillId="11" borderId="25" xfId="2" applyNumberFormat="1" applyFont="1" applyFill="1" applyBorder="1" applyAlignment="1" applyProtection="1">
      <alignment horizontal="center" vertical="center"/>
      <protection locked="0"/>
    </xf>
    <xf numFmtId="0" fontId="20" fillId="11" borderId="25" xfId="0" applyFont="1" applyFill="1" applyBorder="1" applyAlignment="1">
      <alignment horizontal="center" vertical="center" wrapText="1"/>
    </xf>
    <xf numFmtId="0" fontId="18" fillId="11" borderId="25" xfId="0" applyFont="1" applyFill="1" applyBorder="1" applyAlignment="1">
      <alignment horizontal="center" vertical="center" wrapText="1"/>
    </xf>
    <xf numFmtId="3" fontId="0" fillId="0" borderId="25" xfId="0" applyNumberFormat="1" applyFont="1" applyBorder="1" applyAlignment="1">
      <alignment horizontal="center"/>
    </xf>
    <xf numFmtId="3" fontId="0" fillId="10" borderId="25" xfId="0" applyNumberFormat="1" applyFont="1" applyFill="1" applyBorder="1" applyAlignment="1" applyProtection="1">
      <alignment horizontal="center" vertical="top"/>
      <protection hidden="1"/>
    </xf>
    <xf numFmtId="3" fontId="20" fillId="0" borderId="25" xfId="0" applyNumberFormat="1" applyFont="1" applyFill="1" applyBorder="1" applyAlignment="1" applyProtection="1">
      <alignment horizontal="center" vertical="center"/>
    </xf>
    <xf numFmtId="3" fontId="21" fillId="0" borderId="25" xfId="0" applyNumberFormat="1" applyFont="1" applyFill="1" applyBorder="1" applyAlignment="1" applyProtection="1">
      <alignment horizontal="center" vertical="center"/>
      <protection locked="0"/>
    </xf>
    <xf numFmtId="0" fontId="0" fillId="8" borderId="25" xfId="0" applyFont="1" applyFill="1" applyBorder="1" applyAlignment="1">
      <alignment horizontal="center" vertical="center" wrapText="1"/>
    </xf>
    <xf numFmtId="3" fontId="21" fillId="0" borderId="25" xfId="0" applyNumberFormat="1" applyFont="1" applyFill="1" applyBorder="1" applyAlignment="1">
      <alignment horizontal="center" vertical="center"/>
    </xf>
    <xf numFmtId="3" fontId="20" fillId="0" borderId="25" xfId="0" applyNumberFormat="1" applyFont="1" applyFill="1" applyBorder="1" applyAlignment="1">
      <alignment horizontal="center" vertical="center"/>
    </xf>
    <xf numFmtId="0" fontId="25" fillId="15" borderId="0" xfId="0" applyFont="1" applyFill="1" applyBorder="1" applyAlignment="1">
      <alignment vertical="center"/>
    </xf>
    <xf numFmtId="0" fontId="21" fillId="15" borderId="0" xfId="0" applyFont="1" applyFill="1" applyAlignment="1">
      <alignment vertical="center"/>
    </xf>
    <xf numFmtId="0" fontId="20" fillId="11" borderId="25" xfId="0" applyFont="1" applyFill="1" applyBorder="1" applyAlignment="1">
      <alignment horizontal="center" vertical="center"/>
    </xf>
    <xf numFmtId="0" fontId="21" fillId="0" borderId="27" xfId="0" applyFont="1" applyFill="1" applyBorder="1" applyAlignment="1">
      <alignment horizontal="left" vertical="center" indent="1"/>
    </xf>
    <xf numFmtId="0" fontId="21" fillId="0" borderId="25" xfId="0" applyFont="1" applyFill="1" applyBorder="1" applyAlignment="1">
      <alignment horizontal="center" vertical="center"/>
    </xf>
    <xf numFmtId="0" fontId="21" fillId="0" borderId="26" xfId="0" applyFont="1" applyFill="1" applyBorder="1" applyAlignment="1">
      <alignment vertical="center"/>
    </xf>
    <xf numFmtId="0" fontId="21" fillId="0" borderId="29" xfId="0" applyFont="1" applyFill="1" applyBorder="1" applyAlignment="1">
      <alignment vertical="center"/>
    </xf>
    <xf numFmtId="0" fontId="20" fillId="8" borderId="25" xfId="0" applyFont="1" applyFill="1" applyBorder="1" applyAlignment="1">
      <alignment horizontal="center" vertical="center"/>
    </xf>
    <xf numFmtId="0" fontId="20" fillId="9" borderId="25" xfId="0" applyFont="1" applyFill="1" applyBorder="1" applyAlignment="1">
      <alignment horizontal="center" vertical="center"/>
    </xf>
    <xf numFmtId="0" fontId="20" fillId="8" borderId="25" xfId="0" applyFont="1" applyFill="1" applyBorder="1" applyAlignment="1">
      <alignment horizontal="center" vertical="center"/>
    </xf>
    <xf numFmtId="0" fontId="21" fillId="0" borderId="27" xfId="0" applyFont="1" applyFill="1" applyBorder="1" applyAlignment="1">
      <alignment horizontal="left" vertical="center" indent="1"/>
    </xf>
    <xf numFmtId="0" fontId="31" fillId="12" borderId="25" xfId="0" applyFont="1" applyFill="1" applyBorder="1" applyAlignment="1">
      <alignment horizontal="center" vertical="center"/>
    </xf>
    <xf numFmtId="0" fontId="18" fillId="0" borderId="0" xfId="0" applyFont="1" applyFill="1" applyAlignment="1">
      <alignment vertical="center"/>
    </xf>
    <xf numFmtId="0" fontId="20" fillId="8" borderId="25" xfId="0" applyFont="1" applyFill="1" applyBorder="1" applyAlignment="1">
      <alignment horizontal="center" vertical="center"/>
    </xf>
    <xf numFmtId="0" fontId="0" fillId="10" borderId="25" xfId="0" applyFont="1" applyFill="1" applyBorder="1" applyAlignment="1">
      <alignment horizontal="center" vertical="center"/>
    </xf>
    <xf numFmtId="0" fontId="21" fillId="0" borderId="27" xfId="0" applyFont="1" applyFill="1" applyBorder="1" applyAlignment="1">
      <alignment horizontal="left" vertical="center" indent="1"/>
    </xf>
    <xf numFmtId="0" fontId="21" fillId="0" borderId="25" xfId="0" applyFont="1" applyFill="1" applyBorder="1" applyAlignment="1">
      <alignment horizontal="left" vertical="center" indent="1"/>
    </xf>
    <xf numFmtId="0" fontId="20" fillId="11" borderId="25" xfId="0" applyFont="1" applyFill="1" applyBorder="1" applyAlignment="1">
      <alignment horizontal="center" vertical="center" wrapText="1"/>
    </xf>
    <xf numFmtId="0" fontId="21" fillId="0" borderId="25" xfId="0" quotePrefix="1" applyFont="1" applyBorder="1" applyAlignment="1">
      <alignment horizontal="center" vertical="center"/>
    </xf>
    <xf numFmtId="0" fontId="20" fillId="0" borderId="25" xfId="0" quotePrefix="1" applyFont="1" applyFill="1" applyBorder="1" applyAlignment="1">
      <alignment horizontal="center" vertical="center"/>
    </xf>
    <xf numFmtId="0" fontId="21" fillId="0" borderId="25" xfId="0" quotePrefix="1" applyFont="1" applyFill="1" applyBorder="1" applyAlignment="1">
      <alignment horizontal="center" vertical="center"/>
    </xf>
    <xf numFmtId="0" fontId="21" fillId="10" borderId="25" xfId="0" applyFont="1" applyFill="1" applyBorder="1" applyAlignment="1">
      <alignment horizontal="center" vertical="center"/>
    </xf>
    <xf numFmtId="0" fontId="21" fillId="13" borderId="25" xfId="0" applyFont="1" applyFill="1" applyBorder="1" applyAlignment="1">
      <alignment horizontal="center" vertical="center"/>
    </xf>
    <xf numFmtId="0" fontId="21" fillId="9" borderId="25" xfId="0" applyFont="1" applyFill="1" applyBorder="1" applyAlignment="1">
      <alignment horizontal="center" vertical="center"/>
    </xf>
    <xf numFmtId="0" fontId="21" fillId="6" borderId="25" xfId="0" applyFont="1" applyFill="1" applyBorder="1" applyAlignment="1">
      <alignment horizontal="center" vertical="center"/>
    </xf>
    <xf numFmtId="0" fontId="21" fillId="16" borderId="25" xfId="0" applyFont="1" applyFill="1" applyBorder="1" applyAlignment="1">
      <alignment horizontal="center" vertical="center"/>
    </xf>
    <xf numFmtId="3" fontId="21" fillId="9" borderId="25" xfId="0" applyNumberFormat="1" applyFont="1" applyFill="1" applyBorder="1" applyAlignment="1">
      <alignment horizontal="center" vertical="center"/>
    </xf>
    <xf numFmtId="3" fontId="21" fillId="17" borderId="25" xfId="0" applyNumberFormat="1" applyFont="1" applyFill="1" applyBorder="1" applyAlignment="1" applyProtection="1">
      <alignment horizontal="center" vertical="center"/>
      <protection locked="0"/>
    </xf>
    <xf numFmtId="3" fontId="21" fillId="16" borderId="25" xfId="0" applyNumberFormat="1" applyFont="1" applyFill="1" applyBorder="1" applyAlignment="1" applyProtection="1">
      <alignment horizontal="center" vertical="center"/>
      <protection hidden="1"/>
    </xf>
    <xf numFmtId="0" fontId="21" fillId="0" borderId="25" xfId="0" applyFont="1" applyBorder="1" applyAlignment="1">
      <alignment horizontal="center" vertical="top"/>
    </xf>
    <xf numFmtId="3" fontId="21" fillId="11" borderId="25" xfId="0" applyNumberFormat="1" applyFont="1" applyFill="1" applyBorder="1" applyAlignment="1" applyProtection="1">
      <alignment horizontal="center" vertical="top"/>
      <protection hidden="1"/>
    </xf>
    <xf numFmtId="3" fontId="21" fillId="0" borderId="25" xfId="0" applyNumberFormat="1" applyFont="1" applyBorder="1" applyAlignment="1" applyProtection="1">
      <alignment horizontal="center" vertical="top"/>
      <protection hidden="1"/>
    </xf>
    <xf numFmtId="3" fontId="18" fillId="0" borderId="25" xfId="0" applyNumberFormat="1" applyFont="1" applyBorder="1" applyAlignment="1">
      <alignment horizontal="center"/>
    </xf>
    <xf numFmtId="0" fontId="18" fillId="0" borderId="25" xfId="0" applyFont="1" applyBorder="1" applyAlignment="1">
      <alignment horizontal="center" vertical="center"/>
    </xf>
    <xf numFmtId="3" fontId="18" fillId="10" borderId="25" xfId="0" applyNumberFormat="1" applyFont="1" applyFill="1" applyBorder="1" applyAlignment="1">
      <alignment horizontal="center" vertical="center"/>
    </xf>
    <xf numFmtId="0" fontId="18" fillId="10" borderId="25" xfId="0" applyFont="1" applyFill="1" applyBorder="1" applyAlignment="1">
      <alignment horizontal="center" vertical="center"/>
    </xf>
    <xf numFmtId="0" fontId="0" fillId="11" borderId="25" xfId="0" applyFont="1" applyFill="1" applyBorder="1" applyAlignment="1">
      <alignment horizontal="center" vertical="center"/>
    </xf>
    <xf numFmtId="0" fontId="0" fillId="8" borderId="25" xfId="0" applyFont="1" applyFill="1" applyBorder="1" applyAlignment="1">
      <alignment horizontal="center" vertical="center"/>
    </xf>
    <xf numFmtId="3" fontId="0" fillId="6" borderId="25" xfId="0" applyNumberFormat="1" applyFont="1" applyFill="1" applyBorder="1" applyAlignment="1">
      <alignment horizontal="center" vertical="center"/>
    </xf>
    <xf numFmtId="3" fontId="18" fillId="6" borderId="25" xfId="0" applyNumberFormat="1" applyFont="1" applyFill="1" applyBorder="1" applyAlignment="1">
      <alignment horizontal="center" vertical="center"/>
    </xf>
    <xf numFmtId="0" fontId="18" fillId="12" borderId="25" xfId="0" applyFont="1" applyFill="1" applyBorder="1" applyAlignment="1">
      <alignment horizontal="center" vertical="center"/>
    </xf>
    <xf numFmtId="3" fontId="18" fillId="0" borderId="25" xfId="0" applyNumberFormat="1" applyFont="1" applyBorder="1" applyAlignment="1">
      <alignment horizontal="center" vertical="top"/>
    </xf>
    <xf numFmtId="0" fontId="18" fillId="0" borderId="25" xfId="0" applyFont="1" applyBorder="1" applyAlignment="1">
      <alignment horizontal="center" wrapText="1"/>
    </xf>
    <xf numFmtId="0" fontId="20" fillId="8" borderId="25" xfId="0" applyFont="1" applyFill="1" applyBorder="1" applyAlignment="1">
      <alignment horizontal="center" vertical="center" wrapText="1"/>
    </xf>
    <xf numFmtId="0" fontId="20" fillId="8" borderId="25" xfId="0" applyFont="1" applyFill="1" applyBorder="1" applyAlignment="1">
      <alignment horizontal="center" vertical="center"/>
    </xf>
    <xf numFmtId="0" fontId="21" fillId="0" borderId="27" xfId="0" applyFont="1" applyFill="1" applyBorder="1" applyAlignment="1">
      <alignment horizontal="left" vertical="center" indent="1"/>
    </xf>
    <xf numFmtId="0" fontId="21" fillId="0" borderId="26" xfId="0" applyFont="1" applyFill="1" applyBorder="1" applyAlignment="1">
      <alignment horizontal="left" vertical="center" indent="1"/>
    </xf>
    <xf numFmtId="0" fontId="21" fillId="0" borderId="29" xfId="0" applyFont="1" applyFill="1" applyBorder="1" applyAlignment="1">
      <alignment horizontal="left" vertical="center" indent="1"/>
    </xf>
    <xf numFmtId="0" fontId="21" fillId="0" borderId="25" xfId="0" applyFont="1" applyFill="1" applyBorder="1" applyAlignment="1">
      <alignment horizontal="left" vertical="center"/>
    </xf>
    <xf numFmtId="0" fontId="21" fillId="0" borderId="25" xfId="0" applyFont="1" applyFill="1" applyBorder="1" applyAlignment="1">
      <alignment vertical="center"/>
    </xf>
    <xf numFmtId="3" fontId="0" fillId="0" borderId="25" xfId="0" applyNumberFormat="1" applyFont="1" applyFill="1" applyBorder="1" applyAlignment="1" applyProtection="1">
      <alignment horizontal="center" vertical="top"/>
      <protection hidden="1"/>
    </xf>
    <xf numFmtId="3" fontId="0" fillId="0" borderId="25" xfId="0" applyNumberFormat="1" applyFont="1" applyFill="1" applyBorder="1" applyAlignment="1" applyProtection="1">
      <alignment horizontal="center" vertical="top" wrapText="1"/>
      <protection hidden="1"/>
    </xf>
    <xf numFmtId="3" fontId="0" fillId="0" borderId="25" xfId="0" applyNumberFormat="1" applyFont="1" applyFill="1" applyBorder="1" applyAlignment="1" applyProtection="1">
      <alignment horizontal="center" vertical="center"/>
      <protection hidden="1"/>
    </xf>
    <xf numFmtId="3" fontId="21" fillId="0" borderId="25" xfId="0" applyNumberFormat="1" applyFont="1" applyFill="1" applyBorder="1" applyAlignment="1" applyProtection="1">
      <alignment horizontal="center" vertical="center" wrapText="1"/>
      <protection hidden="1"/>
    </xf>
    <xf numFmtId="3" fontId="20" fillId="12" borderId="25" xfId="0" applyNumberFormat="1" applyFont="1" applyFill="1" applyBorder="1" applyAlignment="1" applyProtection="1">
      <alignment horizontal="center" vertical="center" wrapText="1"/>
      <protection hidden="1"/>
    </xf>
    <xf numFmtId="0" fontId="21" fillId="0" borderId="27" xfId="0" applyFont="1" applyFill="1" applyBorder="1" applyAlignment="1">
      <alignment horizontal="left" vertical="center"/>
    </xf>
    <xf numFmtId="0" fontId="21" fillId="0" borderId="26" xfId="0" applyFont="1" applyFill="1" applyBorder="1" applyAlignment="1">
      <alignment horizontal="left" vertical="center"/>
    </xf>
    <xf numFmtId="0" fontId="21" fillId="0" borderId="29" xfId="0" applyFont="1" applyFill="1" applyBorder="1" applyAlignment="1">
      <alignment horizontal="left" vertical="center"/>
    </xf>
    <xf numFmtId="3" fontId="21" fillId="0" borderId="25" xfId="0" applyNumberFormat="1" applyFont="1" applyFill="1" applyBorder="1" applyAlignment="1" applyProtection="1">
      <alignment vertical="center"/>
      <protection hidden="1"/>
    </xf>
    <xf numFmtId="3" fontId="21" fillId="0" borderId="25" xfId="0" applyNumberFormat="1" applyFont="1" applyFill="1" applyBorder="1" applyAlignment="1" applyProtection="1">
      <alignment horizontal="left" vertical="center"/>
      <protection hidden="1"/>
    </xf>
    <xf numFmtId="0" fontId="20" fillId="8" borderId="25" xfId="0" applyFont="1" applyFill="1" applyBorder="1" applyAlignment="1">
      <alignment horizontal="center" vertical="center"/>
    </xf>
    <xf numFmtId="0" fontId="21" fillId="0" borderId="25" xfId="0" applyFont="1" applyFill="1" applyBorder="1" applyAlignment="1">
      <alignment horizontal="center" vertical="center"/>
    </xf>
    <xf numFmtId="0" fontId="21" fillId="0" borderId="27" xfId="0" applyFont="1" applyFill="1" applyBorder="1" applyAlignment="1">
      <alignment horizontal="left" vertical="center" indent="1"/>
    </xf>
    <xf numFmtId="0" fontId="21" fillId="0" borderId="26" xfId="0" applyFont="1" applyFill="1" applyBorder="1" applyAlignment="1">
      <alignment vertical="center"/>
    </xf>
    <xf numFmtId="0" fontId="21" fillId="0" borderId="29" xfId="0" applyFont="1" applyFill="1" applyBorder="1" applyAlignment="1">
      <alignment vertical="center"/>
    </xf>
    <xf numFmtId="0" fontId="21" fillId="0" borderId="25" xfId="0" applyFont="1" applyFill="1" applyBorder="1" applyAlignment="1">
      <alignment horizontal="center" vertical="center"/>
    </xf>
    <xf numFmtId="0" fontId="20" fillId="8" borderId="25" xfId="0" applyFont="1" applyFill="1" applyBorder="1" applyAlignment="1">
      <alignment horizontal="center" vertical="center"/>
    </xf>
    <xf numFmtId="0" fontId="21" fillId="0" borderId="25" xfId="0" applyFont="1" applyFill="1" applyBorder="1" applyAlignment="1">
      <alignment horizontal="center" vertical="center"/>
    </xf>
    <xf numFmtId="0" fontId="31" fillId="0" borderId="25" xfId="0" applyFont="1" applyFill="1" applyBorder="1" applyAlignment="1">
      <alignment horizontal="center" vertical="center"/>
    </xf>
    <xf numFmtId="0" fontId="21" fillId="0" borderId="25" xfId="0" applyFont="1" applyFill="1" applyBorder="1" applyAlignment="1">
      <alignment horizontal="center" vertical="center"/>
    </xf>
    <xf numFmtId="0" fontId="35" fillId="0" borderId="0" xfId="0" applyFont="1" applyFill="1" applyAlignment="1">
      <alignment horizontal="center" vertical="center"/>
    </xf>
    <xf numFmtId="0" fontId="9" fillId="2" borderId="16" xfId="0" applyFont="1" applyFill="1" applyBorder="1" applyAlignment="1">
      <alignment horizontal="center" vertical="center"/>
    </xf>
    <xf numFmtId="0" fontId="9" fillId="2" borderId="19" xfId="0" applyFont="1" applyFill="1" applyBorder="1" applyAlignment="1">
      <alignment horizontal="center" vertical="center"/>
    </xf>
    <xf numFmtId="0" fontId="9" fillId="2" borderId="17" xfId="0" applyFont="1" applyFill="1" applyBorder="1" applyAlignment="1">
      <alignment horizontal="center" vertical="center"/>
    </xf>
    <xf numFmtId="0" fontId="9" fillId="2" borderId="18" xfId="0" applyFont="1" applyFill="1" applyBorder="1" applyAlignment="1">
      <alignment horizontal="center" vertical="center"/>
    </xf>
    <xf numFmtId="0" fontId="9" fillId="2" borderId="0" xfId="0" applyFont="1" applyFill="1" applyBorder="1" applyAlignment="1">
      <alignment horizontal="center" vertical="center"/>
    </xf>
    <xf numFmtId="0" fontId="9" fillId="2" borderId="21" xfId="0" applyFont="1" applyFill="1" applyBorder="1" applyAlignment="1">
      <alignment horizontal="center" vertical="center"/>
    </xf>
    <xf numFmtId="0" fontId="9" fillId="2" borderId="20" xfId="0" applyFont="1" applyFill="1" applyBorder="1" applyAlignment="1">
      <alignment horizontal="center" vertical="center"/>
    </xf>
    <xf numFmtId="0" fontId="12" fillId="0" borderId="18" xfId="0" quotePrefix="1" applyFont="1" applyFill="1" applyBorder="1" applyAlignment="1">
      <alignment horizontal="center" vertical="center" wrapText="1"/>
    </xf>
    <xf numFmtId="0" fontId="12" fillId="0" borderId="0" xfId="0" quotePrefix="1" applyFont="1" applyFill="1" applyBorder="1" applyAlignment="1">
      <alignment horizontal="center" vertical="center" wrapText="1"/>
    </xf>
    <xf numFmtId="0" fontId="30" fillId="0" borderId="0" xfId="0" applyFont="1" applyFill="1" applyAlignment="1">
      <alignment horizontal="center" vertical="center"/>
    </xf>
    <xf numFmtId="0" fontId="34" fillId="7" borderId="39" xfId="0" applyFont="1" applyFill="1" applyBorder="1" applyAlignment="1">
      <alignment horizontal="center" vertical="center"/>
    </xf>
    <xf numFmtId="0" fontId="34" fillId="7" borderId="40" xfId="0" applyFont="1" applyFill="1" applyBorder="1" applyAlignment="1">
      <alignment horizontal="center" vertical="center"/>
    </xf>
    <xf numFmtId="0" fontId="21" fillId="0" borderId="2" xfId="0" applyFont="1" applyFill="1" applyBorder="1" applyAlignment="1">
      <alignment horizontal="left" vertical="center" indent="1"/>
    </xf>
    <xf numFmtId="0" fontId="21" fillId="0" borderId="5" xfId="0" applyFont="1" applyFill="1" applyBorder="1" applyAlignment="1">
      <alignment horizontal="left" vertical="center" indent="1"/>
    </xf>
    <xf numFmtId="0" fontId="0" fillId="0" borderId="25" xfId="0" applyFont="1" applyBorder="1" applyAlignment="1">
      <alignment horizontal="left" vertical="top"/>
    </xf>
    <xf numFmtId="0" fontId="20" fillId="11" borderId="25" xfId="0" applyFont="1" applyFill="1" applyBorder="1" applyAlignment="1">
      <alignment horizontal="center" vertical="center"/>
    </xf>
    <xf numFmtId="3" fontId="18" fillId="5" borderId="25" xfId="0" applyNumberFormat="1" applyFont="1" applyFill="1" applyBorder="1" applyAlignment="1">
      <alignment horizontal="left" vertical="center"/>
    </xf>
    <xf numFmtId="0" fontId="21" fillId="4" borderId="2" xfId="0" applyFont="1" applyFill="1" applyBorder="1" applyAlignment="1">
      <alignment horizontal="center" vertical="center"/>
    </xf>
    <xf numFmtId="0" fontId="21" fillId="4" borderId="5" xfId="0" applyFont="1" applyFill="1" applyBorder="1" applyAlignment="1">
      <alignment horizontal="center" vertical="center"/>
    </xf>
    <xf numFmtId="0" fontId="20" fillId="0" borderId="25" xfId="0" applyFont="1" applyFill="1" applyBorder="1" applyAlignment="1">
      <alignment horizontal="center" vertical="center"/>
    </xf>
    <xf numFmtId="0" fontId="18" fillId="8" borderId="25" xfId="0" applyFont="1" applyFill="1" applyBorder="1" applyAlignment="1">
      <alignment horizontal="center" vertical="center" wrapText="1"/>
    </xf>
    <xf numFmtId="0" fontId="21" fillId="0" borderId="25" xfId="0" applyFont="1" applyFill="1" applyBorder="1" applyAlignment="1">
      <alignment horizontal="center" vertical="center"/>
    </xf>
    <xf numFmtId="0" fontId="20" fillId="8" borderId="25" xfId="0" applyFont="1" applyFill="1" applyBorder="1" applyAlignment="1">
      <alignment horizontal="center" vertical="center" wrapText="1"/>
    </xf>
    <xf numFmtId="0" fontId="20" fillId="8" borderId="27" xfId="0" applyFont="1" applyFill="1" applyBorder="1" applyAlignment="1">
      <alignment horizontal="center" vertical="center"/>
    </xf>
    <xf numFmtId="0" fontId="20" fillId="8" borderId="26" xfId="0" applyFont="1" applyFill="1" applyBorder="1" applyAlignment="1">
      <alignment horizontal="center" vertical="center"/>
    </xf>
    <xf numFmtId="3" fontId="20" fillId="11" borderId="25" xfId="0" applyNumberFormat="1" applyFont="1" applyFill="1" applyBorder="1" applyAlignment="1" applyProtection="1">
      <alignment horizontal="center" vertical="center" wrapText="1"/>
      <protection locked="0"/>
    </xf>
    <xf numFmtId="3" fontId="20" fillId="11" borderId="25" xfId="0" applyNumberFormat="1" applyFont="1" applyFill="1" applyBorder="1" applyAlignment="1" applyProtection="1">
      <alignment horizontal="center" vertical="center"/>
      <protection locked="0"/>
    </xf>
    <xf numFmtId="0" fontId="0" fillId="10" borderId="27" xfId="0" applyFont="1" applyFill="1" applyBorder="1" applyAlignment="1">
      <alignment horizontal="left" vertical="top" wrapText="1"/>
    </xf>
    <xf numFmtId="0" fontId="0" fillId="10" borderId="26" xfId="0" applyFont="1" applyFill="1" applyBorder="1" applyAlignment="1">
      <alignment horizontal="left" vertical="top" wrapText="1"/>
    </xf>
    <xf numFmtId="0" fontId="0" fillId="10" borderId="29" xfId="0" applyFont="1" applyFill="1" applyBorder="1" applyAlignment="1">
      <alignment horizontal="left" vertical="top" wrapText="1"/>
    </xf>
    <xf numFmtId="3" fontId="20" fillId="11" borderId="33" xfId="0" applyNumberFormat="1" applyFont="1" applyFill="1" applyBorder="1" applyAlignment="1">
      <alignment horizontal="center" vertical="center"/>
    </xf>
    <xf numFmtId="3" fontId="20" fillId="11" borderId="35" xfId="0" applyNumberFormat="1" applyFont="1" applyFill="1" applyBorder="1" applyAlignment="1">
      <alignment horizontal="center" vertical="center"/>
    </xf>
    <xf numFmtId="3" fontId="20" fillId="11" borderId="36" xfId="0" applyNumberFormat="1" applyFont="1" applyFill="1" applyBorder="1" applyAlignment="1">
      <alignment horizontal="center" vertical="center"/>
    </xf>
    <xf numFmtId="3" fontId="20" fillId="11" borderId="37" xfId="0" applyNumberFormat="1" applyFont="1" applyFill="1" applyBorder="1" applyAlignment="1">
      <alignment horizontal="center" vertical="center"/>
    </xf>
    <xf numFmtId="3" fontId="20" fillId="11" borderId="27" xfId="0" applyNumberFormat="1" applyFont="1" applyFill="1" applyBorder="1" applyAlignment="1">
      <alignment horizontal="center" vertical="center"/>
    </xf>
    <xf numFmtId="3" fontId="20" fillId="11" borderId="29" xfId="0" applyNumberFormat="1" applyFont="1" applyFill="1" applyBorder="1" applyAlignment="1">
      <alignment horizontal="center" vertical="center"/>
    </xf>
    <xf numFmtId="0" fontId="20" fillId="5" borderId="1" xfId="0" applyFont="1" applyFill="1" applyBorder="1" applyAlignment="1">
      <alignment horizontal="center" vertical="center"/>
    </xf>
    <xf numFmtId="0" fontId="20" fillId="5" borderId="24" xfId="0" applyFont="1" applyFill="1" applyBorder="1" applyAlignment="1">
      <alignment horizontal="center" vertical="center"/>
    </xf>
    <xf numFmtId="0" fontId="25" fillId="15" borderId="0" xfId="0" applyFont="1" applyFill="1" applyBorder="1" applyAlignment="1">
      <alignment horizontal="left" vertical="center"/>
    </xf>
    <xf numFmtId="0" fontId="20" fillId="5" borderId="2" xfId="0" applyFont="1" applyFill="1" applyBorder="1" applyAlignment="1">
      <alignment horizontal="center" vertical="center"/>
    </xf>
    <xf numFmtId="0" fontId="20" fillId="5" borderId="5" xfId="0" applyFont="1" applyFill="1" applyBorder="1" applyAlignment="1">
      <alignment horizontal="center" vertical="center"/>
    </xf>
    <xf numFmtId="3" fontId="20" fillId="11" borderId="33" xfId="0" applyNumberFormat="1" applyFont="1" applyFill="1" applyBorder="1" applyAlignment="1" applyProtection="1">
      <alignment horizontal="center" vertical="center"/>
      <protection locked="0"/>
    </xf>
    <xf numFmtId="3" fontId="20" fillId="11" borderId="34" xfId="0" applyNumberFormat="1" applyFont="1" applyFill="1" applyBorder="1" applyAlignment="1" applyProtection="1">
      <alignment horizontal="center" vertical="center"/>
      <protection locked="0"/>
    </xf>
    <xf numFmtId="3" fontId="20" fillId="11" borderId="35" xfId="0" applyNumberFormat="1" applyFont="1" applyFill="1" applyBorder="1" applyAlignment="1" applyProtection="1">
      <alignment horizontal="center" vertical="center"/>
      <protection locked="0"/>
    </xf>
    <xf numFmtId="3" fontId="20" fillId="11" borderId="28" xfId="0" applyNumberFormat="1" applyFont="1" applyFill="1" applyBorder="1" applyAlignment="1" applyProtection="1">
      <alignment horizontal="center" vertical="center"/>
      <protection locked="0"/>
    </xf>
    <xf numFmtId="3" fontId="20" fillId="11" borderId="0" xfId="0" applyNumberFormat="1" applyFont="1" applyFill="1" applyBorder="1" applyAlignment="1" applyProtection="1">
      <alignment horizontal="center" vertical="center"/>
      <protection locked="0"/>
    </xf>
    <xf numFmtId="3" fontId="20" fillId="11" borderId="45" xfId="0" applyNumberFormat="1" applyFont="1" applyFill="1" applyBorder="1" applyAlignment="1" applyProtection="1">
      <alignment horizontal="center" vertical="center"/>
      <protection locked="0"/>
    </xf>
    <xf numFmtId="3" fontId="20" fillId="11" borderId="36" xfId="0" applyNumberFormat="1" applyFont="1" applyFill="1" applyBorder="1" applyAlignment="1" applyProtection="1">
      <alignment horizontal="center" vertical="center"/>
      <protection locked="0"/>
    </xf>
    <xf numFmtId="3" fontId="20" fillId="11" borderId="30" xfId="0" applyNumberFormat="1" applyFont="1" applyFill="1" applyBorder="1" applyAlignment="1" applyProtection="1">
      <alignment horizontal="center" vertical="center"/>
      <protection locked="0"/>
    </xf>
    <xf numFmtId="3" fontId="20" fillId="11" borderId="37" xfId="0" applyNumberFormat="1" applyFont="1" applyFill="1" applyBorder="1" applyAlignment="1" applyProtection="1">
      <alignment horizontal="center" vertical="center"/>
      <protection locked="0"/>
    </xf>
    <xf numFmtId="0" fontId="20" fillId="11" borderId="27" xfId="0" applyFont="1" applyFill="1" applyBorder="1" applyAlignment="1" applyProtection="1">
      <alignment horizontal="center" vertical="center"/>
      <protection locked="0"/>
    </xf>
    <xf numFmtId="0" fontId="20" fillId="11" borderId="26" xfId="0" applyFont="1" applyFill="1" applyBorder="1" applyAlignment="1" applyProtection="1">
      <alignment horizontal="center" vertical="center"/>
      <protection locked="0"/>
    </xf>
    <xf numFmtId="0" fontId="20" fillId="11" borderId="29" xfId="0" applyFont="1" applyFill="1" applyBorder="1" applyAlignment="1" applyProtection="1">
      <alignment horizontal="center" vertical="center"/>
      <protection locked="0"/>
    </xf>
    <xf numFmtId="0" fontId="34" fillId="7" borderId="16" xfId="0" applyFont="1" applyFill="1" applyBorder="1" applyAlignment="1">
      <alignment horizontal="center" vertical="center"/>
    </xf>
    <xf numFmtId="0" fontId="34" fillId="7" borderId="17" xfId="0" applyFont="1" applyFill="1" applyBorder="1" applyAlignment="1">
      <alignment horizontal="center" vertical="center"/>
    </xf>
    <xf numFmtId="0" fontId="34" fillId="7" borderId="14" xfId="0" applyFont="1" applyFill="1" applyBorder="1" applyAlignment="1">
      <alignment horizontal="center" vertical="center"/>
    </xf>
    <xf numFmtId="0" fontId="34" fillId="7" borderId="44" xfId="0" applyFont="1" applyFill="1" applyBorder="1" applyAlignment="1">
      <alignment horizontal="center" vertical="center"/>
    </xf>
    <xf numFmtId="0" fontId="34" fillId="7" borderId="41" xfId="0" applyFont="1" applyFill="1" applyBorder="1" applyAlignment="1">
      <alignment horizontal="center" vertical="center"/>
    </xf>
    <xf numFmtId="0" fontId="34" fillId="7" borderId="42" xfId="0" applyFont="1" applyFill="1" applyBorder="1" applyAlignment="1">
      <alignment horizontal="center" vertical="center"/>
    </xf>
    <xf numFmtId="0" fontId="34" fillId="7" borderId="43" xfId="0" applyFont="1" applyFill="1" applyBorder="1" applyAlignment="1">
      <alignment horizontal="center" vertical="center"/>
    </xf>
    <xf numFmtId="3" fontId="20" fillId="0" borderId="25" xfId="0" applyNumberFormat="1" applyFont="1" applyFill="1" applyBorder="1" applyAlignment="1" applyProtection="1">
      <alignment horizontal="left" vertical="center"/>
      <protection locked="0"/>
    </xf>
    <xf numFmtId="0" fontId="20" fillId="8" borderId="25" xfId="0" applyFont="1" applyFill="1" applyBorder="1" applyAlignment="1">
      <alignment horizontal="center" vertical="center"/>
    </xf>
    <xf numFmtId="3" fontId="20" fillId="0" borderId="0" xfId="0" applyNumberFormat="1" applyFont="1" applyFill="1" applyBorder="1" applyAlignment="1" applyProtection="1">
      <alignment horizontal="center" vertical="center"/>
      <protection locked="0"/>
    </xf>
    <xf numFmtId="0" fontId="20" fillId="11" borderId="25" xfId="0" applyFont="1" applyFill="1" applyBorder="1" applyAlignment="1">
      <alignment horizontal="center" vertical="center" wrapText="1"/>
    </xf>
    <xf numFmtId="0" fontId="21" fillId="0" borderId="25" xfId="0" applyFont="1" applyFill="1" applyBorder="1" applyAlignment="1">
      <alignment horizontal="left" vertical="center"/>
    </xf>
    <xf numFmtId="0" fontId="20" fillId="5" borderId="6" xfId="0" applyFont="1" applyFill="1" applyBorder="1" applyAlignment="1">
      <alignment horizontal="center" vertical="center"/>
    </xf>
    <xf numFmtId="0" fontId="20" fillId="5" borderId="9" xfId="0" applyFont="1" applyFill="1" applyBorder="1" applyAlignment="1">
      <alignment horizontal="center" vertical="center"/>
    </xf>
    <xf numFmtId="0" fontId="21" fillId="4" borderId="11" xfId="0" applyFont="1" applyFill="1" applyBorder="1" applyAlignment="1">
      <alignment horizontal="center" vertical="center"/>
    </xf>
    <xf numFmtId="0" fontId="21" fillId="4" borderId="15" xfId="0" applyFont="1" applyFill="1" applyBorder="1" applyAlignment="1">
      <alignment horizontal="center" vertical="center"/>
    </xf>
    <xf numFmtId="0" fontId="20" fillId="5" borderId="11" xfId="0" applyFont="1" applyFill="1" applyBorder="1" applyAlignment="1">
      <alignment horizontal="center" vertical="center"/>
    </xf>
    <xf numFmtId="0" fontId="20" fillId="5" borderId="15" xfId="0" applyFont="1" applyFill="1" applyBorder="1" applyAlignment="1">
      <alignment horizontal="center" vertical="center"/>
    </xf>
    <xf numFmtId="0" fontId="21" fillId="0" borderId="6" xfId="0" applyFont="1" applyFill="1" applyBorder="1" applyAlignment="1">
      <alignment horizontal="left" vertical="center" indent="1"/>
    </xf>
    <xf numFmtId="0" fontId="21" fillId="0" borderId="9" xfId="0" applyFont="1" applyFill="1" applyBorder="1" applyAlignment="1">
      <alignment horizontal="left" vertical="center" indent="1"/>
    </xf>
    <xf numFmtId="0" fontId="21" fillId="4" borderId="6" xfId="0" applyFont="1" applyFill="1" applyBorder="1" applyAlignment="1">
      <alignment horizontal="center" vertical="center"/>
    </xf>
    <xf numFmtId="0" fontId="21" fillId="4" borderId="9" xfId="0" applyFont="1" applyFill="1" applyBorder="1" applyAlignment="1">
      <alignment horizontal="center" vertical="center"/>
    </xf>
    <xf numFmtId="0" fontId="21" fillId="0" borderId="11" xfId="0" applyFont="1" applyFill="1" applyBorder="1" applyAlignment="1">
      <alignment horizontal="left" vertical="center" indent="1"/>
    </xf>
    <xf numFmtId="0" fontId="21" fillId="0" borderId="15" xfId="0" applyFont="1" applyFill="1" applyBorder="1" applyAlignment="1">
      <alignment horizontal="left" vertical="center" indent="1"/>
    </xf>
    <xf numFmtId="3" fontId="18" fillId="6" borderId="25" xfId="0" applyNumberFormat="1" applyFont="1" applyFill="1" applyBorder="1" applyAlignment="1">
      <alignment horizontal="left" vertical="center" wrapText="1"/>
    </xf>
    <xf numFmtId="0" fontId="0" fillId="0" borderId="27" xfId="0" applyFont="1" applyBorder="1" applyAlignment="1">
      <alignment vertical="center"/>
    </xf>
    <xf numFmtId="0" fontId="0" fillId="0" borderId="26" xfId="0" applyFont="1" applyBorder="1" applyAlignment="1">
      <alignment vertical="center"/>
    </xf>
    <xf numFmtId="0" fontId="0" fillId="0" borderId="29" xfId="0" applyFont="1" applyBorder="1" applyAlignment="1">
      <alignment vertical="center"/>
    </xf>
    <xf numFmtId="0" fontId="0" fillId="10" borderId="27" xfId="0" applyFont="1" applyFill="1" applyBorder="1" applyAlignment="1">
      <alignment wrapText="1"/>
    </xf>
    <xf numFmtId="0" fontId="0" fillId="10" borderId="26" xfId="0" applyFont="1" applyFill="1" applyBorder="1" applyAlignment="1">
      <alignment wrapText="1"/>
    </xf>
    <xf numFmtId="0" fontId="0" fillId="10" borderId="29" xfId="0" applyFont="1" applyFill="1" applyBorder="1" applyAlignment="1">
      <alignment wrapText="1"/>
    </xf>
    <xf numFmtId="0" fontId="0" fillId="0" borderId="25" xfId="0" applyFont="1" applyBorder="1" applyAlignment="1">
      <alignment horizontal="left" vertical="top" wrapText="1"/>
    </xf>
    <xf numFmtId="0" fontId="18" fillId="5" borderId="27" xfId="0" applyFont="1" applyFill="1" applyBorder="1" applyAlignment="1">
      <alignment horizontal="left" vertical="center" wrapText="1"/>
    </xf>
    <xf numFmtId="0" fontId="18" fillId="5" borderId="26" xfId="0" applyFont="1" applyFill="1" applyBorder="1" applyAlignment="1">
      <alignment horizontal="left" vertical="center" wrapText="1"/>
    </xf>
    <xf numFmtId="0" fontId="18" fillId="5" borderId="29" xfId="0" applyFont="1" applyFill="1" applyBorder="1" applyAlignment="1">
      <alignment horizontal="left" vertical="center" wrapText="1"/>
    </xf>
    <xf numFmtId="0" fontId="18" fillId="11" borderId="27" xfId="0" applyFont="1" applyFill="1" applyBorder="1" applyAlignment="1">
      <alignment horizontal="left" vertical="center" wrapText="1"/>
    </xf>
    <xf numFmtId="0" fontId="18" fillId="11" borderId="26" xfId="0" applyFont="1" applyFill="1" applyBorder="1" applyAlignment="1">
      <alignment horizontal="left" vertical="center" wrapText="1"/>
    </xf>
    <xf numFmtId="0" fontId="18" fillId="11" borderId="29" xfId="0" applyFont="1" applyFill="1" applyBorder="1" applyAlignment="1">
      <alignment horizontal="left" vertical="center" wrapText="1"/>
    </xf>
    <xf numFmtId="0" fontId="20" fillId="11" borderId="27" xfId="0" applyFont="1" applyFill="1" applyBorder="1" applyAlignment="1">
      <alignment horizontal="center" vertical="center" wrapText="1"/>
    </xf>
    <xf numFmtId="0" fontId="20" fillId="11" borderId="26" xfId="0" applyFont="1" applyFill="1" applyBorder="1" applyAlignment="1">
      <alignment horizontal="center" vertical="center" wrapText="1"/>
    </xf>
    <xf numFmtId="0" fontId="20" fillId="11" borderId="29" xfId="0" applyFont="1" applyFill="1" applyBorder="1" applyAlignment="1">
      <alignment horizontal="center" vertical="center" wrapText="1"/>
    </xf>
    <xf numFmtId="0" fontId="18" fillId="11" borderId="33" xfId="0" applyFont="1" applyFill="1" applyBorder="1" applyAlignment="1">
      <alignment horizontal="center" vertical="center" wrapText="1"/>
    </xf>
    <xf numFmtId="0" fontId="18" fillId="11" borderId="34" xfId="0" applyFont="1" applyFill="1" applyBorder="1" applyAlignment="1">
      <alignment horizontal="center" vertical="center" wrapText="1"/>
    </xf>
    <xf numFmtId="0" fontId="18" fillId="11" borderId="35" xfId="0" applyFont="1" applyFill="1" applyBorder="1" applyAlignment="1">
      <alignment horizontal="center" vertical="center" wrapText="1"/>
    </xf>
    <xf numFmtId="0" fontId="18" fillId="11" borderId="36" xfId="0" applyFont="1" applyFill="1" applyBorder="1" applyAlignment="1">
      <alignment horizontal="center" vertical="center" wrapText="1"/>
    </xf>
    <xf numFmtId="0" fontId="18" fillId="11" borderId="30" xfId="0" applyFont="1" applyFill="1" applyBorder="1" applyAlignment="1">
      <alignment horizontal="center" vertical="center" wrapText="1"/>
    </xf>
    <xf numFmtId="0" fontId="18" fillId="11" borderId="37" xfId="0" applyFont="1" applyFill="1" applyBorder="1" applyAlignment="1">
      <alignment horizontal="center" vertical="center" wrapText="1"/>
    </xf>
    <xf numFmtId="0" fontId="0" fillId="0" borderId="27" xfId="0" applyFont="1" applyFill="1" applyBorder="1" applyAlignment="1">
      <alignment horizontal="left" vertical="center" indent="4"/>
    </xf>
    <xf numFmtId="0" fontId="0" fillId="0" borderId="26" xfId="0" applyFont="1" applyFill="1" applyBorder="1" applyAlignment="1">
      <alignment horizontal="left" vertical="center" indent="4"/>
    </xf>
    <xf numFmtId="0" fontId="0" fillId="0" borderId="29" xfId="0" applyFont="1" applyFill="1" applyBorder="1" applyAlignment="1">
      <alignment horizontal="left" vertical="center" indent="4"/>
    </xf>
    <xf numFmtId="0" fontId="18" fillId="8" borderId="25" xfId="0" applyFont="1" applyFill="1" applyBorder="1" applyAlignment="1">
      <alignment horizontal="center" vertical="center"/>
    </xf>
    <xf numFmtId="3" fontId="0" fillId="0" borderId="27" xfId="0" applyNumberFormat="1" applyFont="1" applyFill="1" applyBorder="1" applyAlignment="1" applyProtection="1">
      <alignment horizontal="left" vertical="center" indent="4"/>
      <protection hidden="1"/>
    </xf>
    <xf numFmtId="3" fontId="0" fillId="0" borderId="26" xfId="0" applyNumberFormat="1" applyFont="1" applyFill="1" applyBorder="1" applyAlignment="1" applyProtection="1">
      <alignment horizontal="left" vertical="center" indent="4"/>
      <protection hidden="1"/>
    </xf>
    <xf numFmtId="3" fontId="0" fillId="0" borderId="29" xfId="0" applyNumberFormat="1" applyFont="1" applyFill="1" applyBorder="1" applyAlignment="1" applyProtection="1">
      <alignment horizontal="left" vertical="center" indent="4"/>
      <protection hidden="1"/>
    </xf>
    <xf numFmtId="0" fontId="34" fillId="7" borderId="46" xfId="0" applyFont="1" applyFill="1" applyBorder="1" applyAlignment="1">
      <alignment horizontal="center" vertical="center"/>
    </xf>
    <xf numFmtId="0" fontId="34" fillId="7" borderId="47" xfId="0" applyFont="1" applyFill="1" applyBorder="1" applyAlignment="1">
      <alignment horizontal="center" vertical="center"/>
    </xf>
    <xf numFmtId="0" fontId="34" fillId="7" borderId="48" xfId="0" applyFont="1" applyFill="1" applyBorder="1" applyAlignment="1">
      <alignment horizontal="center" vertical="center"/>
    </xf>
    <xf numFmtId="0" fontId="34" fillId="7" borderId="49" xfId="0" applyFont="1" applyFill="1" applyBorder="1" applyAlignment="1">
      <alignment horizontal="center" vertical="center"/>
    </xf>
    <xf numFmtId="0" fontId="18" fillId="0" borderId="25" xfId="0" applyFont="1" applyBorder="1" applyAlignment="1">
      <alignment horizontal="left" vertical="top"/>
    </xf>
    <xf numFmtId="0" fontId="20" fillId="11" borderId="27" xfId="0" applyFont="1" applyFill="1" applyBorder="1" applyAlignment="1">
      <alignment horizontal="center" vertical="center"/>
    </xf>
    <xf numFmtId="0" fontId="20" fillId="11" borderId="26" xfId="0" applyFont="1" applyFill="1" applyBorder="1" applyAlignment="1">
      <alignment horizontal="center" vertical="center"/>
    </xf>
    <xf numFmtId="0" fontId="20" fillId="11" borderId="29" xfId="0" applyFont="1" applyFill="1" applyBorder="1" applyAlignment="1">
      <alignment horizontal="center" vertical="center"/>
    </xf>
    <xf numFmtId="0" fontId="0" fillId="0" borderId="27" xfId="0" applyFont="1" applyBorder="1" applyAlignment="1">
      <alignment horizontal="left" vertical="top"/>
    </xf>
    <xf numFmtId="0" fontId="0" fillId="0" borderId="26" xfId="0" applyFont="1" applyBorder="1" applyAlignment="1">
      <alignment horizontal="left" vertical="top"/>
    </xf>
    <xf numFmtId="0" fontId="0" fillId="0" borderId="29" xfId="0" applyFont="1" applyBorder="1" applyAlignment="1">
      <alignment horizontal="left" vertical="top"/>
    </xf>
    <xf numFmtId="0" fontId="20" fillId="11" borderId="33" xfId="0" applyFont="1" applyFill="1" applyBorder="1" applyAlignment="1">
      <alignment horizontal="center" vertical="center" wrapText="1"/>
    </xf>
    <xf numFmtId="0" fontId="20" fillId="11" borderId="34" xfId="0" applyFont="1" applyFill="1" applyBorder="1" applyAlignment="1">
      <alignment horizontal="center" vertical="center" wrapText="1"/>
    </xf>
    <xf numFmtId="0" fontId="20" fillId="11" borderId="35" xfId="0" applyFont="1" applyFill="1" applyBorder="1" applyAlignment="1">
      <alignment horizontal="center" vertical="center" wrapText="1"/>
    </xf>
    <xf numFmtId="0" fontId="20" fillId="11" borderId="36" xfId="0" applyFont="1" applyFill="1" applyBorder="1" applyAlignment="1">
      <alignment horizontal="center" vertical="center" wrapText="1"/>
    </xf>
    <xf numFmtId="0" fontId="20" fillId="11" borderId="30" xfId="0" applyFont="1" applyFill="1" applyBorder="1" applyAlignment="1">
      <alignment horizontal="center" vertical="center" wrapText="1"/>
    </xf>
    <xf numFmtId="0" fontId="20" fillId="11" borderId="37" xfId="0" applyFont="1" applyFill="1" applyBorder="1" applyAlignment="1">
      <alignment horizontal="center" vertical="center" wrapText="1"/>
    </xf>
    <xf numFmtId="0" fontId="0" fillId="0" borderId="0" xfId="0" quotePrefix="1" applyFont="1" applyFill="1" applyBorder="1" applyAlignment="1">
      <alignment horizontal="center" vertical="center" wrapText="1"/>
    </xf>
    <xf numFmtId="0" fontId="20" fillId="0" borderId="27" xfId="0" applyFont="1" applyFill="1" applyBorder="1" applyAlignment="1">
      <alignment horizontal="left" vertical="center" indent="1"/>
    </xf>
    <xf numFmtId="0" fontId="20" fillId="0" borderId="29" xfId="0" applyFont="1" applyFill="1" applyBorder="1" applyAlignment="1">
      <alignment horizontal="left" vertical="center" indent="1"/>
    </xf>
    <xf numFmtId="0" fontId="21" fillId="0" borderId="25" xfId="0" applyFont="1" applyBorder="1" applyAlignment="1">
      <alignment horizontal="left" vertical="center" wrapText="1"/>
    </xf>
    <xf numFmtId="0" fontId="21" fillId="0" borderId="25" xfId="0" applyFont="1" applyFill="1" applyBorder="1" applyAlignment="1">
      <alignment horizontal="left" vertical="center" wrapText="1"/>
    </xf>
    <xf numFmtId="0" fontId="21" fillId="0" borderId="27" xfId="0" applyFont="1" applyFill="1" applyBorder="1" applyAlignment="1">
      <alignment horizontal="left" vertical="center" indent="1"/>
    </xf>
    <xf numFmtId="0" fontId="21" fillId="0" borderId="26" xfId="0" applyFont="1" applyFill="1" applyBorder="1" applyAlignment="1">
      <alignment horizontal="left" vertical="center" indent="1"/>
    </xf>
    <xf numFmtId="0" fontId="21" fillId="0" borderId="29" xfId="0" applyFont="1" applyFill="1" applyBorder="1" applyAlignment="1">
      <alignment horizontal="left" vertical="center" indent="1"/>
    </xf>
    <xf numFmtId="3" fontId="20" fillId="0" borderId="25" xfId="0" applyNumberFormat="1" applyFont="1" applyFill="1" applyBorder="1" applyAlignment="1" applyProtection="1">
      <alignment horizontal="left" vertical="center" wrapText="1" indent="1"/>
      <protection locked="0"/>
    </xf>
    <xf numFmtId="0" fontId="21" fillId="0" borderId="25" xfId="0" applyFont="1" applyFill="1" applyBorder="1" applyAlignment="1">
      <alignment horizontal="left" vertical="center" indent="1"/>
    </xf>
    <xf numFmtId="0" fontId="21" fillId="0" borderId="25" xfId="0" applyFont="1" applyFill="1" applyBorder="1" applyAlignment="1">
      <alignment vertical="top" wrapText="1"/>
    </xf>
    <xf numFmtId="3" fontId="20" fillId="11" borderId="25" xfId="2" applyNumberFormat="1" applyFont="1" applyFill="1" applyBorder="1" applyAlignment="1" applyProtection="1">
      <alignment horizontal="center" vertical="center"/>
      <protection locked="0"/>
    </xf>
    <xf numFmtId="0" fontId="21" fillId="0" borderId="27" xfId="0" applyFont="1" applyFill="1" applyBorder="1" applyAlignment="1">
      <alignment vertical="center"/>
    </xf>
    <xf numFmtId="0" fontId="21" fillId="0" borderId="26" xfId="0" applyFont="1" applyFill="1" applyBorder="1" applyAlignment="1">
      <alignment vertical="center"/>
    </xf>
    <xf numFmtId="0" fontId="21" fillId="0" borderId="29" xfId="0" applyFont="1" applyFill="1" applyBorder="1" applyAlignment="1">
      <alignment vertical="center"/>
    </xf>
    <xf numFmtId="0" fontId="21" fillId="0" borderId="25" xfId="0" applyFont="1" applyBorder="1" applyAlignment="1">
      <alignment horizontal="left" vertical="center" indent="1"/>
    </xf>
    <xf numFmtId="0" fontId="21" fillId="0" borderId="25" xfId="0" applyFont="1" applyFill="1" applyBorder="1" applyAlignment="1">
      <alignment vertical="center"/>
    </xf>
    <xf numFmtId="0" fontId="20" fillId="0" borderId="25" xfId="0" applyFont="1" applyFill="1" applyBorder="1" applyAlignment="1">
      <alignment horizontal="left" vertical="center"/>
    </xf>
    <xf numFmtId="3" fontId="20" fillId="11" borderId="34" xfId="0" applyNumberFormat="1" applyFont="1" applyFill="1" applyBorder="1" applyAlignment="1">
      <alignment horizontal="center" vertical="center"/>
    </xf>
    <xf numFmtId="3" fontId="20" fillId="11" borderId="30" xfId="0" applyNumberFormat="1" applyFont="1" applyFill="1" applyBorder="1" applyAlignment="1">
      <alignment horizontal="center" vertical="center"/>
    </xf>
    <xf numFmtId="0" fontId="20" fillId="0" borderId="25" xfId="0" applyFont="1" applyFill="1" applyBorder="1" applyAlignment="1">
      <alignment horizontal="left" vertical="center" indent="1"/>
    </xf>
    <xf numFmtId="3" fontId="21" fillId="0" borderId="27" xfId="0" applyNumberFormat="1" applyFont="1" applyFill="1" applyBorder="1" applyAlignment="1">
      <alignment horizontal="left" vertical="center" indent="1"/>
    </xf>
    <xf numFmtId="3" fontId="21" fillId="0" borderId="26" xfId="0" applyNumberFormat="1" applyFont="1" applyFill="1" applyBorder="1" applyAlignment="1">
      <alignment horizontal="left" vertical="center" indent="1"/>
    </xf>
    <xf numFmtId="3" fontId="21" fillId="0" borderId="29" xfId="0" applyNumberFormat="1" applyFont="1" applyFill="1" applyBorder="1" applyAlignment="1">
      <alignment horizontal="left" vertical="center" indent="1"/>
    </xf>
    <xf numFmtId="3" fontId="20" fillId="0" borderId="27" xfId="0" applyNumberFormat="1" applyFont="1" applyFill="1" applyBorder="1" applyAlignment="1">
      <alignment horizontal="left" vertical="center" indent="1"/>
    </xf>
    <xf numFmtId="3" fontId="20" fillId="0" borderId="26" xfId="0" applyNumberFormat="1" applyFont="1" applyFill="1" applyBorder="1" applyAlignment="1">
      <alignment horizontal="left" vertical="center" indent="1"/>
    </xf>
    <xf numFmtId="3" fontId="20" fillId="0" borderId="29" xfId="0" applyNumberFormat="1" applyFont="1" applyFill="1" applyBorder="1" applyAlignment="1">
      <alignment horizontal="left" vertical="center" indent="1"/>
    </xf>
    <xf numFmtId="3" fontId="21" fillId="0" borderId="27" xfId="0" applyNumberFormat="1" applyFont="1" applyFill="1" applyBorder="1" applyAlignment="1" applyProtection="1">
      <alignment horizontal="left" vertical="center" indent="1"/>
      <protection locked="0"/>
    </xf>
    <xf numFmtId="3" fontId="21" fillId="0" borderId="26" xfId="0" applyNumberFormat="1" applyFont="1" applyFill="1" applyBorder="1" applyAlignment="1" applyProtection="1">
      <alignment horizontal="left" vertical="center" indent="1"/>
      <protection locked="0"/>
    </xf>
    <xf numFmtId="3" fontId="21" fillId="0" borderId="29" xfId="0" applyNumberFormat="1" applyFont="1" applyFill="1" applyBorder="1" applyAlignment="1" applyProtection="1">
      <alignment horizontal="left" vertical="center" indent="1"/>
      <protection locked="0"/>
    </xf>
    <xf numFmtId="3" fontId="18" fillId="11" borderId="33" xfId="0" applyNumberFormat="1" applyFont="1" applyFill="1" applyBorder="1" applyAlignment="1" applyProtection="1">
      <alignment horizontal="center" vertical="center"/>
      <protection locked="0"/>
    </xf>
    <xf numFmtId="3" fontId="18" fillId="11" borderId="35" xfId="0" applyNumberFormat="1" applyFont="1" applyFill="1" applyBorder="1" applyAlignment="1" applyProtection="1">
      <alignment horizontal="center" vertical="center"/>
      <protection locked="0"/>
    </xf>
    <xf numFmtId="3" fontId="18" fillId="11" borderId="28" xfId="0" applyNumberFormat="1" applyFont="1" applyFill="1" applyBorder="1" applyAlignment="1" applyProtection="1">
      <alignment horizontal="center" vertical="center"/>
      <protection locked="0"/>
    </xf>
    <xf numFmtId="3" fontId="18" fillId="11" borderId="45" xfId="0" applyNumberFormat="1" applyFont="1" applyFill="1" applyBorder="1" applyAlignment="1" applyProtection="1">
      <alignment horizontal="center" vertical="center"/>
      <protection locked="0"/>
    </xf>
    <xf numFmtId="3" fontId="18" fillId="11" borderId="36" xfId="0" applyNumberFormat="1" applyFont="1" applyFill="1" applyBorder="1" applyAlignment="1" applyProtection="1">
      <alignment horizontal="center" vertical="center"/>
      <protection locked="0"/>
    </xf>
    <xf numFmtId="3" fontId="18" fillId="11" borderId="37" xfId="0" applyNumberFormat="1" applyFont="1" applyFill="1" applyBorder="1" applyAlignment="1" applyProtection="1">
      <alignment horizontal="center" vertical="center"/>
      <protection locked="0"/>
    </xf>
    <xf numFmtId="0" fontId="18" fillId="11" borderId="27" xfId="0" applyFont="1" applyFill="1" applyBorder="1" applyAlignment="1" applyProtection="1">
      <alignment horizontal="center" vertical="center"/>
      <protection locked="0"/>
    </xf>
    <xf numFmtId="0" fontId="18" fillId="11" borderId="26" xfId="0" applyFont="1" applyFill="1" applyBorder="1" applyAlignment="1" applyProtection="1">
      <alignment horizontal="center" vertical="center"/>
      <protection locked="0"/>
    </xf>
    <xf numFmtId="0" fontId="18" fillId="11" borderId="29" xfId="0" applyFont="1" applyFill="1" applyBorder="1" applyAlignment="1" applyProtection="1">
      <alignment horizontal="center" vertical="center"/>
      <protection locked="0"/>
    </xf>
    <xf numFmtId="3" fontId="20" fillId="0" borderId="25" xfId="0" applyNumberFormat="1" applyFont="1" applyFill="1" applyBorder="1" applyAlignment="1" applyProtection="1">
      <alignment horizontal="center" vertical="center" wrapText="1"/>
      <protection locked="0"/>
    </xf>
    <xf numFmtId="0" fontId="21" fillId="0" borderId="25" xfId="0" applyFont="1" applyBorder="1" applyAlignment="1">
      <alignment vertical="center"/>
    </xf>
    <xf numFmtId="0" fontId="0" fillId="0" borderId="28" xfId="0" quotePrefix="1" applyFont="1" applyFill="1" applyBorder="1" applyAlignment="1">
      <alignment horizontal="center" vertical="center" wrapText="1"/>
    </xf>
    <xf numFmtId="0" fontId="20" fillId="8" borderId="29" xfId="0" applyFont="1" applyFill="1" applyBorder="1" applyAlignment="1">
      <alignment horizontal="center" vertical="center"/>
    </xf>
    <xf numFmtId="0" fontId="21" fillId="0" borderId="27" xfId="0" applyFont="1" applyBorder="1" applyAlignment="1">
      <alignment vertical="center"/>
    </xf>
    <xf numFmtId="0" fontId="21" fillId="0" borderId="26" xfId="0" applyFont="1" applyBorder="1" applyAlignment="1">
      <alignment vertical="center"/>
    </xf>
    <xf numFmtId="0" fontId="21" fillId="0" borderId="29" xfId="0" applyFont="1" applyBorder="1" applyAlignment="1">
      <alignment vertical="center"/>
    </xf>
    <xf numFmtId="0" fontId="20" fillId="0" borderId="33" xfId="0" applyFont="1" applyFill="1" applyBorder="1" applyAlignment="1">
      <alignment vertical="center"/>
    </xf>
    <xf numFmtId="0" fontId="20" fillId="0" borderId="35" xfId="0" applyFont="1" applyFill="1" applyBorder="1" applyAlignment="1">
      <alignment vertical="center"/>
    </xf>
    <xf numFmtId="0" fontId="20" fillId="0" borderId="36" xfId="0" applyFont="1" applyFill="1" applyBorder="1" applyAlignment="1">
      <alignment vertical="center"/>
    </xf>
    <xf numFmtId="0" fontId="20" fillId="0" borderId="37" xfId="0" applyFont="1" applyFill="1" applyBorder="1" applyAlignment="1">
      <alignment vertical="center"/>
    </xf>
    <xf numFmtId="0" fontId="35" fillId="0" borderId="25" xfId="0" applyFont="1" applyFill="1" applyBorder="1" applyAlignment="1">
      <alignment horizontal="center" vertical="center"/>
    </xf>
  </cellXfs>
  <cellStyles count="5">
    <cellStyle name="Normal" xfId="0" builtinId="0"/>
    <cellStyle name="Normal 2" xfId="1" xr:uid="{00000000-0005-0000-0000-000001000000}"/>
    <cellStyle name="Normal 2 2" xfId="4" xr:uid="{00000000-0005-0000-0000-000002000000}"/>
    <cellStyle name="Normal 5" xfId="3" xr:uid="{00000000-0005-0000-0000-000003000000}"/>
    <cellStyle name="Normal 8" xfId="2" xr:uid="{00000000-0005-0000-0000-000004000000}"/>
  </cellStyles>
  <dxfs count="44">
    <dxf>
      <font>
        <b/>
        <i val="0"/>
        <color rgb="FFFF0000"/>
      </font>
    </dxf>
    <dxf>
      <font>
        <b/>
        <i val="0"/>
        <color rgb="FFFF0000"/>
      </font>
    </dxf>
    <dxf>
      <font>
        <b/>
        <i val="0"/>
        <color rgb="FFFF0000"/>
      </font>
    </dxf>
    <dxf>
      <font>
        <b/>
        <i val="0"/>
        <color theme="0"/>
      </font>
      <fill>
        <patternFill>
          <bgColor rgb="FFFF0000"/>
        </patternFill>
      </fill>
    </dxf>
    <dxf>
      <font>
        <b/>
        <i val="0"/>
        <color rgb="FFFF0000"/>
      </font>
    </dxf>
    <dxf>
      <font>
        <b/>
        <i val="0"/>
        <color theme="0"/>
      </font>
      <fill>
        <patternFill>
          <bgColor rgb="FFFF0000"/>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b/>
        <i val="0"/>
        <color theme="0"/>
      </font>
      <fill>
        <patternFill>
          <bgColor rgb="FFFF0000"/>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b/>
        <i val="0"/>
        <color rgb="FFFF0000"/>
      </font>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b/>
        <i val="0"/>
        <color rgb="FFFF0000"/>
      </font>
    </dxf>
    <dxf>
      <font>
        <b/>
        <i val="0"/>
        <color theme="0"/>
      </font>
      <fill>
        <patternFill>
          <bgColor rgb="FFFF0000"/>
        </patternFill>
      </fill>
    </dxf>
    <dxf>
      <font>
        <b/>
        <i val="0"/>
        <color rgb="FFFF0000"/>
      </font>
    </dxf>
    <dxf>
      <font>
        <b/>
        <i val="0"/>
        <color theme="0"/>
      </font>
      <fill>
        <patternFill>
          <bgColor rgb="FFFF0000"/>
        </patternFill>
      </fill>
    </dxf>
    <dxf>
      <font>
        <b/>
        <i val="0"/>
        <color rgb="FFFF0000"/>
      </font>
    </dxf>
    <dxf>
      <font>
        <b/>
        <i val="0"/>
        <color theme="0"/>
      </font>
      <fill>
        <patternFill>
          <bgColor rgb="FFFF0000"/>
        </patternFill>
      </fill>
    </dxf>
    <dxf>
      <font>
        <b/>
        <i val="0"/>
        <color rgb="FFFF0000"/>
      </font>
    </dxf>
    <dxf>
      <font>
        <b/>
        <i val="0"/>
        <color theme="0"/>
      </font>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2:T49"/>
  <sheetViews>
    <sheetView topLeftCell="A28" workbookViewId="0">
      <selection activeCell="H11" sqref="H11"/>
    </sheetView>
  </sheetViews>
  <sheetFormatPr baseColWidth="10" defaultRowHeight="12.75" x14ac:dyDescent="0.2"/>
  <sheetData>
    <row r="2" spans="1:20" ht="15.75" x14ac:dyDescent="0.2">
      <c r="A2" s="11"/>
      <c r="B2" s="2" t="s">
        <v>57</v>
      </c>
      <c r="C2" s="12"/>
      <c r="D2" s="12"/>
      <c r="E2" s="11"/>
      <c r="F2" s="11"/>
      <c r="G2" s="11"/>
      <c r="H2" s="11"/>
      <c r="I2" s="11"/>
      <c r="J2" s="11"/>
      <c r="K2" s="11"/>
      <c r="L2" s="11"/>
      <c r="M2" s="11"/>
      <c r="N2" s="11"/>
      <c r="O2" s="11"/>
      <c r="P2" s="11"/>
      <c r="Q2" s="11"/>
      <c r="R2" s="11"/>
      <c r="S2" s="1"/>
      <c r="T2" s="1"/>
    </row>
    <row r="3" spans="1:20" ht="15.75" x14ac:dyDescent="0.2">
      <c r="A3" s="11"/>
      <c r="B3" s="2" t="s">
        <v>407</v>
      </c>
      <c r="C3" s="12"/>
      <c r="D3" s="12"/>
      <c r="E3" s="11"/>
      <c r="F3" s="11"/>
      <c r="G3" s="11"/>
      <c r="H3" s="11"/>
      <c r="I3" s="11"/>
      <c r="J3" s="11"/>
      <c r="K3" s="11"/>
      <c r="L3" s="11"/>
      <c r="M3" s="11"/>
      <c r="N3" s="11"/>
      <c r="O3" s="11"/>
      <c r="P3" s="11"/>
      <c r="Q3" s="11"/>
      <c r="R3" s="11"/>
      <c r="S3" s="1"/>
      <c r="T3" s="1"/>
    </row>
    <row r="4" spans="1:20" ht="15.75" x14ac:dyDescent="0.2">
      <c r="A4" s="11"/>
      <c r="B4" s="2"/>
      <c r="C4" s="12"/>
      <c r="D4" s="12"/>
      <c r="E4" s="11">
        <v>1</v>
      </c>
      <c r="F4" s="11">
        <v>2</v>
      </c>
      <c r="G4" s="11">
        <v>3</v>
      </c>
      <c r="H4" s="11">
        <v>4</v>
      </c>
      <c r="I4" s="11">
        <v>5</v>
      </c>
      <c r="J4" s="11">
        <v>6</v>
      </c>
      <c r="K4" s="11">
        <v>7</v>
      </c>
      <c r="L4" s="11">
        <v>8</v>
      </c>
      <c r="M4" s="11">
        <v>9</v>
      </c>
      <c r="N4" s="11">
        <v>10</v>
      </c>
      <c r="O4" s="11">
        <v>11</v>
      </c>
      <c r="P4" s="11">
        <v>12</v>
      </c>
      <c r="Q4" s="11">
        <v>13</v>
      </c>
      <c r="R4" s="11">
        <v>14</v>
      </c>
      <c r="S4" s="1"/>
      <c r="T4" s="1"/>
    </row>
    <row r="5" spans="1:20" ht="15" x14ac:dyDescent="0.2">
      <c r="A5" s="11"/>
      <c r="B5" s="277" t="s">
        <v>2</v>
      </c>
      <c r="C5" s="278"/>
      <c r="D5" s="279"/>
      <c r="E5" s="283" t="s">
        <v>58</v>
      </c>
      <c r="F5" s="283"/>
      <c r="G5" s="283"/>
      <c r="H5" s="283"/>
      <c r="I5" s="283"/>
      <c r="J5" s="283"/>
      <c r="K5" s="283"/>
      <c r="L5" s="283"/>
      <c r="M5" s="283"/>
      <c r="N5" s="283"/>
      <c r="O5" s="283"/>
      <c r="P5" s="283"/>
      <c r="Q5" s="283"/>
      <c r="R5" s="284" t="s">
        <v>18</v>
      </c>
      <c r="S5" s="1"/>
      <c r="T5" s="1"/>
    </row>
    <row r="6" spans="1:20" ht="15" x14ac:dyDescent="0.2">
      <c r="A6" s="11"/>
      <c r="B6" s="280"/>
      <c r="C6" s="281"/>
      <c r="D6" s="282"/>
      <c r="E6" s="20" t="s">
        <v>19</v>
      </c>
      <c r="F6" s="21" t="s">
        <v>20</v>
      </c>
      <c r="G6" s="21" t="s">
        <v>21</v>
      </c>
      <c r="H6" s="21" t="s">
        <v>22</v>
      </c>
      <c r="I6" s="21" t="s">
        <v>23</v>
      </c>
      <c r="J6" s="21" t="s">
        <v>24</v>
      </c>
      <c r="K6" s="21" t="s">
        <v>25</v>
      </c>
      <c r="L6" s="21" t="s">
        <v>26</v>
      </c>
      <c r="M6" s="21" t="s">
        <v>27</v>
      </c>
      <c r="N6" s="21" t="s">
        <v>28</v>
      </c>
      <c r="O6" s="21" t="s">
        <v>29</v>
      </c>
      <c r="P6" s="21" t="s">
        <v>59</v>
      </c>
      <c r="Q6" s="13" t="s">
        <v>60</v>
      </c>
      <c r="R6" s="285"/>
      <c r="S6" s="1"/>
      <c r="T6" s="1"/>
    </row>
    <row r="7" spans="1:20" ht="15" x14ac:dyDescent="0.2">
      <c r="A7" s="11">
        <v>39</v>
      </c>
      <c r="B7" s="28" t="s">
        <v>406</v>
      </c>
      <c r="C7" s="3"/>
      <c r="D7" s="9"/>
      <c r="E7" s="31"/>
      <c r="F7" s="31"/>
      <c r="G7" s="31"/>
      <c r="H7" s="31"/>
      <c r="I7" s="31"/>
      <c r="J7" s="30"/>
      <c r="K7" s="30"/>
      <c r="L7" s="30"/>
      <c r="M7" s="30"/>
      <c r="N7" s="30"/>
      <c r="O7" s="30"/>
      <c r="P7" s="30"/>
      <c r="Q7" s="29"/>
      <c r="R7" s="7" t="s">
        <v>68</v>
      </c>
      <c r="S7" s="1"/>
      <c r="T7" s="1"/>
    </row>
    <row r="8" spans="1:20" ht="15" x14ac:dyDescent="0.2">
      <c r="A8" s="11">
        <v>40</v>
      </c>
      <c r="B8" s="25" t="s">
        <v>69</v>
      </c>
      <c r="C8" s="4"/>
      <c r="D8" s="15"/>
      <c r="E8" s="26"/>
      <c r="F8" s="26"/>
      <c r="G8" s="8"/>
      <c r="H8" s="8"/>
      <c r="I8" s="8"/>
      <c r="J8" s="8"/>
      <c r="K8" s="8"/>
      <c r="L8" s="8"/>
      <c r="M8" s="8"/>
      <c r="N8" s="8"/>
      <c r="O8" s="8"/>
      <c r="P8" s="8"/>
      <c r="Q8" s="8"/>
      <c r="R8" s="7" t="s">
        <v>68</v>
      </c>
      <c r="S8" s="1"/>
      <c r="T8" s="1"/>
    </row>
    <row r="9" spans="1:20" ht="15" x14ac:dyDescent="0.2">
      <c r="A9" s="11">
        <v>41</v>
      </c>
      <c r="B9" s="25" t="s">
        <v>72</v>
      </c>
      <c r="C9" s="4"/>
      <c r="D9" s="15"/>
      <c r="E9" s="24" t="s">
        <v>73</v>
      </c>
      <c r="F9" s="24" t="s">
        <v>74</v>
      </c>
      <c r="G9" s="24" t="s">
        <v>75</v>
      </c>
      <c r="H9" s="24" t="s">
        <v>76</v>
      </c>
      <c r="I9" s="24" t="s">
        <v>77</v>
      </c>
      <c r="J9" s="24" t="s">
        <v>78</v>
      </c>
      <c r="K9" s="14" t="s">
        <v>79</v>
      </c>
      <c r="L9" s="14" t="s">
        <v>80</v>
      </c>
      <c r="M9" s="14" t="s">
        <v>81</v>
      </c>
      <c r="N9" s="14" t="s">
        <v>82</v>
      </c>
      <c r="O9" s="14" t="s">
        <v>83</v>
      </c>
      <c r="P9" s="14" t="s">
        <v>84</v>
      </c>
      <c r="Q9" s="14" t="s">
        <v>85</v>
      </c>
      <c r="R9" s="7"/>
      <c r="S9" s="1"/>
      <c r="T9" s="1"/>
    </row>
    <row r="10" spans="1:20" ht="15" x14ac:dyDescent="0.2">
      <c r="A10" s="11">
        <v>42</v>
      </c>
      <c r="B10" s="25" t="s">
        <v>86</v>
      </c>
      <c r="C10" s="4"/>
      <c r="D10" s="15"/>
      <c r="E10" s="24" t="s">
        <v>87</v>
      </c>
      <c r="F10" s="24" t="s">
        <v>88</v>
      </c>
      <c r="G10" s="24" t="s">
        <v>89</v>
      </c>
      <c r="H10" s="24" t="s">
        <v>90</v>
      </c>
      <c r="I10" s="24" t="s">
        <v>91</v>
      </c>
      <c r="J10" s="24" t="s">
        <v>92</v>
      </c>
      <c r="K10" s="24" t="s">
        <v>93</v>
      </c>
      <c r="L10" s="24" t="s">
        <v>94</v>
      </c>
      <c r="M10" s="24" t="s">
        <v>95</v>
      </c>
      <c r="N10" s="24" t="s">
        <v>96</v>
      </c>
      <c r="O10" s="24" t="s">
        <v>97</v>
      </c>
      <c r="P10" s="24" t="s">
        <v>98</v>
      </c>
      <c r="Q10" s="24" t="s">
        <v>99</v>
      </c>
      <c r="R10" s="7" t="s">
        <v>68</v>
      </c>
      <c r="S10" s="1"/>
      <c r="T10" s="1"/>
    </row>
    <row r="11" spans="1:20" ht="15" x14ac:dyDescent="0.2">
      <c r="A11" s="11">
        <v>43</v>
      </c>
      <c r="B11" s="25" t="s">
        <v>100</v>
      </c>
      <c r="C11" s="4"/>
      <c r="D11" s="15"/>
      <c r="E11" s="24" t="s">
        <v>101</v>
      </c>
      <c r="F11" s="24" t="s">
        <v>102</v>
      </c>
      <c r="G11" s="24" t="s">
        <v>103</v>
      </c>
      <c r="H11" s="24" t="s">
        <v>104</v>
      </c>
      <c r="I11" s="24" t="s">
        <v>105</v>
      </c>
      <c r="J11" s="24" t="s">
        <v>106</v>
      </c>
      <c r="K11" s="24" t="s">
        <v>107</v>
      </c>
      <c r="L11" s="24" t="s">
        <v>108</v>
      </c>
      <c r="M11" s="24" t="s">
        <v>109</v>
      </c>
      <c r="N11" s="24" t="s">
        <v>110</v>
      </c>
      <c r="O11" s="24" t="s">
        <v>111</v>
      </c>
      <c r="P11" s="24" t="s">
        <v>112</v>
      </c>
      <c r="Q11" s="24" t="s">
        <v>113</v>
      </c>
      <c r="R11" s="7" t="s">
        <v>68</v>
      </c>
      <c r="S11" s="1"/>
      <c r="T11" s="1"/>
    </row>
    <row r="12" spans="1:20" ht="15" x14ac:dyDescent="0.2">
      <c r="A12" s="11">
        <v>44</v>
      </c>
      <c r="B12" s="25" t="s">
        <v>114</v>
      </c>
      <c r="C12" s="4"/>
      <c r="D12" s="15"/>
      <c r="E12" s="24" t="s">
        <v>115</v>
      </c>
      <c r="F12" s="24" t="s">
        <v>116</v>
      </c>
      <c r="G12" s="24" t="s">
        <v>117</v>
      </c>
      <c r="H12" s="24" t="s">
        <v>118</v>
      </c>
      <c r="I12" s="24" t="s">
        <v>119</v>
      </c>
      <c r="J12" s="24" t="s">
        <v>120</v>
      </c>
      <c r="K12" s="24" t="s">
        <v>121</v>
      </c>
      <c r="L12" s="24" t="s">
        <v>122</v>
      </c>
      <c r="M12" s="24" t="s">
        <v>123</v>
      </c>
      <c r="N12" s="24" t="s">
        <v>124</v>
      </c>
      <c r="O12" s="24" t="s">
        <v>125</v>
      </c>
      <c r="P12" s="24" t="s">
        <v>126</v>
      </c>
      <c r="Q12" s="24" t="s">
        <v>127</v>
      </c>
      <c r="R12" s="7" t="s">
        <v>68</v>
      </c>
      <c r="S12" s="1"/>
      <c r="T12" s="1"/>
    </row>
    <row r="13" spans="1:20" ht="15" x14ac:dyDescent="0.2">
      <c r="A13" s="11">
        <v>45</v>
      </c>
      <c r="B13" s="23" t="s">
        <v>128</v>
      </c>
      <c r="C13" s="5"/>
      <c r="D13" s="10"/>
      <c r="E13" s="22" t="s">
        <v>129</v>
      </c>
      <c r="F13" s="22" t="s">
        <v>130</v>
      </c>
      <c r="G13" s="22" t="s">
        <v>131</v>
      </c>
      <c r="H13" s="22" t="s">
        <v>132</v>
      </c>
      <c r="I13" s="22" t="s">
        <v>133</v>
      </c>
      <c r="J13" s="22" t="s">
        <v>134</v>
      </c>
      <c r="K13" s="22" t="s">
        <v>135</v>
      </c>
      <c r="L13" s="22" t="s">
        <v>136</v>
      </c>
      <c r="M13" s="22" t="s">
        <v>137</v>
      </c>
      <c r="N13" s="22" t="s">
        <v>138</v>
      </c>
      <c r="O13" s="22" t="s">
        <v>139</v>
      </c>
      <c r="P13" s="22" t="s">
        <v>140</v>
      </c>
      <c r="Q13" s="22" t="s">
        <v>141</v>
      </c>
      <c r="R13" s="7" t="s">
        <v>68</v>
      </c>
      <c r="S13" s="1"/>
      <c r="T13" s="1"/>
    </row>
    <row r="14" spans="1:20" ht="15" x14ac:dyDescent="0.2">
      <c r="A14" s="11"/>
      <c r="B14" s="16" t="s">
        <v>142</v>
      </c>
      <c r="C14" s="17"/>
      <c r="D14" s="17"/>
      <c r="E14" s="18"/>
      <c r="F14" s="18"/>
      <c r="G14" s="18"/>
      <c r="H14" s="18"/>
      <c r="I14" s="18"/>
      <c r="J14" s="18"/>
      <c r="K14" s="18"/>
      <c r="L14" s="18"/>
      <c r="M14" s="18"/>
      <c r="N14" s="18"/>
      <c r="O14" s="18"/>
      <c r="P14" s="18"/>
      <c r="Q14" s="18"/>
      <c r="R14" s="6">
        <f>SUM(R7:R13)</f>
        <v>0</v>
      </c>
      <c r="S14" s="1"/>
      <c r="T14" s="1"/>
    </row>
    <row r="21" spans="1:20" ht="15.75" x14ac:dyDescent="0.2">
      <c r="A21" s="11"/>
      <c r="B21" s="2"/>
      <c r="C21" s="12"/>
      <c r="D21" s="12"/>
      <c r="E21" s="11"/>
      <c r="F21" s="11"/>
      <c r="G21" s="11"/>
      <c r="H21" s="11"/>
      <c r="I21" s="11"/>
      <c r="J21" s="11"/>
      <c r="K21" s="11"/>
      <c r="L21" s="11"/>
      <c r="M21" s="11"/>
      <c r="N21" s="11"/>
      <c r="O21" s="11"/>
      <c r="P21" s="11"/>
      <c r="Q21" s="11"/>
      <c r="R21" s="11"/>
      <c r="S21" s="1"/>
      <c r="T21" s="1"/>
    </row>
    <row r="22" spans="1:20" ht="15.75" x14ac:dyDescent="0.2">
      <c r="A22" s="11"/>
      <c r="B22" s="2" t="s">
        <v>405</v>
      </c>
      <c r="C22" s="12"/>
      <c r="D22" s="12"/>
      <c r="E22" s="11"/>
      <c r="F22" s="11"/>
      <c r="G22" s="11"/>
      <c r="H22" s="11"/>
      <c r="I22" s="11"/>
      <c r="J22" s="11"/>
      <c r="K22" s="11"/>
      <c r="L22" s="11"/>
      <c r="M22" s="11"/>
      <c r="N22" s="11"/>
      <c r="O22" s="11"/>
      <c r="P22" s="11"/>
      <c r="Q22" s="11"/>
      <c r="R22" s="11"/>
      <c r="S22" s="1"/>
      <c r="T22" s="1"/>
    </row>
    <row r="23" spans="1:20" ht="15.75" x14ac:dyDescent="0.2">
      <c r="A23" s="11"/>
      <c r="B23" s="2"/>
      <c r="C23" s="12"/>
      <c r="D23" s="12"/>
      <c r="E23" s="11">
        <v>1</v>
      </c>
      <c r="F23" s="11">
        <v>2</v>
      </c>
      <c r="G23" s="11">
        <v>3</v>
      </c>
      <c r="H23" s="11">
        <v>4</v>
      </c>
      <c r="I23" s="11">
        <v>5</v>
      </c>
      <c r="J23" s="11">
        <v>6</v>
      </c>
      <c r="K23" s="11">
        <v>7</v>
      </c>
      <c r="L23" s="11">
        <v>8</v>
      </c>
      <c r="M23" s="11">
        <v>9</v>
      </c>
      <c r="N23" s="11">
        <v>10</v>
      </c>
      <c r="O23" s="11">
        <v>11</v>
      </c>
      <c r="P23" s="11">
        <v>12</v>
      </c>
      <c r="Q23" s="11">
        <v>13</v>
      </c>
      <c r="R23" s="11">
        <v>14</v>
      </c>
      <c r="S23" s="1"/>
      <c r="T23" s="1"/>
    </row>
    <row r="24" spans="1:20" ht="15" x14ac:dyDescent="0.2">
      <c r="A24" s="11"/>
      <c r="B24" s="277" t="s">
        <v>2</v>
      </c>
      <c r="C24" s="278"/>
      <c r="D24" s="279"/>
      <c r="E24" s="283" t="s">
        <v>58</v>
      </c>
      <c r="F24" s="283"/>
      <c r="G24" s="283"/>
      <c r="H24" s="283"/>
      <c r="I24" s="283"/>
      <c r="J24" s="283"/>
      <c r="K24" s="283"/>
      <c r="L24" s="283"/>
      <c r="M24" s="283"/>
      <c r="N24" s="283"/>
      <c r="O24" s="283"/>
      <c r="P24" s="283"/>
      <c r="Q24" s="283"/>
      <c r="R24" s="284" t="s">
        <v>18</v>
      </c>
      <c r="S24" s="1"/>
      <c r="T24" s="1"/>
    </row>
    <row r="25" spans="1:20" ht="15" x14ac:dyDescent="0.2">
      <c r="A25" s="11"/>
      <c r="B25" s="280"/>
      <c r="C25" s="281"/>
      <c r="D25" s="282"/>
      <c r="E25" s="20" t="s">
        <v>19</v>
      </c>
      <c r="F25" s="21" t="s">
        <v>20</v>
      </c>
      <c r="G25" s="21" t="s">
        <v>21</v>
      </c>
      <c r="H25" s="21" t="s">
        <v>22</v>
      </c>
      <c r="I25" s="21" t="s">
        <v>23</v>
      </c>
      <c r="J25" s="21" t="s">
        <v>24</v>
      </c>
      <c r="K25" s="21" t="s">
        <v>25</v>
      </c>
      <c r="L25" s="21" t="s">
        <v>26</v>
      </c>
      <c r="M25" s="21" t="s">
        <v>27</v>
      </c>
      <c r="N25" s="21" t="s">
        <v>28</v>
      </c>
      <c r="O25" s="21" t="s">
        <v>29</v>
      </c>
      <c r="P25" s="21" t="s">
        <v>59</v>
      </c>
      <c r="Q25" s="13" t="s">
        <v>60</v>
      </c>
      <c r="R25" s="285"/>
      <c r="S25" s="1"/>
      <c r="T25" s="1"/>
    </row>
    <row r="26" spans="1:20" ht="15" x14ac:dyDescent="0.2">
      <c r="A26" s="11">
        <v>39</v>
      </c>
      <c r="B26" s="28" t="s">
        <v>404</v>
      </c>
      <c r="C26" s="3"/>
      <c r="D26" s="9"/>
      <c r="E26" s="27" t="s">
        <v>62</v>
      </c>
      <c r="F26" s="27" t="s">
        <v>63</v>
      </c>
      <c r="G26" s="27" t="s">
        <v>64</v>
      </c>
      <c r="H26" s="27" t="s">
        <v>65</v>
      </c>
      <c r="I26" s="27" t="s">
        <v>66</v>
      </c>
      <c r="J26" s="8"/>
      <c r="K26" s="8"/>
      <c r="L26" s="8"/>
      <c r="M26" s="8"/>
      <c r="N26" s="8"/>
      <c r="O26" s="8"/>
      <c r="P26" s="8"/>
      <c r="Q26" s="14" t="s">
        <v>67</v>
      </c>
      <c r="R26" s="7"/>
      <c r="S26" s="1"/>
      <c r="T26" s="1"/>
    </row>
    <row r="27" spans="1:20" ht="15" x14ac:dyDescent="0.2">
      <c r="A27" s="11">
        <v>40</v>
      </c>
      <c r="B27" s="25" t="s">
        <v>69</v>
      </c>
      <c r="C27" s="4"/>
      <c r="D27" s="15"/>
      <c r="E27" s="26" t="s">
        <v>70</v>
      </c>
      <c r="F27" s="26" t="s">
        <v>71</v>
      </c>
      <c r="G27" s="8"/>
      <c r="H27" s="8"/>
      <c r="I27" s="8"/>
      <c r="J27" s="8"/>
      <c r="K27" s="8"/>
      <c r="L27" s="8"/>
      <c r="M27" s="8"/>
      <c r="N27" s="8"/>
      <c r="O27" s="8"/>
      <c r="P27" s="8"/>
      <c r="Q27" s="14" t="s">
        <v>346</v>
      </c>
      <c r="R27" s="7"/>
      <c r="S27" s="1"/>
      <c r="T27" s="1"/>
    </row>
    <row r="28" spans="1:20" ht="15" x14ac:dyDescent="0.2">
      <c r="A28" s="11">
        <v>41</v>
      </c>
      <c r="B28" s="25" t="s">
        <v>72</v>
      </c>
      <c r="C28" s="4"/>
      <c r="D28" s="15"/>
      <c r="E28" s="24" t="s">
        <v>403</v>
      </c>
      <c r="F28" s="24" t="s">
        <v>402</v>
      </c>
      <c r="G28" s="24" t="s">
        <v>401</v>
      </c>
      <c r="H28" s="24" t="s">
        <v>400</v>
      </c>
      <c r="I28" s="24" t="s">
        <v>399</v>
      </c>
      <c r="J28" s="24" t="s">
        <v>398</v>
      </c>
      <c r="K28" s="14"/>
      <c r="L28" s="14"/>
      <c r="M28" s="14"/>
      <c r="N28" s="14"/>
      <c r="O28" s="14"/>
      <c r="P28" s="14"/>
      <c r="Q28" s="14" t="s">
        <v>85</v>
      </c>
      <c r="R28" s="7"/>
      <c r="S28" s="1"/>
      <c r="T28" s="1"/>
    </row>
    <row r="29" spans="1:20" ht="15" x14ac:dyDescent="0.2">
      <c r="A29" s="11">
        <v>42</v>
      </c>
      <c r="B29" s="25" t="s">
        <v>86</v>
      </c>
      <c r="C29" s="4"/>
      <c r="D29" s="15"/>
      <c r="E29" s="24" t="s">
        <v>397</v>
      </c>
      <c r="F29" s="24" t="s">
        <v>396</v>
      </c>
      <c r="G29" s="24" t="s">
        <v>395</v>
      </c>
      <c r="H29" s="24" t="s">
        <v>394</v>
      </c>
      <c r="I29" s="24" t="s">
        <v>393</v>
      </c>
      <c r="J29" s="24" t="s">
        <v>392</v>
      </c>
      <c r="K29" s="24" t="s">
        <v>391</v>
      </c>
      <c r="L29" s="24" t="s">
        <v>390</v>
      </c>
      <c r="M29" s="24" t="s">
        <v>389</v>
      </c>
      <c r="N29" s="24" t="s">
        <v>388</v>
      </c>
      <c r="O29" s="24" t="s">
        <v>387</v>
      </c>
      <c r="P29" s="24" t="s">
        <v>386</v>
      </c>
      <c r="Q29" s="24" t="s">
        <v>99</v>
      </c>
      <c r="R29" s="7"/>
      <c r="S29" s="1"/>
      <c r="T29" s="1"/>
    </row>
    <row r="30" spans="1:20" ht="15" x14ac:dyDescent="0.2">
      <c r="A30" s="11">
        <v>43</v>
      </c>
      <c r="B30" s="25" t="s">
        <v>100</v>
      </c>
      <c r="C30" s="4"/>
      <c r="D30" s="15"/>
      <c r="E30" s="24" t="s">
        <v>385</v>
      </c>
      <c r="F30" s="24" t="s">
        <v>384</v>
      </c>
      <c r="G30" s="24" t="s">
        <v>383</v>
      </c>
      <c r="H30" s="24" t="s">
        <v>382</v>
      </c>
      <c r="I30" s="24" t="s">
        <v>381</v>
      </c>
      <c r="J30" s="24" t="s">
        <v>380</v>
      </c>
      <c r="K30" s="24" t="s">
        <v>379</v>
      </c>
      <c r="L30" s="24" t="s">
        <v>378</v>
      </c>
      <c r="M30" s="24" t="s">
        <v>377</v>
      </c>
      <c r="N30" s="24" t="s">
        <v>376</v>
      </c>
      <c r="O30" s="24" t="s">
        <v>375</v>
      </c>
      <c r="P30" s="24" t="s">
        <v>374</v>
      </c>
      <c r="Q30" s="24" t="s">
        <v>113</v>
      </c>
      <c r="R30" s="7"/>
      <c r="S30" s="1"/>
      <c r="T30" s="1"/>
    </row>
    <row r="31" spans="1:20" ht="15" x14ac:dyDescent="0.2">
      <c r="A31" s="11">
        <v>44</v>
      </c>
      <c r="B31" s="25" t="s">
        <v>114</v>
      </c>
      <c r="C31" s="4"/>
      <c r="D31" s="15"/>
      <c r="E31" s="24" t="s">
        <v>373</v>
      </c>
      <c r="F31" s="24" t="s">
        <v>372</v>
      </c>
      <c r="G31" s="24" t="s">
        <v>371</v>
      </c>
      <c r="H31" s="24" t="s">
        <v>370</v>
      </c>
      <c r="I31" s="24" t="s">
        <v>369</v>
      </c>
      <c r="J31" s="24" t="s">
        <v>368</v>
      </c>
      <c r="K31" s="24" t="s">
        <v>367</v>
      </c>
      <c r="L31" s="24" t="s">
        <v>366</v>
      </c>
      <c r="M31" s="24" t="s">
        <v>365</v>
      </c>
      <c r="N31" s="24" t="s">
        <v>364</v>
      </c>
      <c r="O31" s="24" t="s">
        <v>363</v>
      </c>
      <c r="P31" s="24" t="s">
        <v>362</v>
      </c>
      <c r="Q31" s="24" t="s">
        <v>127</v>
      </c>
      <c r="R31" s="7"/>
      <c r="S31" s="1"/>
      <c r="T31" s="1"/>
    </row>
    <row r="32" spans="1:20" ht="15" x14ac:dyDescent="0.2">
      <c r="A32" s="11">
        <v>45</v>
      </c>
      <c r="B32" s="23" t="s">
        <v>128</v>
      </c>
      <c r="C32" s="5"/>
      <c r="D32" s="10"/>
      <c r="E32" s="22" t="s">
        <v>361</v>
      </c>
      <c r="F32" s="22" t="s">
        <v>360</v>
      </c>
      <c r="G32" s="22" t="s">
        <v>359</v>
      </c>
      <c r="H32" s="22" t="s">
        <v>358</v>
      </c>
      <c r="I32" s="22" t="s">
        <v>357</v>
      </c>
      <c r="J32" s="22" t="s">
        <v>356</v>
      </c>
      <c r="K32" s="22" t="s">
        <v>355</v>
      </c>
      <c r="L32" s="22" t="s">
        <v>354</v>
      </c>
      <c r="M32" s="22" t="s">
        <v>353</v>
      </c>
      <c r="N32" s="22" t="s">
        <v>352</v>
      </c>
      <c r="O32" s="22" t="s">
        <v>351</v>
      </c>
      <c r="P32" s="22" t="s">
        <v>350</v>
      </c>
      <c r="Q32" s="22" t="s">
        <v>141</v>
      </c>
      <c r="R32" s="7"/>
      <c r="S32" s="1"/>
      <c r="T32" s="1"/>
    </row>
    <row r="33" spans="1:20" ht="15" x14ac:dyDescent="0.2">
      <c r="A33" s="11"/>
      <c r="B33" s="16" t="s">
        <v>142</v>
      </c>
      <c r="C33" s="17"/>
      <c r="D33" s="17"/>
      <c r="E33" s="18"/>
      <c r="F33" s="18"/>
      <c r="G33" s="18"/>
      <c r="H33" s="18"/>
      <c r="I33" s="18"/>
      <c r="J33" s="18"/>
      <c r="K33" s="18"/>
      <c r="L33" s="18"/>
      <c r="M33" s="18"/>
      <c r="N33" s="18"/>
      <c r="O33" s="18"/>
      <c r="P33" s="18"/>
      <c r="Q33" s="18"/>
      <c r="R33" s="6">
        <f>SUM(R26:R32)</f>
        <v>0</v>
      </c>
      <c r="S33" s="1"/>
      <c r="T33" s="1"/>
    </row>
    <row r="37" spans="1:20" ht="15.75" x14ac:dyDescent="0.2">
      <c r="A37" s="11"/>
      <c r="B37" s="2"/>
      <c r="C37" s="12"/>
      <c r="D37" s="12"/>
      <c r="E37" s="11"/>
      <c r="F37" s="11"/>
      <c r="G37" s="11"/>
      <c r="H37" s="11"/>
      <c r="I37" s="11"/>
      <c r="J37" s="11"/>
      <c r="K37" s="11"/>
      <c r="L37" s="11"/>
      <c r="M37" s="11"/>
      <c r="N37" s="11"/>
      <c r="O37" s="11"/>
      <c r="P37" s="11"/>
      <c r="Q37" s="11"/>
      <c r="R37" s="11"/>
      <c r="S37" s="1"/>
      <c r="T37" s="1"/>
    </row>
    <row r="38" spans="1:20" ht="15.75" x14ac:dyDescent="0.2">
      <c r="A38" s="11"/>
      <c r="B38" s="2" t="s">
        <v>349</v>
      </c>
      <c r="C38" s="12"/>
      <c r="D38" s="12"/>
      <c r="E38" s="11"/>
      <c r="F38" s="11"/>
      <c r="G38" s="11"/>
      <c r="H38" s="11"/>
      <c r="I38" s="11"/>
      <c r="J38" s="11"/>
      <c r="K38" s="11"/>
      <c r="L38" s="11"/>
      <c r="M38" s="11"/>
      <c r="N38" s="11"/>
      <c r="O38" s="11"/>
      <c r="P38" s="11"/>
      <c r="Q38" s="11"/>
      <c r="R38" s="11"/>
      <c r="S38" s="1"/>
      <c r="T38" s="1"/>
    </row>
    <row r="39" spans="1:20" ht="15.75" x14ac:dyDescent="0.2">
      <c r="A39" s="11"/>
      <c r="B39" s="2"/>
      <c r="C39" s="12"/>
      <c r="D39" s="12"/>
      <c r="E39" s="11">
        <v>1</v>
      </c>
      <c r="F39" s="11">
        <v>2</v>
      </c>
      <c r="G39" s="11">
        <v>3</v>
      </c>
      <c r="H39" s="11">
        <v>4</v>
      </c>
      <c r="I39" s="11">
        <v>5</v>
      </c>
      <c r="J39" s="11">
        <v>6</v>
      </c>
      <c r="K39" s="11">
        <v>7</v>
      </c>
      <c r="L39" s="11">
        <v>8</v>
      </c>
      <c r="M39" s="11">
        <v>9</v>
      </c>
      <c r="N39" s="11">
        <v>10</v>
      </c>
      <c r="O39" s="11">
        <v>11</v>
      </c>
      <c r="P39" s="11">
        <v>12</v>
      </c>
      <c r="Q39" s="11">
        <v>13</v>
      </c>
      <c r="R39" s="11">
        <v>14</v>
      </c>
      <c r="S39" s="1"/>
      <c r="T39" s="1"/>
    </row>
    <row r="40" spans="1:20" ht="15" x14ac:dyDescent="0.2">
      <c r="A40" s="11"/>
      <c r="B40" s="277" t="s">
        <v>2</v>
      </c>
      <c r="C40" s="278"/>
      <c r="D40" s="279"/>
      <c r="E40" s="283" t="s">
        <v>58</v>
      </c>
      <c r="F40" s="283"/>
      <c r="G40" s="283"/>
      <c r="H40" s="283"/>
      <c r="I40" s="283"/>
      <c r="J40" s="283"/>
      <c r="K40" s="283"/>
      <c r="L40" s="283"/>
      <c r="M40" s="283"/>
      <c r="N40" s="283"/>
      <c r="O40" s="283"/>
      <c r="P40" s="283"/>
      <c r="Q40" s="283"/>
      <c r="R40" s="284" t="s">
        <v>18</v>
      </c>
      <c r="S40" s="1"/>
      <c r="T40" s="1"/>
    </row>
    <row r="41" spans="1:20" ht="15" x14ac:dyDescent="0.2">
      <c r="A41" s="11"/>
      <c r="B41" s="280"/>
      <c r="C41" s="281"/>
      <c r="D41" s="282"/>
      <c r="E41" s="20" t="s">
        <v>19</v>
      </c>
      <c r="F41" s="21" t="s">
        <v>20</v>
      </c>
      <c r="G41" s="21" t="s">
        <v>21</v>
      </c>
      <c r="H41" s="21" t="s">
        <v>22</v>
      </c>
      <c r="I41" s="21" t="s">
        <v>23</v>
      </c>
      <c r="J41" s="21" t="s">
        <v>24</v>
      </c>
      <c r="K41" s="21" t="s">
        <v>25</v>
      </c>
      <c r="L41" s="21" t="s">
        <v>26</v>
      </c>
      <c r="M41" s="21" t="s">
        <v>27</v>
      </c>
      <c r="N41" s="21" t="s">
        <v>28</v>
      </c>
      <c r="O41" s="21" t="s">
        <v>29</v>
      </c>
      <c r="P41" s="21" t="s">
        <v>59</v>
      </c>
      <c r="Q41" s="13" t="s">
        <v>60</v>
      </c>
      <c r="R41" s="285"/>
      <c r="S41" s="1"/>
      <c r="T41" s="1"/>
    </row>
    <row r="42" spans="1:20" ht="15" x14ac:dyDescent="0.2">
      <c r="A42" s="11">
        <v>39</v>
      </c>
      <c r="B42" s="28" t="s">
        <v>348</v>
      </c>
      <c r="C42" s="3"/>
      <c r="D42" s="9"/>
      <c r="E42" s="27" t="s">
        <v>143</v>
      </c>
      <c r="F42" s="27" t="s">
        <v>144</v>
      </c>
      <c r="G42" s="27" t="s">
        <v>145</v>
      </c>
      <c r="H42" s="27" t="s">
        <v>146</v>
      </c>
      <c r="I42" s="27" t="s">
        <v>147</v>
      </c>
      <c r="J42" s="8"/>
      <c r="K42" s="8"/>
      <c r="L42" s="8"/>
      <c r="M42" s="8"/>
      <c r="N42" s="8"/>
      <c r="O42" s="8"/>
      <c r="P42" s="8"/>
      <c r="Q42" s="14" t="s">
        <v>67</v>
      </c>
      <c r="R42" s="7" t="s">
        <v>68</v>
      </c>
      <c r="S42" s="1"/>
      <c r="T42" s="1"/>
    </row>
    <row r="43" spans="1:20" ht="15" x14ac:dyDescent="0.2">
      <c r="A43" s="11">
        <v>40</v>
      </c>
      <c r="B43" s="25" t="s">
        <v>347</v>
      </c>
      <c r="C43" s="4"/>
      <c r="D43" s="15"/>
      <c r="E43" s="26" t="s">
        <v>148</v>
      </c>
      <c r="F43" s="26" t="s">
        <v>149</v>
      </c>
      <c r="G43" s="8"/>
      <c r="H43" s="8"/>
      <c r="I43" s="8"/>
      <c r="J43" s="8"/>
      <c r="K43" s="8"/>
      <c r="L43" s="8"/>
      <c r="M43" s="8"/>
      <c r="N43" s="8"/>
      <c r="O43" s="8"/>
      <c r="P43" s="8"/>
      <c r="Q43" s="14" t="s">
        <v>346</v>
      </c>
      <c r="R43" s="7" t="s">
        <v>68</v>
      </c>
      <c r="S43" s="1"/>
      <c r="T43" s="1"/>
    </row>
    <row r="44" spans="1:20" ht="15" x14ac:dyDescent="0.2">
      <c r="A44" s="11">
        <v>41</v>
      </c>
      <c r="B44" s="25" t="s">
        <v>72</v>
      </c>
      <c r="C44" s="4"/>
      <c r="D44" s="15"/>
      <c r="E44" s="24" t="s">
        <v>150</v>
      </c>
      <c r="F44" s="24" t="s">
        <v>345</v>
      </c>
      <c r="G44" s="24" t="s">
        <v>151</v>
      </c>
      <c r="H44" s="24" t="s">
        <v>344</v>
      </c>
      <c r="I44" s="24" t="s">
        <v>343</v>
      </c>
      <c r="J44" s="24" t="s">
        <v>342</v>
      </c>
      <c r="K44" s="14"/>
      <c r="L44" s="14"/>
      <c r="M44" s="14"/>
      <c r="N44" s="14"/>
      <c r="O44" s="14"/>
      <c r="P44" s="14"/>
      <c r="Q44" s="14" t="s">
        <v>85</v>
      </c>
      <c r="R44" s="7"/>
      <c r="S44" s="1"/>
      <c r="T44" s="1"/>
    </row>
    <row r="45" spans="1:20" ht="15" x14ac:dyDescent="0.2">
      <c r="A45" s="11">
        <v>42</v>
      </c>
      <c r="B45" s="25" t="s">
        <v>86</v>
      </c>
      <c r="C45" s="4"/>
      <c r="D45" s="15"/>
      <c r="E45" s="24" t="s">
        <v>152</v>
      </c>
      <c r="F45" s="24" t="s">
        <v>341</v>
      </c>
      <c r="G45" s="24" t="s">
        <v>153</v>
      </c>
      <c r="H45" s="24" t="s">
        <v>340</v>
      </c>
      <c r="I45" s="24" t="s">
        <v>339</v>
      </c>
      <c r="J45" s="24" t="s">
        <v>338</v>
      </c>
      <c r="K45" s="24" t="s">
        <v>337</v>
      </c>
      <c r="L45" s="24" t="s">
        <v>336</v>
      </c>
      <c r="M45" s="24" t="s">
        <v>335</v>
      </c>
      <c r="N45" s="24" t="s">
        <v>334</v>
      </c>
      <c r="O45" s="24" t="s">
        <v>333</v>
      </c>
      <c r="P45" s="24" t="s">
        <v>332</v>
      </c>
      <c r="Q45" s="24" t="s">
        <v>99</v>
      </c>
      <c r="R45" s="7" t="s">
        <v>68</v>
      </c>
      <c r="S45" s="1"/>
      <c r="T45" s="1"/>
    </row>
    <row r="46" spans="1:20" ht="15" x14ac:dyDescent="0.2">
      <c r="A46" s="11">
        <v>43</v>
      </c>
      <c r="B46" s="25" t="s">
        <v>100</v>
      </c>
      <c r="C46" s="4"/>
      <c r="D46" s="15"/>
      <c r="E46" s="24" t="s">
        <v>154</v>
      </c>
      <c r="F46" s="24" t="s">
        <v>331</v>
      </c>
      <c r="G46" s="24" t="s">
        <v>155</v>
      </c>
      <c r="H46" s="24" t="s">
        <v>330</v>
      </c>
      <c r="I46" s="24" t="s">
        <v>329</v>
      </c>
      <c r="J46" s="24" t="s">
        <v>328</v>
      </c>
      <c r="K46" s="24" t="s">
        <v>327</v>
      </c>
      <c r="L46" s="24" t="s">
        <v>326</v>
      </c>
      <c r="M46" s="24" t="s">
        <v>325</v>
      </c>
      <c r="N46" s="24" t="s">
        <v>324</v>
      </c>
      <c r="O46" s="24" t="s">
        <v>323</v>
      </c>
      <c r="P46" s="24" t="s">
        <v>322</v>
      </c>
      <c r="Q46" s="24" t="s">
        <v>113</v>
      </c>
      <c r="R46" s="7" t="s">
        <v>68</v>
      </c>
      <c r="S46" s="1"/>
      <c r="T46" s="1"/>
    </row>
    <row r="47" spans="1:20" ht="15" x14ac:dyDescent="0.2">
      <c r="A47" s="11">
        <v>44</v>
      </c>
      <c r="B47" s="25" t="s">
        <v>114</v>
      </c>
      <c r="C47" s="4"/>
      <c r="D47" s="15"/>
      <c r="E47" s="24" t="s">
        <v>156</v>
      </c>
      <c r="F47" s="24" t="s">
        <v>321</v>
      </c>
      <c r="G47" s="24" t="s">
        <v>157</v>
      </c>
      <c r="H47" s="24" t="s">
        <v>320</v>
      </c>
      <c r="I47" s="24" t="s">
        <v>319</v>
      </c>
      <c r="J47" s="24" t="s">
        <v>318</v>
      </c>
      <c r="K47" s="24" t="s">
        <v>317</v>
      </c>
      <c r="L47" s="24" t="s">
        <v>316</v>
      </c>
      <c r="M47" s="24" t="s">
        <v>315</v>
      </c>
      <c r="N47" s="24" t="s">
        <v>314</v>
      </c>
      <c r="O47" s="24" t="s">
        <v>313</v>
      </c>
      <c r="P47" s="24" t="s">
        <v>312</v>
      </c>
      <c r="Q47" s="24" t="s">
        <v>127</v>
      </c>
      <c r="R47" s="7" t="s">
        <v>68</v>
      </c>
      <c r="S47" s="1"/>
      <c r="T47" s="1"/>
    </row>
    <row r="48" spans="1:20" ht="15" x14ac:dyDescent="0.2">
      <c r="A48" s="11">
        <v>45</v>
      </c>
      <c r="B48" s="23" t="s">
        <v>128</v>
      </c>
      <c r="C48" s="5"/>
      <c r="D48" s="10"/>
      <c r="E48" s="22" t="s">
        <v>158</v>
      </c>
      <c r="F48" s="22" t="s">
        <v>311</v>
      </c>
      <c r="G48" s="22" t="s">
        <v>159</v>
      </c>
      <c r="H48" s="22" t="s">
        <v>310</v>
      </c>
      <c r="I48" s="22" t="s">
        <v>309</v>
      </c>
      <c r="J48" s="22" t="s">
        <v>308</v>
      </c>
      <c r="K48" s="22" t="s">
        <v>307</v>
      </c>
      <c r="L48" s="22" t="s">
        <v>306</v>
      </c>
      <c r="M48" s="22" t="s">
        <v>305</v>
      </c>
      <c r="N48" s="22" t="s">
        <v>304</v>
      </c>
      <c r="O48" s="22" t="s">
        <v>303</v>
      </c>
      <c r="P48" s="22" t="s">
        <v>302</v>
      </c>
      <c r="Q48" s="22" t="s">
        <v>141</v>
      </c>
      <c r="R48" s="7" t="s">
        <v>68</v>
      </c>
      <c r="S48" s="1"/>
      <c r="T48" s="1"/>
    </row>
    <row r="49" spans="1:20" ht="15" x14ac:dyDescent="0.2">
      <c r="A49" s="11"/>
      <c r="B49" s="16" t="s">
        <v>142</v>
      </c>
      <c r="C49" s="17"/>
      <c r="D49" s="17"/>
      <c r="E49" s="18"/>
      <c r="F49" s="18"/>
      <c r="G49" s="18"/>
      <c r="H49" s="18"/>
      <c r="I49" s="18"/>
      <c r="J49" s="18"/>
      <c r="K49" s="18"/>
      <c r="L49" s="18"/>
      <c r="M49" s="18"/>
      <c r="N49" s="18"/>
      <c r="O49" s="18"/>
      <c r="P49" s="18"/>
      <c r="Q49" s="18"/>
      <c r="R49" s="6">
        <f>SUM(R42:R48)</f>
        <v>0</v>
      </c>
      <c r="S49" s="1"/>
      <c r="T49" s="1"/>
    </row>
  </sheetData>
  <mergeCells count="9">
    <mergeCell ref="B40:D41"/>
    <mergeCell ref="E40:Q40"/>
    <mergeCell ref="R40:R41"/>
    <mergeCell ref="B5:D6"/>
    <mergeCell ref="E5:Q5"/>
    <mergeCell ref="R5:R6"/>
    <mergeCell ref="B24:D25"/>
    <mergeCell ref="E24:Q24"/>
    <mergeCell ref="R24:R25"/>
  </mergeCells>
  <conditionalFormatting sqref="R5:R6">
    <cfRule type="expression" dxfId="43" priority="6">
      <formula>$R$98&gt;0</formula>
    </cfRule>
  </conditionalFormatting>
  <conditionalFormatting sqref="R7:R13">
    <cfRule type="cellIs" dxfId="42" priority="5" operator="greaterThan">
      <formula>0</formula>
    </cfRule>
  </conditionalFormatting>
  <conditionalFormatting sqref="R24:R25">
    <cfRule type="expression" dxfId="41" priority="4">
      <formula>$R$98&gt;0</formula>
    </cfRule>
  </conditionalFormatting>
  <conditionalFormatting sqref="R26:R32">
    <cfRule type="cellIs" dxfId="40" priority="3" operator="greaterThan">
      <formula>0</formula>
    </cfRule>
  </conditionalFormatting>
  <conditionalFormatting sqref="R40:R41">
    <cfRule type="expression" dxfId="39" priority="2">
      <formula>$R$98&gt;0</formula>
    </cfRule>
  </conditionalFormatting>
  <conditionalFormatting sqref="R42:R48">
    <cfRule type="cellIs" dxfId="38" priority="1" operator="greaterThan">
      <formula>0</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A421"/>
  <sheetViews>
    <sheetView showGridLines="0" tabSelected="1" zoomScale="90" zoomScaleNormal="90" zoomScaleSheetLayoutView="100" workbookViewId="0"/>
  </sheetViews>
  <sheetFormatPr baseColWidth="10" defaultColWidth="11.42578125" defaultRowHeight="15.75" x14ac:dyDescent="0.2"/>
  <cols>
    <col min="1" max="1" width="5" style="45" customWidth="1"/>
    <col min="2" max="3" width="16.28515625" style="46" customWidth="1"/>
    <col min="4" max="14" width="11.42578125" style="46" customWidth="1"/>
    <col min="15" max="15" width="11.42578125" style="47" customWidth="1"/>
    <col min="16" max="27" width="11.42578125" style="46" customWidth="1"/>
    <col min="28" max="16384" width="11.42578125" style="46"/>
  </cols>
  <sheetData>
    <row r="1" spans="1:27" s="142" customFormat="1" ht="12.75" x14ac:dyDescent="0.2">
      <c r="A1" s="139"/>
      <c r="B1" s="140" t="s">
        <v>586</v>
      </c>
      <c r="C1" s="141"/>
      <c r="D1" s="141"/>
      <c r="E1" s="141"/>
      <c r="F1" s="141"/>
      <c r="G1" s="141"/>
      <c r="H1" s="141"/>
      <c r="I1" s="141"/>
      <c r="J1" s="141"/>
      <c r="K1" s="141"/>
      <c r="L1" s="141"/>
    </row>
    <row r="2" spans="1:27" s="142" customFormat="1" ht="12.75" x14ac:dyDescent="0.2">
      <c r="A2" s="139"/>
      <c r="B2" s="140" t="s">
        <v>587</v>
      </c>
      <c r="C2" s="141"/>
      <c r="D2" s="141"/>
      <c r="E2" s="141"/>
      <c r="F2" s="141"/>
      <c r="G2" s="141"/>
      <c r="H2" s="141"/>
      <c r="I2" s="141"/>
      <c r="J2" s="141"/>
      <c r="K2" s="141"/>
      <c r="L2" s="141"/>
    </row>
    <row r="3" spans="1:27" s="142" customFormat="1" ht="12.75" x14ac:dyDescent="0.2">
      <c r="A3" s="139"/>
      <c r="B3" s="140" t="s">
        <v>588</v>
      </c>
      <c r="C3" s="141"/>
      <c r="D3" s="141"/>
      <c r="E3" s="141"/>
      <c r="F3" s="141"/>
      <c r="G3" s="141"/>
      <c r="H3" s="141"/>
      <c r="I3" s="141"/>
      <c r="J3" s="141"/>
      <c r="K3" s="141"/>
      <c r="L3" s="141"/>
    </row>
    <row r="4" spans="1:27" s="142" customFormat="1" ht="12.75" x14ac:dyDescent="0.2">
      <c r="A4" s="139"/>
      <c r="B4" s="140" t="s">
        <v>589</v>
      </c>
      <c r="C4" s="141"/>
      <c r="D4" s="141"/>
      <c r="E4" s="141"/>
      <c r="F4" s="141"/>
      <c r="G4" s="141"/>
      <c r="H4" s="141"/>
      <c r="I4" s="141"/>
      <c r="J4" s="141"/>
      <c r="K4" s="141"/>
      <c r="L4" s="141"/>
    </row>
    <row r="5" spans="1:27" s="142" customFormat="1" x14ac:dyDescent="0.2">
      <c r="A5" s="286" t="s">
        <v>590</v>
      </c>
      <c r="B5" s="286"/>
      <c r="C5" s="286"/>
      <c r="D5" s="286"/>
      <c r="E5" s="286"/>
      <c r="F5" s="286"/>
      <c r="G5" s="286"/>
      <c r="H5" s="286"/>
      <c r="I5" s="286"/>
      <c r="J5" s="286"/>
      <c r="K5" s="286"/>
      <c r="L5" s="143"/>
      <c r="M5" s="143"/>
    </row>
    <row r="6" spans="1:27" s="142" customFormat="1" ht="12.75" x14ac:dyDescent="0.2">
      <c r="A6" s="139"/>
      <c r="B6" s="140"/>
      <c r="C6" s="141"/>
      <c r="D6" s="141"/>
      <c r="E6" s="141"/>
      <c r="F6" s="141"/>
      <c r="G6" s="141"/>
      <c r="H6" s="141"/>
      <c r="I6" s="141"/>
      <c r="J6" s="141"/>
      <c r="K6" s="144"/>
      <c r="L6" s="144"/>
    </row>
    <row r="7" spans="1:27" s="50" customFormat="1" ht="18" customHeight="1" x14ac:dyDescent="0.2">
      <c r="A7" s="315" t="s">
        <v>0</v>
      </c>
      <c r="B7" s="315"/>
      <c r="C7" s="315"/>
      <c r="D7" s="315"/>
      <c r="E7" s="315"/>
      <c r="F7" s="315"/>
      <c r="O7" s="49"/>
      <c r="P7" s="54"/>
      <c r="Q7" s="54"/>
      <c r="R7" s="54"/>
      <c r="S7" s="54"/>
      <c r="T7" s="54"/>
      <c r="U7" s="54"/>
      <c r="V7" s="54"/>
      <c r="W7" s="54"/>
      <c r="X7" s="55"/>
      <c r="Y7" s="55"/>
      <c r="Z7" s="55"/>
      <c r="AA7" s="55"/>
    </row>
    <row r="8" spans="1:27" s="50" customFormat="1" ht="18" customHeight="1" x14ac:dyDescent="0.2">
      <c r="A8" s="145">
        <v>91</v>
      </c>
      <c r="O8" s="49"/>
      <c r="P8" s="54"/>
      <c r="Q8" s="54"/>
      <c r="R8" s="54"/>
      <c r="S8" s="54"/>
      <c r="T8" s="54"/>
      <c r="U8" s="54"/>
      <c r="V8" s="54"/>
      <c r="W8" s="54"/>
      <c r="X8" s="55"/>
      <c r="Y8" s="55"/>
      <c r="Z8" s="55"/>
      <c r="AA8" s="55"/>
    </row>
    <row r="9" spans="1:27" s="50" customFormat="1" x14ac:dyDescent="0.2">
      <c r="A9" s="45"/>
      <c r="B9" s="56" t="s">
        <v>1</v>
      </c>
      <c r="C9" s="48"/>
      <c r="D9" s="53"/>
      <c r="E9" s="48"/>
      <c r="F9" s="72"/>
      <c r="G9" s="48"/>
      <c r="H9" s="48"/>
      <c r="I9" s="48"/>
      <c r="J9" s="48"/>
      <c r="K9" s="48"/>
      <c r="L9" s="48"/>
      <c r="O9" s="49"/>
      <c r="P9" s="54"/>
      <c r="Q9" s="54"/>
      <c r="R9" s="54"/>
      <c r="S9" s="54"/>
      <c r="T9" s="54"/>
      <c r="U9" s="54"/>
      <c r="V9" s="54"/>
      <c r="W9" s="54"/>
      <c r="X9" s="55"/>
      <c r="Y9" s="55"/>
      <c r="Z9" s="55"/>
      <c r="AA9" s="55"/>
    </row>
    <row r="10" spans="1:27" s="50" customFormat="1" ht="18" customHeight="1" x14ac:dyDescent="0.2">
      <c r="A10" s="45"/>
      <c r="B10" s="292" t="s">
        <v>2</v>
      </c>
      <c r="C10" s="292"/>
      <c r="D10" s="292"/>
      <c r="E10" s="292"/>
      <c r="F10" s="146" t="s">
        <v>3</v>
      </c>
      <c r="G10" s="57"/>
      <c r="H10" s="57"/>
      <c r="I10" s="57"/>
      <c r="J10" s="57"/>
      <c r="K10" s="57"/>
      <c r="L10" s="57"/>
      <c r="O10" s="52"/>
      <c r="X10" s="55"/>
      <c r="Y10" s="55"/>
      <c r="Z10" s="55"/>
      <c r="AA10" s="55"/>
    </row>
    <row r="11" spans="1:27" s="50" customFormat="1" ht="18" customHeight="1" x14ac:dyDescent="0.2">
      <c r="A11" s="45"/>
      <c r="B11" s="406" t="s">
        <v>5</v>
      </c>
      <c r="C11" s="407"/>
      <c r="D11" s="407"/>
      <c r="E11" s="408"/>
      <c r="F11" s="154"/>
      <c r="G11" s="58"/>
      <c r="H11" s="58"/>
      <c r="I11" s="58"/>
      <c r="J11" s="58"/>
      <c r="K11" s="58"/>
      <c r="L11" s="59"/>
      <c r="O11" s="52"/>
      <c r="X11" s="55"/>
      <c r="Y11" s="55"/>
      <c r="Z11" s="55"/>
      <c r="AA11" s="55"/>
    </row>
    <row r="12" spans="1:27" s="50" customFormat="1" ht="18" customHeight="1" x14ac:dyDescent="0.2">
      <c r="A12" s="45"/>
      <c r="B12" s="406" t="s">
        <v>6</v>
      </c>
      <c r="C12" s="407"/>
      <c r="D12" s="407"/>
      <c r="E12" s="408"/>
      <c r="F12" s="154"/>
      <c r="G12" s="60"/>
      <c r="H12" s="60"/>
      <c r="I12" s="60"/>
      <c r="J12" s="60"/>
      <c r="K12" s="60"/>
      <c r="L12" s="59"/>
      <c r="M12" s="55"/>
      <c r="N12" s="55"/>
      <c r="O12" s="61"/>
      <c r="X12" s="55"/>
      <c r="Y12" s="55"/>
      <c r="Z12" s="55"/>
      <c r="AA12" s="55"/>
    </row>
    <row r="13" spans="1:27" s="50" customFormat="1" ht="18" customHeight="1" x14ac:dyDescent="0.2">
      <c r="A13" s="45"/>
      <c r="B13" s="406" t="s">
        <v>408</v>
      </c>
      <c r="C13" s="407"/>
      <c r="D13" s="407"/>
      <c r="E13" s="408"/>
      <c r="F13" s="154"/>
      <c r="G13" s="60"/>
      <c r="H13" s="60"/>
      <c r="I13" s="60"/>
      <c r="J13" s="60"/>
      <c r="K13" s="60"/>
      <c r="L13" s="59"/>
      <c r="M13" s="55"/>
      <c r="N13" s="55"/>
      <c r="O13" s="61"/>
      <c r="X13" s="55"/>
      <c r="Y13" s="55"/>
      <c r="Z13" s="55"/>
      <c r="AA13" s="55"/>
    </row>
    <row r="14" spans="1:27" s="50" customFormat="1" ht="18" customHeight="1" x14ac:dyDescent="0.2">
      <c r="A14" s="45"/>
      <c r="G14" s="60"/>
      <c r="H14" s="60"/>
      <c r="I14" s="60"/>
      <c r="J14" s="60"/>
      <c r="K14" s="60"/>
      <c r="L14" s="59"/>
      <c r="M14" s="55"/>
      <c r="N14" s="55"/>
      <c r="O14" s="61"/>
      <c r="X14" s="55"/>
      <c r="Y14" s="55"/>
      <c r="Z14" s="55"/>
      <c r="AA14" s="55"/>
    </row>
    <row r="15" spans="1:27" s="50" customFormat="1" ht="18" customHeight="1" x14ac:dyDescent="0.2">
      <c r="A15" s="45"/>
      <c r="B15" s="56" t="s">
        <v>536</v>
      </c>
      <c r="C15" s="48"/>
      <c r="D15" s="53"/>
      <c r="E15" s="48"/>
      <c r="F15" s="48"/>
      <c r="G15" s="60"/>
      <c r="H15" s="60"/>
      <c r="I15" s="60"/>
      <c r="J15" s="60"/>
      <c r="K15" s="60"/>
      <c r="L15" s="59"/>
      <c r="M15" s="55"/>
      <c r="N15" s="55"/>
      <c r="O15" s="61"/>
      <c r="X15" s="55"/>
      <c r="Y15" s="55"/>
      <c r="Z15" s="55"/>
      <c r="AA15" s="55"/>
    </row>
    <row r="16" spans="1:27" s="50" customFormat="1" ht="18" customHeight="1" x14ac:dyDescent="0.2">
      <c r="A16" s="45"/>
      <c r="B16" s="292" t="s">
        <v>10</v>
      </c>
      <c r="C16" s="292"/>
      <c r="D16" s="292" t="s">
        <v>11</v>
      </c>
      <c r="E16" s="292"/>
      <c r="F16" s="292"/>
      <c r="G16" s="60"/>
      <c r="H16" s="60"/>
      <c r="I16" s="60"/>
      <c r="J16" s="60"/>
      <c r="K16" s="60"/>
      <c r="L16" s="59"/>
      <c r="M16" s="55"/>
      <c r="N16" s="55"/>
      <c r="O16" s="61"/>
      <c r="X16" s="55"/>
      <c r="Y16" s="55"/>
      <c r="Z16" s="55"/>
      <c r="AA16" s="55"/>
    </row>
    <row r="17" spans="1:27" s="50" customFormat="1" ht="18" customHeight="1" x14ac:dyDescent="0.2">
      <c r="A17" s="45"/>
      <c r="B17" s="292"/>
      <c r="C17" s="292"/>
      <c r="D17" s="146" t="s">
        <v>12</v>
      </c>
      <c r="E17" s="146" t="s">
        <v>13</v>
      </c>
      <c r="F17" s="146" t="s">
        <v>14</v>
      </c>
      <c r="G17" s="60"/>
      <c r="H17" s="60"/>
      <c r="I17" s="60"/>
      <c r="J17" s="60"/>
      <c r="K17" s="60"/>
      <c r="L17" s="59"/>
      <c r="M17" s="55"/>
      <c r="N17" s="55"/>
      <c r="O17" s="61"/>
      <c r="X17" s="55"/>
      <c r="Y17" s="55"/>
      <c r="Z17" s="55"/>
      <c r="AA17" s="55"/>
    </row>
    <row r="18" spans="1:27" s="50" customFormat="1" ht="18" customHeight="1" x14ac:dyDescent="0.2">
      <c r="A18" s="45"/>
      <c r="B18" s="406" t="s">
        <v>409</v>
      </c>
      <c r="C18" s="408"/>
      <c r="D18" s="147"/>
      <c r="E18" s="147"/>
      <c r="F18" s="224"/>
      <c r="G18" s="60"/>
      <c r="H18" s="60"/>
      <c r="I18" s="60"/>
      <c r="J18" s="60"/>
      <c r="K18" s="60"/>
      <c r="L18" s="59"/>
      <c r="M18" s="60"/>
      <c r="N18" s="59"/>
      <c r="O18" s="61"/>
      <c r="X18" s="55"/>
      <c r="Y18" s="55"/>
      <c r="Z18" s="55"/>
      <c r="AA18" s="55"/>
    </row>
    <row r="19" spans="1:27" s="50" customFormat="1" ht="18" customHeight="1" x14ac:dyDescent="0.2">
      <c r="A19" s="45"/>
      <c r="B19" s="406" t="s">
        <v>174</v>
      </c>
      <c r="C19" s="408"/>
      <c r="D19" s="147"/>
      <c r="E19" s="147"/>
      <c r="F19" s="224"/>
      <c r="J19" s="60"/>
      <c r="K19" s="60"/>
      <c r="M19" s="60"/>
      <c r="N19" s="59"/>
      <c r="O19" s="61"/>
      <c r="X19" s="55"/>
      <c r="Y19" s="55"/>
      <c r="Z19" s="55"/>
      <c r="AA19" s="55"/>
    </row>
    <row r="20" spans="1:27" s="50" customFormat="1" ht="18" customHeight="1" x14ac:dyDescent="0.2">
      <c r="A20" s="45"/>
      <c r="B20" s="406" t="s">
        <v>175</v>
      </c>
      <c r="C20" s="408"/>
      <c r="D20" s="147"/>
      <c r="E20" s="147"/>
      <c r="F20" s="224"/>
      <c r="J20" s="60"/>
      <c r="K20" s="60"/>
      <c r="M20" s="60"/>
      <c r="N20" s="59"/>
      <c r="O20" s="61"/>
      <c r="X20" s="55"/>
      <c r="Y20" s="55"/>
      <c r="Z20" s="55"/>
      <c r="AA20" s="55"/>
    </row>
    <row r="21" spans="1:27" s="50" customFormat="1" ht="18" customHeight="1" x14ac:dyDescent="0.2">
      <c r="A21" s="45"/>
      <c r="B21" s="406" t="s">
        <v>410</v>
      </c>
      <c r="C21" s="408"/>
      <c r="D21" s="147"/>
      <c r="E21" s="147"/>
      <c r="F21" s="224"/>
      <c r="G21" s="57"/>
      <c r="J21" s="62"/>
      <c r="K21" s="60"/>
      <c r="L21" s="63"/>
      <c r="M21" s="60"/>
      <c r="N21" s="59"/>
      <c r="O21" s="61"/>
      <c r="X21" s="55"/>
      <c r="Y21" s="55"/>
      <c r="Z21" s="55"/>
      <c r="AA21" s="55"/>
    </row>
    <row r="22" spans="1:27" s="50" customFormat="1" ht="18" customHeight="1" x14ac:dyDescent="0.2">
      <c r="A22" s="45"/>
      <c r="B22" s="406" t="s">
        <v>489</v>
      </c>
      <c r="C22" s="408"/>
      <c r="D22" s="147"/>
      <c r="E22" s="147"/>
      <c r="F22" s="224"/>
      <c r="G22" s="57"/>
      <c r="J22" s="62"/>
      <c r="K22" s="60"/>
      <c r="L22" s="63"/>
      <c r="M22" s="60"/>
      <c r="N22" s="59"/>
      <c r="O22" s="61"/>
      <c r="X22" s="55"/>
      <c r="Y22" s="55"/>
      <c r="Z22" s="55"/>
      <c r="AA22" s="55"/>
    </row>
    <row r="23" spans="1:27" s="50" customFormat="1" ht="18" customHeight="1" x14ac:dyDescent="0.2">
      <c r="A23" s="45"/>
      <c r="B23" s="406" t="s">
        <v>411</v>
      </c>
      <c r="C23" s="408"/>
      <c r="D23" s="147"/>
      <c r="E23" s="147"/>
      <c r="F23" s="224"/>
      <c r="G23" s="63"/>
      <c r="H23" s="63"/>
      <c r="I23" s="63"/>
      <c r="J23" s="63"/>
      <c r="K23" s="63"/>
      <c r="L23" s="63"/>
      <c r="M23" s="60"/>
      <c r="N23" s="59"/>
      <c r="O23" s="61"/>
      <c r="X23" s="55"/>
      <c r="Y23" s="55"/>
      <c r="Z23" s="55"/>
      <c r="AA23" s="55"/>
    </row>
    <row r="24" spans="1:27" s="50" customFormat="1" ht="18" customHeight="1" x14ac:dyDescent="0.2">
      <c r="A24" s="45"/>
      <c r="B24" s="406" t="s">
        <v>412</v>
      </c>
      <c r="C24" s="408"/>
      <c r="D24" s="147"/>
      <c r="E24" s="147"/>
      <c r="F24" s="224"/>
      <c r="G24" s="63"/>
      <c r="H24" s="63"/>
      <c r="I24" s="63"/>
      <c r="J24" s="63"/>
      <c r="K24" s="63"/>
      <c r="L24" s="63"/>
      <c r="M24" s="60"/>
      <c r="N24" s="59"/>
      <c r="O24" s="61"/>
      <c r="X24" s="55"/>
      <c r="Y24" s="55"/>
      <c r="Z24" s="55"/>
      <c r="AA24" s="55"/>
    </row>
    <row r="25" spans="1:27" s="50" customFormat="1" ht="18" customHeight="1" x14ac:dyDescent="0.2">
      <c r="A25" s="45"/>
      <c r="B25" s="406" t="s">
        <v>413</v>
      </c>
      <c r="C25" s="408"/>
      <c r="D25" s="147"/>
      <c r="E25" s="147"/>
      <c r="F25" s="224"/>
      <c r="G25" s="63"/>
      <c r="H25" s="63"/>
      <c r="I25" s="63"/>
      <c r="J25" s="63"/>
      <c r="K25" s="63"/>
      <c r="L25" s="63"/>
      <c r="M25" s="60"/>
      <c r="N25" s="59"/>
      <c r="O25" s="61"/>
      <c r="X25" s="55"/>
      <c r="Y25" s="55"/>
      <c r="Z25" s="55"/>
      <c r="AA25" s="55"/>
    </row>
    <row r="26" spans="1:27" s="50" customFormat="1" ht="18" customHeight="1" x14ac:dyDescent="0.2">
      <c r="A26" s="45"/>
      <c r="G26" s="63"/>
      <c r="H26" s="63"/>
      <c r="I26" s="63"/>
      <c r="J26" s="63"/>
      <c r="K26" s="63"/>
      <c r="L26" s="63"/>
      <c r="M26" s="60"/>
      <c r="N26" s="59"/>
      <c r="O26" s="61"/>
      <c r="X26" s="55"/>
      <c r="Y26" s="55"/>
      <c r="Z26" s="55"/>
      <c r="AA26" s="55"/>
    </row>
    <row r="27" spans="1:27" s="50" customFormat="1" ht="18" customHeight="1" x14ac:dyDescent="0.2">
      <c r="A27" s="45"/>
      <c r="B27" s="56" t="s">
        <v>537</v>
      </c>
      <c r="C27" s="48"/>
      <c r="D27" s="48"/>
      <c r="E27" s="53"/>
      <c r="F27" s="48"/>
      <c r="G27" s="51"/>
      <c r="H27" s="51"/>
      <c r="I27" s="51"/>
      <c r="J27" s="51"/>
      <c r="K27" s="51"/>
      <c r="L27" s="51"/>
      <c r="M27" s="60"/>
      <c r="N27" s="59"/>
      <c r="O27" s="61"/>
      <c r="X27" s="55"/>
      <c r="Y27" s="55"/>
      <c r="Z27" s="55"/>
      <c r="AA27" s="55"/>
    </row>
    <row r="28" spans="1:27" s="50" customFormat="1" ht="18" customHeight="1" x14ac:dyDescent="0.2">
      <c r="A28" s="45"/>
      <c r="B28" s="292" t="s">
        <v>2</v>
      </c>
      <c r="C28" s="292"/>
      <c r="D28" s="292"/>
      <c r="E28" s="292"/>
      <c r="F28" s="146" t="s">
        <v>3</v>
      </c>
      <c r="G28" s="51"/>
      <c r="H28" s="51"/>
      <c r="I28" s="51"/>
      <c r="J28" s="51"/>
      <c r="K28" s="51"/>
      <c r="L28" s="51"/>
      <c r="M28" s="60"/>
      <c r="N28" s="59"/>
      <c r="O28" s="61"/>
      <c r="X28" s="55"/>
      <c r="Y28" s="55"/>
      <c r="Z28" s="55"/>
      <c r="AA28" s="55"/>
    </row>
    <row r="29" spans="1:27" s="50" customFormat="1" ht="18" customHeight="1" x14ac:dyDescent="0.2">
      <c r="A29" s="45"/>
      <c r="B29" s="406" t="s">
        <v>414</v>
      </c>
      <c r="C29" s="407"/>
      <c r="D29" s="407"/>
      <c r="E29" s="408"/>
      <c r="F29" s="226"/>
      <c r="G29" s="51"/>
      <c r="H29" s="51"/>
      <c r="I29" s="51"/>
      <c r="J29" s="51"/>
      <c r="K29" s="51"/>
      <c r="L29" s="51"/>
      <c r="M29" s="60"/>
      <c r="N29" s="59"/>
      <c r="O29" s="61"/>
      <c r="X29" s="55"/>
      <c r="Y29" s="55"/>
      <c r="Z29" s="55"/>
      <c r="AA29" s="55"/>
    </row>
    <row r="30" spans="1:27" s="50" customFormat="1" ht="18" customHeight="1" x14ac:dyDescent="0.2">
      <c r="A30" s="45"/>
      <c r="B30" s="406" t="s">
        <v>415</v>
      </c>
      <c r="C30" s="407"/>
      <c r="D30" s="407"/>
      <c r="E30" s="408"/>
      <c r="F30" s="226"/>
      <c r="G30" s="51"/>
      <c r="H30" s="51"/>
      <c r="I30" s="51"/>
      <c r="J30" s="51"/>
      <c r="K30" s="51"/>
      <c r="L30" s="51"/>
      <c r="M30" s="60"/>
      <c r="N30" s="59"/>
      <c r="O30" s="61"/>
      <c r="X30" s="55"/>
      <c r="Y30" s="55"/>
      <c r="Z30" s="55"/>
      <c r="AA30" s="55"/>
    </row>
    <row r="31" spans="1:27" s="50" customFormat="1" ht="18" customHeight="1" x14ac:dyDescent="0.2">
      <c r="A31" s="45"/>
      <c r="B31" s="406" t="s">
        <v>416</v>
      </c>
      <c r="C31" s="407"/>
      <c r="D31" s="407"/>
      <c r="E31" s="408"/>
      <c r="F31" s="226"/>
      <c r="G31" s="51"/>
      <c r="H31" s="51"/>
      <c r="I31" s="51"/>
      <c r="J31" s="51"/>
      <c r="K31" s="51"/>
      <c r="L31" s="51"/>
      <c r="M31" s="60"/>
      <c r="N31" s="59"/>
      <c r="O31" s="61"/>
      <c r="X31" s="55"/>
      <c r="Y31" s="55"/>
      <c r="Z31" s="55"/>
      <c r="AA31" s="55"/>
    </row>
    <row r="32" spans="1:27" s="50" customFormat="1" ht="18" customHeight="1" x14ac:dyDescent="0.2">
      <c r="A32" s="45"/>
      <c r="B32" s="406" t="s">
        <v>601</v>
      </c>
      <c r="C32" s="407"/>
      <c r="D32" s="407"/>
      <c r="E32" s="408"/>
      <c r="F32" s="226"/>
      <c r="G32" s="51"/>
      <c r="H32" s="51"/>
      <c r="I32" s="51"/>
      <c r="J32" s="51"/>
      <c r="K32" s="51"/>
      <c r="L32" s="51"/>
      <c r="M32" s="60"/>
      <c r="N32" s="59"/>
      <c r="O32" s="61"/>
      <c r="X32" s="55"/>
      <c r="Y32" s="55"/>
      <c r="Z32" s="55"/>
      <c r="AA32" s="55"/>
    </row>
    <row r="33" spans="1:27" s="50" customFormat="1" ht="18" customHeight="1" x14ac:dyDescent="0.2">
      <c r="A33" s="45"/>
      <c r="B33" s="406" t="s">
        <v>417</v>
      </c>
      <c r="C33" s="407"/>
      <c r="D33" s="407"/>
      <c r="E33" s="408"/>
      <c r="F33" s="226"/>
      <c r="G33" s="51"/>
      <c r="H33" s="51"/>
      <c r="I33" s="51"/>
      <c r="J33" s="51"/>
      <c r="K33" s="51"/>
      <c r="L33" s="51"/>
      <c r="M33" s="60"/>
      <c r="N33" s="59"/>
      <c r="O33" s="61"/>
      <c r="X33" s="55"/>
      <c r="Y33" s="55"/>
      <c r="Z33" s="55"/>
      <c r="AA33" s="55"/>
    </row>
    <row r="34" spans="1:27" s="50" customFormat="1" ht="18" customHeight="1" x14ac:dyDescent="0.2">
      <c r="A34" s="45"/>
      <c r="B34" s="406" t="s">
        <v>418</v>
      </c>
      <c r="C34" s="407"/>
      <c r="D34" s="407"/>
      <c r="E34" s="408"/>
      <c r="F34" s="226"/>
      <c r="G34" s="63"/>
      <c r="H34" s="63"/>
      <c r="I34" s="63"/>
      <c r="J34" s="63"/>
      <c r="K34" s="63"/>
      <c r="L34" s="63"/>
      <c r="M34" s="60"/>
      <c r="N34" s="59"/>
      <c r="O34" s="61"/>
      <c r="AA34" s="55"/>
    </row>
    <row r="35" spans="1:27" s="50" customFormat="1" ht="18" customHeight="1" x14ac:dyDescent="0.2">
      <c r="A35" s="45"/>
      <c r="B35" s="406" t="s">
        <v>419</v>
      </c>
      <c r="C35" s="407"/>
      <c r="D35" s="407"/>
      <c r="E35" s="408"/>
      <c r="F35" s="226"/>
      <c r="G35" s="63"/>
      <c r="H35" s="63"/>
      <c r="I35" s="63"/>
      <c r="J35" s="63"/>
      <c r="K35" s="63"/>
      <c r="L35" s="63"/>
      <c r="M35" s="60"/>
      <c r="N35" s="59"/>
      <c r="O35" s="61"/>
      <c r="AA35" s="55"/>
    </row>
    <row r="36" spans="1:27" s="50" customFormat="1" ht="18" customHeight="1" x14ac:dyDescent="0.2">
      <c r="A36" s="45"/>
      <c r="B36" s="406" t="s">
        <v>420</v>
      </c>
      <c r="C36" s="407"/>
      <c r="D36" s="407"/>
      <c r="E36" s="408"/>
      <c r="F36" s="226"/>
      <c r="G36" s="63"/>
      <c r="H36" s="63"/>
      <c r="I36" s="63"/>
      <c r="J36" s="63"/>
      <c r="K36" s="63"/>
      <c r="L36" s="63"/>
      <c r="M36" s="60"/>
      <c r="N36" s="59"/>
      <c r="O36" s="61"/>
      <c r="AA36" s="55"/>
    </row>
    <row r="37" spans="1:27" s="50" customFormat="1" ht="18" customHeight="1" x14ac:dyDescent="0.2">
      <c r="A37" s="45"/>
      <c r="B37" s="406" t="s">
        <v>421</v>
      </c>
      <c r="C37" s="407"/>
      <c r="D37" s="407"/>
      <c r="E37" s="408"/>
      <c r="F37" s="226"/>
      <c r="G37" s="64"/>
      <c r="H37" s="64"/>
      <c r="I37" s="64"/>
      <c r="J37" s="64"/>
      <c r="K37" s="64"/>
      <c r="L37" s="64"/>
      <c r="M37" s="60"/>
      <c r="N37" s="59"/>
      <c r="O37" s="57"/>
      <c r="P37" s="59"/>
      <c r="Q37" s="59"/>
      <c r="AA37" s="55"/>
    </row>
    <row r="38" spans="1:27" s="50" customFormat="1" ht="18" customHeight="1" x14ac:dyDescent="0.2">
      <c r="A38" s="45"/>
      <c r="B38" s="406" t="s">
        <v>422</v>
      </c>
      <c r="C38" s="407"/>
      <c r="D38" s="407"/>
      <c r="E38" s="408"/>
      <c r="F38" s="226"/>
      <c r="G38" s="64"/>
      <c r="H38" s="64"/>
      <c r="I38" s="64"/>
      <c r="J38" s="64"/>
      <c r="K38" s="64"/>
      <c r="L38" s="64"/>
      <c r="M38" s="60"/>
      <c r="N38" s="59"/>
      <c r="O38" s="57"/>
      <c r="P38" s="59"/>
      <c r="Q38" s="59"/>
      <c r="AA38" s="55"/>
    </row>
    <row r="39" spans="1:27" s="50" customFormat="1" ht="18" customHeight="1" x14ac:dyDescent="0.2">
      <c r="A39" s="45"/>
      <c r="B39" s="406" t="s">
        <v>423</v>
      </c>
      <c r="C39" s="407"/>
      <c r="D39" s="407"/>
      <c r="E39" s="408"/>
      <c r="F39" s="226"/>
      <c r="G39" s="64"/>
      <c r="H39" s="64"/>
      <c r="I39" s="64"/>
      <c r="J39" s="64"/>
      <c r="K39" s="64"/>
      <c r="L39" s="64"/>
      <c r="M39" s="60"/>
      <c r="N39" s="59"/>
      <c r="O39" s="57"/>
      <c r="P39" s="59"/>
      <c r="Q39" s="59"/>
      <c r="AA39" s="55"/>
    </row>
    <row r="40" spans="1:27" s="50" customFormat="1" ht="18" customHeight="1" x14ac:dyDescent="0.2">
      <c r="A40" s="45"/>
      <c r="B40" s="406" t="s">
        <v>424</v>
      </c>
      <c r="C40" s="407"/>
      <c r="D40" s="407"/>
      <c r="E40" s="408"/>
      <c r="F40" s="226"/>
      <c r="G40" s="64"/>
      <c r="H40" s="64"/>
      <c r="I40" s="64"/>
      <c r="J40" s="64"/>
      <c r="K40" s="64"/>
      <c r="L40" s="64"/>
      <c r="M40" s="60"/>
      <c r="N40" s="59"/>
      <c r="O40" s="57"/>
      <c r="P40" s="59"/>
      <c r="Q40" s="59"/>
      <c r="AA40" s="55"/>
    </row>
    <row r="41" spans="1:27" s="50" customFormat="1" ht="18" customHeight="1" x14ac:dyDescent="0.2">
      <c r="A41" s="45"/>
      <c r="E41" s="65"/>
      <c r="F41" s="64"/>
      <c r="G41" s="64"/>
      <c r="H41" s="64"/>
      <c r="I41" s="64"/>
      <c r="J41" s="64"/>
      <c r="K41" s="64"/>
      <c r="L41" s="64"/>
      <c r="M41" s="60"/>
      <c r="N41" s="59"/>
      <c r="O41" s="57"/>
      <c r="P41" s="59"/>
      <c r="Q41" s="59"/>
      <c r="AA41" s="55"/>
    </row>
    <row r="42" spans="1:27" s="50" customFormat="1" ht="18" customHeight="1" x14ac:dyDescent="0.2">
      <c r="A42" s="45"/>
      <c r="B42" s="56" t="s">
        <v>538</v>
      </c>
      <c r="E42" s="53"/>
      <c r="G42" s="64"/>
      <c r="H42" s="64"/>
      <c r="I42" s="64"/>
      <c r="J42" s="64"/>
      <c r="K42" s="64"/>
      <c r="L42" s="64"/>
      <c r="M42" s="60"/>
      <c r="N42" s="59"/>
      <c r="O42" s="57"/>
      <c r="P42" s="59"/>
      <c r="Q42" s="59"/>
      <c r="AA42" s="55"/>
    </row>
    <row r="43" spans="1:27" s="50" customFormat="1" ht="18" customHeight="1" x14ac:dyDescent="0.2">
      <c r="A43" s="45"/>
      <c r="B43" s="292" t="s">
        <v>7</v>
      </c>
      <c r="C43" s="292"/>
      <c r="D43" s="292"/>
      <c r="E43" s="292"/>
      <c r="F43" s="208" t="s">
        <v>3</v>
      </c>
      <c r="G43" s="64"/>
      <c r="H43" s="64"/>
      <c r="I43" s="64"/>
      <c r="J43" s="64"/>
      <c r="K43" s="64"/>
      <c r="L43" s="64"/>
      <c r="M43" s="60"/>
      <c r="N43" s="59"/>
      <c r="O43" s="57"/>
      <c r="P43" s="59"/>
      <c r="Q43" s="59"/>
      <c r="AA43" s="55"/>
    </row>
    <row r="44" spans="1:27" s="50" customFormat="1" ht="18" customHeight="1" x14ac:dyDescent="0.2">
      <c r="A44" s="45"/>
      <c r="B44" s="410" t="s">
        <v>425</v>
      </c>
      <c r="C44" s="410"/>
      <c r="D44" s="410"/>
      <c r="E44" s="410"/>
      <c r="F44" s="224"/>
      <c r="G44" s="64"/>
      <c r="H44" s="64"/>
      <c r="I44" s="64"/>
      <c r="J44" s="64"/>
      <c r="K44" s="64"/>
      <c r="L44" s="64"/>
      <c r="M44" s="60"/>
      <c r="N44" s="59"/>
      <c r="O44" s="57"/>
      <c r="P44" s="59"/>
      <c r="Q44" s="59"/>
      <c r="AA44" s="55"/>
    </row>
    <row r="45" spans="1:27" s="50" customFormat="1" ht="18" customHeight="1" x14ac:dyDescent="0.2">
      <c r="A45" s="45"/>
      <c r="B45" s="410" t="s">
        <v>426</v>
      </c>
      <c r="C45" s="410"/>
      <c r="D45" s="410"/>
      <c r="E45" s="410"/>
      <c r="F45" s="224"/>
      <c r="G45" s="64"/>
      <c r="H45" s="64"/>
      <c r="I45" s="64"/>
      <c r="J45" s="64"/>
      <c r="K45" s="64"/>
      <c r="L45" s="64"/>
      <c r="M45" s="60"/>
      <c r="N45" s="59"/>
      <c r="O45" s="57"/>
      <c r="P45" s="59"/>
      <c r="Q45" s="59"/>
      <c r="AA45" s="55"/>
    </row>
    <row r="46" spans="1:27" s="50" customFormat="1" ht="18" customHeight="1" x14ac:dyDescent="0.2">
      <c r="A46" s="45"/>
      <c r="B46" s="410" t="s">
        <v>8</v>
      </c>
      <c r="C46" s="410"/>
      <c r="D46" s="410"/>
      <c r="E46" s="410"/>
      <c r="F46" s="224"/>
      <c r="G46" s="64"/>
      <c r="H46" s="64"/>
      <c r="I46" s="64"/>
      <c r="J46" s="64"/>
      <c r="K46" s="64"/>
      <c r="L46" s="64"/>
      <c r="M46" s="60"/>
      <c r="N46" s="59"/>
      <c r="O46" s="57"/>
      <c r="P46" s="59"/>
      <c r="Q46" s="59"/>
      <c r="AA46" s="55"/>
    </row>
    <row r="47" spans="1:27" s="50" customFormat="1" ht="18" customHeight="1" x14ac:dyDescent="0.2">
      <c r="A47" s="45"/>
      <c r="B47" s="410" t="s">
        <v>427</v>
      </c>
      <c r="C47" s="410"/>
      <c r="D47" s="410"/>
      <c r="E47" s="410"/>
      <c r="F47" s="224"/>
      <c r="G47" s="64"/>
      <c r="H47" s="64"/>
      <c r="I47" s="64"/>
      <c r="J47" s="64"/>
      <c r="K47" s="64"/>
      <c r="L47" s="64"/>
      <c r="M47" s="60"/>
      <c r="N47" s="59"/>
      <c r="O47" s="57"/>
      <c r="P47" s="59"/>
      <c r="Q47" s="59"/>
      <c r="AA47" s="55"/>
    </row>
    <row r="48" spans="1:27" s="50" customFormat="1" ht="18" customHeight="1" x14ac:dyDescent="0.2">
      <c r="A48" s="45"/>
      <c r="B48" s="410" t="s">
        <v>9</v>
      </c>
      <c r="C48" s="410"/>
      <c r="D48" s="410"/>
      <c r="E48" s="410"/>
      <c r="F48" s="224"/>
      <c r="G48" s="66"/>
      <c r="L48" s="64"/>
      <c r="M48" s="60"/>
      <c r="N48" s="59"/>
      <c r="O48" s="57"/>
      <c r="P48" s="59"/>
      <c r="Q48" s="59"/>
      <c r="AA48" s="55"/>
    </row>
    <row r="49" spans="1:27" s="50" customFormat="1" ht="18" customHeight="1" x14ac:dyDescent="0.2">
      <c r="A49" s="45"/>
      <c r="B49" s="410" t="s">
        <v>428</v>
      </c>
      <c r="C49" s="410"/>
      <c r="D49" s="410"/>
      <c r="E49" s="410"/>
      <c r="F49" s="224"/>
      <c r="G49" s="66"/>
      <c r="L49" s="64"/>
      <c r="M49" s="60"/>
      <c r="N49" s="59"/>
      <c r="O49" s="57"/>
      <c r="P49" s="59"/>
      <c r="Q49" s="59"/>
      <c r="AA49" s="55"/>
    </row>
    <row r="50" spans="1:27" s="50" customFormat="1" ht="18" customHeight="1" x14ac:dyDescent="0.2">
      <c r="A50" s="45"/>
      <c r="B50" s="417" t="s">
        <v>435</v>
      </c>
      <c r="C50" s="417"/>
      <c r="D50" s="417" t="s">
        <v>629</v>
      </c>
      <c r="E50" s="417"/>
      <c r="F50" s="226"/>
      <c r="G50" s="59"/>
      <c r="L50" s="64"/>
      <c r="M50" s="60"/>
      <c r="N50" s="59"/>
      <c r="O50" s="57"/>
      <c r="P50" s="59"/>
      <c r="Q50" s="59"/>
      <c r="AA50" s="55"/>
    </row>
    <row r="51" spans="1:27" s="50" customFormat="1" ht="18" customHeight="1" x14ac:dyDescent="0.2">
      <c r="A51" s="45"/>
      <c r="B51" s="417"/>
      <c r="C51" s="417"/>
      <c r="D51" s="417" t="s">
        <v>630</v>
      </c>
      <c r="E51" s="417"/>
      <c r="F51" s="226"/>
      <c r="G51" s="59"/>
      <c r="L51" s="64"/>
      <c r="M51" s="60"/>
      <c r="N51" s="59"/>
      <c r="O51" s="57"/>
      <c r="P51" s="59"/>
      <c r="Q51" s="59"/>
      <c r="AA51" s="55"/>
    </row>
    <row r="52" spans="1:27" s="50" customFormat="1" ht="18" customHeight="1" x14ac:dyDescent="0.2">
      <c r="A52" s="45"/>
      <c r="G52" s="59"/>
      <c r="L52" s="64"/>
      <c r="M52" s="60"/>
      <c r="N52" s="59"/>
      <c r="O52" s="57"/>
      <c r="P52" s="59"/>
      <c r="Q52" s="59"/>
      <c r="AA52" s="55"/>
    </row>
    <row r="53" spans="1:27" s="50" customFormat="1" ht="18" customHeight="1" x14ac:dyDescent="0.2">
      <c r="A53" s="45"/>
      <c r="B53" s="56" t="s">
        <v>539</v>
      </c>
      <c r="E53" s="53"/>
      <c r="G53" s="59"/>
      <c r="L53" s="64"/>
      <c r="M53" s="60"/>
      <c r="N53" s="59"/>
      <c r="O53" s="57"/>
      <c r="P53" s="59"/>
      <c r="Q53" s="59"/>
      <c r="AA53" s="55"/>
    </row>
    <row r="54" spans="1:27" s="50" customFormat="1" ht="18" customHeight="1" x14ac:dyDescent="0.2">
      <c r="A54" s="45"/>
      <c r="B54" s="292" t="s">
        <v>7</v>
      </c>
      <c r="C54" s="292"/>
      <c r="D54" s="292"/>
      <c r="E54" s="292"/>
      <c r="F54" s="146" t="s">
        <v>3</v>
      </c>
      <c r="G54" s="59"/>
      <c r="L54" s="64"/>
      <c r="M54" s="60"/>
      <c r="N54" s="59"/>
      <c r="O54" s="57"/>
      <c r="P54" s="59"/>
      <c r="Q54" s="59"/>
      <c r="AA54" s="55"/>
    </row>
    <row r="55" spans="1:27" s="50" customFormat="1" ht="18" customHeight="1" x14ac:dyDescent="0.2">
      <c r="A55" s="45"/>
      <c r="B55" s="406" t="s">
        <v>429</v>
      </c>
      <c r="C55" s="407"/>
      <c r="D55" s="407"/>
      <c r="E55" s="408"/>
      <c r="F55" s="224"/>
      <c r="G55" s="59"/>
      <c r="L55" s="64"/>
      <c r="M55" s="60"/>
      <c r="N55" s="59"/>
      <c r="O55" s="57"/>
      <c r="P55" s="59"/>
      <c r="Q55" s="59"/>
      <c r="AA55" s="55"/>
    </row>
    <row r="56" spans="1:27" s="50" customFormat="1" ht="18" customHeight="1" x14ac:dyDescent="0.2">
      <c r="A56" s="45"/>
      <c r="B56" s="406" t="s">
        <v>430</v>
      </c>
      <c r="C56" s="407"/>
      <c r="D56" s="407"/>
      <c r="E56" s="408"/>
      <c r="F56" s="224"/>
      <c r="G56" s="59"/>
      <c r="L56" s="64"/>
      <c r="M56" s="60"/>
      <c r="N56" s="59"/>
      <c r="O56" s="57"/>
      <c r="P56" s="59"/>
      <c r="Q56" s="59"/>
      <c r="AA56" s="55"/>
    </row>
    <row r="57" spans="1:27" s="50" customFormat="1" ht="18" customHeight="1" x14ac:dyDescent="0.2">
      <c r="A57" s="45"/>
      <c r="B57" s="406" t="s">
        <v>431</v>
      </c>
      <c r="C57" s="407"/>
      <c r="D57" s="407"/>
      <c r="E57" s="408"/>
      <c r="F57" s="224"/>
      <c r="G57" s="67"/>
      <c r="H57" s="59"/>
      <c r="I57" s="59"/>
      <c r="J57" s="59"/>
      <c r="K57" s="59"/>
      <c r="L57" s="59"/>
      <c r="M57" s="59"/>
      <c r="N57" s="59"/>
      <c r="O57" s="57"/>
      <c r="P57" s="59"/>
      <c r="Q57" s="59"/>
      <c r="AA57" s="55"/>
    </row>
    <row r="58" spans="1:27" s="50" customFormat="1" ht="18" customHeight="1" x14ac:dyDescent="0.2">
      <c r="A58" s="45"/>
      <c r="B58" s="406" t="s">
        <v>432</v>
      </c>
      <c r="C58" s="407"/>
      <c r="D58" s="407"/>
      <c r="E58" s="408"/>
      <c r="F58" s="224"/>
      <c r="G58" s="59"/>
      <c r="H58" s="59"/>
      <c r="I58" s="59"/>
      <c r="J58" s="59"/>
      <c r="K58" s="59"/>
      <c r="L58" s="59"/>
      <c r="M58" s="59"/>
      <c r="N58" s="59"/>
      <c r="O58" s="57"/>
      <c r="P58" s="59"/>
      <c r="Q58" s="59"/>
      <c r="U58" s="54"/>
      <c r="AA58" s="55"/>
    </row>
    <row r="59" spans="1:27" s="50" customFormat="1" ht="18" customHeight="1" x14ac:dyDescent="0.2">
      <c r="A59" s="45"/>
      <c r="B59" s="406" t="s">
        <v>433</v>
      </c>
      <c r="C59" s="407"/>
      <c r="D59" s="407"/>
      <c r="E59" s="408"/>
      <c r="F59" s="224"/>
      <c r="O59" s="52"/>
      <c r="U59" s="54"/>
    </row>
    <row r="60" spans="1:27" s="50" customFormat="1" ht="18" customHeight="1" x14ac:dyDescent="0.2">
      <c r="A60" s="45"/>
      <c r="B60" s="406" t="s">
        <v>420</v>
      </c>
      <c r="C60" s="407"/>
      <c r="D60" s="407"/>
      <c r="E60" s="408"/>
      <c r="F60" s="224"/>
      <c r="M60" s="52"/>
    </row>
    <row r="61" spans="1:27" s="50" customFormat="1" ht="18" customHeight="1" x14ac:dyDescent="0.2">
      <c r="A61" s="45"/>
      <c r="B61" s="406" t="s">
        <v>543</v>
      </c>
      <c r="C61" s="407"/>
      <c r="D61" s="407"/>
      <c r="E61" s="408"/>
      <c r="F61" s="224"/>
      <c r="L61" s="58"/>
      <c r="M61" s="58"/>
    </row>
    <row r="62" spans="1:27" s="50" customFormat="1" ht="18" customHeight="1" x14ac:dyDescent="0.2">
      <c r="A62" s="45"/>
      <c r="B62" s="406" t="s">
        <v>434</v>
      </c>
      <c r="C62" s="407"/>
      <c r="D62" s="407"/>
      <c r="E62" s="408"/>
      <c r="F62" s="224"/>
      <c r="L62" s="58"/>
      <c r="M62" s="58"/>
    </row>
    <row r="63" spans="1:27" s="50" customFormat="1" ht="18" customHeight="1" x14ac:dyDescent="0.2">
      <c r="A63" s="45"/>
      <c r="L63" s="68"/>
      <c r="M63" s="59"/>
    </row>
    <row r="64" spans="1:27" s="50" customFormat="1" ht="18" customHeight="1" x14ac:dyDescent="0.2">
      <c r="A64" s="48"/>
      <c r="B64" s="67" t="s">
        <v>540</v>
      </c>
      <c r="C64" s="53"/>
      <c r="L64" s="68"/>
      <c r="M64" s="59"/>
    </row>
    <row r="65" spans="1:13" s="50" customFormat="1" ht="18" customHeight="1" x14ac:dyDescent="0.2">
      <c r="A65" s="45"/>
      <c r="B65" s="292" t="s">
        <v>4</v>
      </c>
      <c r="C65" s="292"/>
      <c r="D65" s="292"/>
      <c r="E65" s="292"/>
      <c r="F65" s="146" t="s">
        <v>542</v>
      </c>
      <c r="L65" s="68"/>
      <c r="M65" s="59"/>
    </row>
    <row r="66" spans="1:13" s="50" customFormat="1" ht="18" customHeight="1" x14ac:dyDescent="0.2">
      <c r="A66" s="69"/>
      <c r="B66" s="416" t="s">
        <v>501</v>
      </c>
      <c r="C66" s="416"/>
      <c r="D66" s="416"/>
      <c r="E66" s="416"/>
      <c r="F66" s="224"/>
      <c r="L66" s="68"/>
      <c r="M66" s="59"/>
    </row>
    <row r="67" spans="1:13" s="50" customFormat="1" ht="18" customHeight="1" x14ac:dyDescent="0.2">
      <c r="A67" s="69"/>
      <c r="B67" s="416" t="s">
        <v>528</v>
      </c>
      <c r="C67" s="416"/>
      <c r="D67" s="416"/>
      <c r="E67" s="416"/>
      <c r="F67" s="224"/>
      <c r="L67" s="68"/>
      <c r="M67" s="59"/>
    </row>
    <row r="68" spans="1:13" s="50" customFormat="1" ht="18" customHeight="1" x14ac:dyDescent="0.2">
      <c r="A68" s="69"/>
      <c r="B68" s="416" t="s">
        <v>500</v>
      </c>
      <c r="C68" s="416"/>
      <c r="D68" s="416"/>
      <c r="E68" s="416"/>
      <c r="F68" s="224"/>
      <c r="L68" s="68"/>
      <c r="M68" s="59"/>
    </row>
    <row r="69" spans="1:13" s="50" customFormat="1" ht="18" customHeight="1" x14ac:dyDescent="0.2">
      <c r="A69" s="69"/>
      <c r="B69" s="416" t="s">
        <v>529</v>
      </c>
      <c r="C69" s="416"/>
      <c r="D69" s="416"/>
      <c r="E69" s="416"/>
      <c r="F69" s="224"/>
      <c r="L69" s="68"/>
      <c r="M69" s="59"/>
    </row>
    <row r="70" spans="1:13" s="50" customFormat="1" ht="18" customHeight="1" x14ac:dyDescent="0.2">
      <c r="A70" s="69"/>
      <c r="B70" s="416" t="s">
        <v>530</v>
      </c>
      <c r="C70" s="416"/>
      <c r="D70" s="416"/>
      <c r="E70" s="416"/>
      <c r="F70" s="224"/>
      <c r="L70" s="68"/>
      <c r="M70" s="59"/>
    </row>
    <row r="71" spans="1:13" s="50" customFormat="1" ht="18" customHeight="1" x14ac:dyDescent="0.2">
      <c r="A71" s="69"/>
      <c r="B71" s="416" t="s">
        <v>531</v>
      </c>
      <c r="C71" s="416"/>
      <c r="D71" s="416"/>
      <c r="E71" s="416"/>
      <c r="F71" s="224"/>
      <c r="L71" s="68"/>
      <c r="M71" s="59"/>
    </row>
    <row r="72" spans="1:13" s="50" customFormat="1" ht="18" customHeight="1" x14ac:dyDescent="0.2">
      <c r="A72" s="69"/>
      <c r="B72" s="416" t="s">
        <v>532</v>
      </c>
      <c r="C72" s="416"/>
      <c r="D72" s="416"/>
      <c r="E72" s="416"/>
      <c r="F72" s="224"/>
      <c r="L72" s="68"/>
      <c r="M72" s="59"/>
    </row>
    <row r="73" spans="1:13" s="50" customFormat="1" ht="18" customHeight="1" x14ac:dyDescent="0.2">
      <c r="A73" s="69"/>
      <c r="B73" s="416" t="s">
        <v>533</v>
      </c>
      <c r="C73" s="416"/>
      <c r="D73" s="416"/>
      <c r="E73" s="416"/>
      <c r="F73" s="224"/>
      <c r="L73" s="68"/>
      <c r="M73" s="59"/>
    </row>
    <row r="74" spans="1:13" s="50" customFormat="1" ht="18" customHeight="1" x14ac:dyDescent="0.2">
      <c r="A74" s="69"/>
      <c r="B74" s="416" t="s">
        <v>534</v>
      </c>
      <c r="C74" s="416"/>
      <c r="D74" s="416"/>
      <c r="E74" s="416"/>
      <c r="F74" s="224"/>
      <c r="L74" s="68"/>
      <c r="M74" s="59"/>
    </row>
    <row r="75" spans="1:13" s="50" customFormat="1" ht="18" customHeight="1" x14ac:dyDescent="0.2">
      <c r="A75" s="69"/>
      <c r="B75" s="416" t="s">
        <v>535</v>
      </c>
      <c r="C75" s="416"/>
      <c r="D75" s="416"/>
      <c r="E75" s="416"/>
      <c r="F75" s="224"/>
      <c r="L75" s="68"/>
      <c r="M75" s="59"/>
    </row>
    <row r="76" spans="1:13" s="50" customFormat="1" ht="18" customHeight="1" x14ac:dyDescent="0.2">
      <c r="A76" s="45"/>
      <c r="L76" s="68"/>
      <c r="M76" s="59"/>
    </row>
    <row r="77" spans="1:13" s="50" customFormat="1" ht="18" customHeight="1" x14ac:dyDescent="0.2">
      <c r="A77" s="57"/>
      <c r="B77" s="67" t="s">
        <v>585</v>
      </c>
      <c r="C77" s="53"/>
      <c r="L77" s="68"/>
      <c r="M77" s="59"/>
    </row>
    <row r="78" spans="1:13" s="50" customFormat="1" ht="18" customHeight="1" x14ac:dyDescent="0.2">
      <c r="A78" s="45"/>
      <c r="B78" s="292" t="s">
        <v>496</v>
      </c>
      <c r="C78" s="292"/>
      <c r="D78" s="292"/>
      <c r="E78" s="292"/>
      <c r="F78" s="146" t="s">
        <v>497</v>
      </c>
      <c r="G78" s="146" t="s">
        <v>498</v>
      </c>
      <c r="H78" s="146" t="s">
        <v>499</v>
      </c>
      <c r="L78" s="68"/>
      <c r="M78" s="59"/>
    </row>
    <row r="79" spans="1:13" s="50" customFormat="1" ht="18" customHeight="1" x14ac:dyDescent="0.2">
      <c r="A79" s="70"/>
      <c r="B79" s="410" t="s">
        <v>502</v>
      </c>
      <c r="C79" s="410"/>
      <c r="D79" s="410"/>
      <c r="E79" s="410"/>
      <c r="F79" s="227"/>
      <c r="G79" s="227"/>
      <c r="H79" s="227"/>
      <c r="L79" s="68"/>
      <c r="M79" s="59"/>
    </row>
    <row r="80" spans="1:13" s="50" customFormat="1" ht="18" customHeight="1" x14ac:dyDescent="0.2">
      <c r="A80" s="70"/>
      <c r="B80" s="410" t="s">
        <v>503</v>
      </c>
      <c r="C80" s="410"/>
      <c r="D80" s="410"/>
      <c r="E80" s="410"/>
      <c r="F80" s="227"/>
      <c r="G80" s="227"/>
      <c r="H80" s="227"/>
      <c r="L80" s="68"/>
      <c r="M80" s="59"/>
    </row>
    <row r="81" spans="1:13" s="50" customFormat="1" ht="18" customHeight="1" x14ac:dyDescent="0.2">
      <c r="A81" s="70"/>
      <c r="B81" s="410" t="s">
        <v>504</v>
      </c>
      <c r="C81" s="410"/>
      <c r="D81" s="410"/>
      <c r="E81" s="410"/>
      <c r="F81" s="227"/>
      <c r="G81" s="227"/>
      <c r="H81" s="227"/>
      <c r="L81" s="68"/>
      <c r="M81" s="59"/>
    </row>
    <row r="82" spans="1:13" s="50" customFormat="1" ht="18" customHeight="1" x14ac:dyDescent="0.2">
      <c r="A82" s="70"/>
      <c r="B82" s="410" t="s">
        <v>505</v>
      </c>
      <c r="C82" s="410"/>
      <c r="D82" s="410"/>
      <c r="E82" s="410"/>
      <c r="F82" s="227"/>
      <c r="G82" s="227"/>
      <c r="H82" s="227"/>
      <c r="L82" s="68"/>
      <c r="M82" s="59"/>
    </row>
    <row r="83" spans="1:13" s="50" customFormat="1" ht="18" customHeight="1" x14ac:dyDescent="0.2">
      <c r="A83" s="70"/>
      <c r="B83" s="410" t="s">
        <v>506</v>
      </c>
      <c r="C83" s="410"/>
      <c r="D83" s="410"/>
      <c r="E83" s="410"/>
      <c r="F83" s="227"/>
      <c r="G83" s="227"/>
      <c r="H83" s="227"/>
      <c r="L83" s="68"/>
      <c r="M83" s="59"/>
    </row>
    <row r="84" spans="1:13" s="50" customFormat="1" ht="18" customHeight="1" x14ac:dyDescent="0.2">
      <c r="A84" s="70"/>
      <c r="B84" s="410" t="s">
        <v>507</v>
      </c>
      <c r="C84" s="410"/>
      <c r="D84" s="410"/>
      <c r="E84" s="410"/>
      <c r="F84" s="227"/>
      <c r="G84" s="227"/>
      <c r="H84" s="227"/>
      <c r="L84" s="68"/>
      <c r="M84" s="59"/>
    </row>
    <row r="85" spans="1:13" s="50" customFormat="1" ht="18" customHeight="1" x14ac:dyDescent="0.2">
      <c r="A85" s="70"/>
      <c r="B85" s="410" t="s">
        <v>508</v>
      </c>
      <c r="C85" s="410"/>
      <c r="D85" s="410"/>
      <c r="E85" s="410"/>
      <c r="F85" s="227"/>
      <c r="G85" s="227"/>
      <c r="H85" s="227"/>
      <c r="L85" s="68"/>
      <c r="M85" s="59"/>
    </row>
    <row r="86" spans="1:13" s="50" customFormat="1" ht="18" customHeight="1" x14ac:dyDescent="0.2">
      <c r="A86" s="70"/>
      <c r="B86" s="410" t="s">
        <v>509</v>
      </c>
      <c r="C86" s="410"/>
      <c r="D86" s="410"/>
      <c r="E86" s="410"/>
      <c r="F86" s="227"/>
      <c r="G86" s="227"/>
      <c r="H86" s="227"/>
      <c r="L86" s="68"/>
      <c r="M86" s="59"/>
    </row>
    <row r="87" spans="1:13" s="50" customFormat="1" ht="21.75" customHeight="1" x14ac:dyDescent="0.2">
      <c r="A87" s="70"/>
      <c r="B87" s="410" t="s">
        <v>510</v>
      </c>
      <c r="C87" s="410"/>
      <c r="D87" s="410"/>
      <c r="E87" s="410"/>
      <c r="F87" s="227"/>
      <c r="G87" s="227"/>
      <c r="H87" s="227"/>
      <c r="L87" s="68"/>
      <c r="M87" s="59"/>
    </row>
    <row r="88" spans="1:13" s="50" customFormat="1" ht="18" customHeight="1" x14ac:dyDescent="0.2">
      <c r="A88" s="70"/>
      <c r="B88" s="410" t="s">
        <v>511</v>
      </c>
      <c r="C88" s="410"/>
      <c r="D88" s="410"/>
      <c r="E88" s="410"/>
      <c r="F88" s="227"/>
      <c r="G88" s="227"/>
      <c r="H88" s="227"/>
      <c r="L88" s="68"/>
      <c r="M88" s="59"/>
    </row>
    <row r="89" spans="1:13" s="50" customFormat="1" ht="18" customHeight="1" x14ac:dyDescent="0.2">
      <c r="A89" s="70"/>
      <c r="B89" s="410" t="s">
        <v>512</v>
      </c>
      <c r="C89" s="410"/>
      <c r="D89" s="410"/>
      <c r="E89" s="410"/>
      <c r="F89" s="227"/>
      <c r="G89" s="227"/>
      <c r="H89" s="227"/>
      <c r="L89" s="68"/>
      <c r="M89" s="59"/>
    </row>
    <row r="90" spans="1:13" s="50" customFormat="1" ht="18" customHeight="1" x14ac:dyDescent="0.2">
      <c r="A90" s="70"/>
      <c r="B90" s="410" t="s">
        <v>513</v>
      </c>
      <c r="C90" s="410"/>
      <c r="D90" s="410"/>
      <c r="E90" s="410"/>
      <c r="F90" s="227"/>
      <c r="G90" s="227"/>
      <c r="H90" s="227"/>
      <c r="L90" s="68"/>
      <c r="M90" s="59"/>
    </row>
    <row r="91" spans="1:13" s="50" customFormat="1" ht="18" customHeight="1" x14ac:dyDescent="0.2">
      <c r="A91" s="70"/>
      <c r="B91" s="410" t="s">
        <v>514</v>
      </c>
      <c r="C91" s="410"/>
      <c r="D91" s="410"/>
      <c r="E91" s="410"/>
      <c r="F91" s="227"/>
      <c r="G91" s="227"/>
      <c r="H91" s="227"/>
      <c r="L91" s="68"/>
      <c r="M91" s="59"/>
    </row>
    <row r="92" spans="1:13" s="50" customFormat="1" ht="18" customHeight="1" x14ac:dyDescent="0.2">
      <c r="A92" s="70"/>
      <c r="B92" s="410" t="s">
        <v>515</v>
      </c>
      <c r="C92" s="410"/>
      <c r="D92" s="410"/>
      <c r="E92" s="410"/>
      <c r="F92" s="227"/>
      <c r="G92" s="227"/>
      <c r="H92" s="227"/>
      <c r="L92" s="68"/>
      <c r="M92" s="59"/>
    </row>
    <row r="93" spans="1:13" s="50" customFormat="1" ht="18" customHeight="1" x14ac:dyDescent="0.2">
      <c r="A93" s="70"/>
      <c r="B93" s="410" t="s">
        <v>516</v>
      </c>
      <c r="C93" s="410"/>
      <c r="D93" s="410"/>
      <c r="E93" s="410"/>
      <c r="F93" s="227"/>
      <c r="G93" s="227"/>
      <c r="H93" s="227"/>
      <c r="L93" s="68"/>
      <c r="M93" s="59"/>
    </row>
    <row r="94" spans="1:13" s="50" customFormat="1" ht="18" customHeight="1" x14ac:dyDescent="0.2">
      <c r="A94" s="70"/>
      <c r="B94" s="410" t="s">
        <v>517</v>
      </c>
      <c r="C94" s="410"/>
      <c r="D94" s="410"/>
      <c r="E94" s="410"/>
      <c r="F94" s="227"/>
      <c r="G94" s="227"/>
      <c r="H94" s="227"/>
      <c r="L94" s="68"/>
      <c r="M94" s="59"/>
    </row>
    <row r="95" spans="1:13" s="50" customFormat="1" ht="18" customHeight="1" x14ac:dyDescent="0.2">
      <c r="A95" s="70"/>
      <c r="B95" s="410" t="s">
        <v>518</v>
      </c>
      <c r="C95" s="410"/>
      <c r="D95" s="410"/>
      <c r="E95" s="410"/>
      <c r="F95" s="227"/>
      <c r="G95" s="227"/>
      <c r="H95" s="227"/>
      <c r="L95" s="68"/>
      <c r="M95" s="59"/>
    </row>
    <row r="96" spans="1:13" s="50" customFormat="1" ht="18" customHeight="1" x14ac:dyDescent="0.2">
      <c r="A96" s="70"/>
      <c r="B96" s="410" t="s">
        <v>519</v>
      </c>
      <c r="C96" s="410"/>
      <c r="D96" s="410"/>
      <c r="E96" s="410"/>
      <c r="F96" s="227"/>
      <c r="G96" s="227"/>
      <c r="H96" s="227"/>
      <c r="L96" s="68"/>
      <c r="M96" s="59"/>
    </row>
    <row r="97" spans="1:27" s="50" customFormat="1" ht="18" customHeight="1" x14ac:dyDescent="0.2">
      <c r="A97" s="70"/>
      <c r="B97" s="410" t="s">
        <v>520</v>
      </c>
      <c r="C97" s="410"/>
      <c r="D97" s="410"/>
      <c r="E97" s="410"/>
      <c r="F97" s="227"/>
      <c r="G97" s="227"/>
      <c r="H97" s="227"/>
      <c r="L97" s="68"/>
      <c r="M97" s="59"/>
    </row>
    <row r="98" spans="1:27" s="50" customFormat="1" ht="18" customHeight="1" x14ac:dyDescent="0.2">
      <c r="A98" s="70"/>
      <c r="B98" s="410" t="s">
        <v>521</v>
      </c>
      <c r="C98" s="410"/>
      <c r="D98" s="410"/>
      <c r="E98" s="410"/>
      <c r="F98" s="227"/>
      <c r="G98" s="227"/>
      <c r="H98" s="227"/>
      <c r="L98" s="68"/>
      <c r="M98" s="59"/>
    </row>
    <row r="99" spans="1:27" s="50" customFormat="1" ht="18" customHeight="1" x14ac:dyDescent="0.2">
      <c r="A99" s="70"/>
      <c r="B99" s="410" t="s">
        <v>522</v>
      </c>
      <c r="C99" s="410"/>
      <c r="D99" s="410"/>
      <c r="E99" s="410"/>
      <c r="F99" s="227"/>
      <c r="G99" s="227"/>
      <c r="H99" s="227"/>
      <c r="L99" s="68"/>
      <c r="M99" s="59"/>
    </row>
    <row r="100" spans="1:27" s="50" customFormat="1" ht="18" customHeight="1" x14ac:dyDescent="0.2">
      <c r="A100" s="70"/>
      <c r="B100" s="410" t="s">
        <v>523</v>
      </c>
      <c r="C100" s="410"/>
      <c r="D100" s="410"/>
      <c r="E100" s="410"/>
      <c r="F100" s="227"/>
      <c r="G100" s="227"/>
      <c r="H100" s="227"/>
      <c r="L100" s="68"/>
      <c r="M100" s="59"/>
    </row>
    <row r="101" spans="1:27" s="50" customFormat="1" ht="18" customHeight="1" x14ac:dyDescent="0.2">
      <c r="A101" s="70"/>
      <c r="B101" s="410" t="s">
        <v>524</v>
      </c>
      <c r="C101" s="410"/>
      <c r="D101" s="410"/>
      <c r="E101" s="410"/>
      <c r="F101" s="227"/>
      <c r="G101" s="227"/>
      <c r="H101" s="227"/>
      <c r="L101" s="68"/>
      <c r="M101" s="59"/>
    </row>
    <row r="102" spans="1:27" s="50" customFormat="1" ht="18" customHeight="1" x14ac:dyDescent="0.2">
      <c r="A102" s="70"/>
      <c r="B102" s="410" t="s">
        <v>525</v>
      </c>
      <c r="C102" s="410"/>
      <c r="D102" s="410"/>
      <c r="E102" s="410"/>
      <c r="F102" s="227"/>
      <c r="G102" s="227"/>
      <c r="H102" s="227"/>
      <c r="L102" s="68"/>
      <c r="M102" s="59"/>
    </row>
    <row r="103" spans="1:27" s="50" customFormat="1" ht="18" customHeight="1" x14ac:dyDescent="0.2">
      <c r="A103" s="45"/>
      <c r="L103" s="68"/>
      <c r="M103" s="59"/>
    </row>
    <row r="104" spans="1:27" s="50" customFormat="1" ht="27.75" customHeight="1" x14ac:dyDescent="0.2">
      <c r="A104" s="315" t="s">
        <v>15</v>
      </c>
      <c r="B104" s="315"/>
      <c r="C104" s="315"/>
      <c r="D104" s="315"/>
      <c r="E104" s="315"/>
      <c r="F104" s="315"/>
      <c r="G104" s="48"/>
      <c r="H104" s="48"/>
      <c r="I104" s="48"/>
      <c r="J104" s="51"/>
      <c r="K104" s="51"/>
      <c r="L104" s="51"/>
      <c r="M104" s="51"/>
      <c r="N104" s="51"/>
      <c r="O104" s="52"/>
      <c r="S104" s="46"/>
      <c r="T104" s="55"/>
      <c r="U104" s="55"/>
      <c r="V104" s="55"/>
      <c r="W104" s="55"/>
      <c r="X104" s="55"/>
      <c r="Y104" s="55"/>
      <c r="Z104" s="55"/>
      <c r="AA104" s="55"/>
    </row>
    <row r="105" spans="1:27" s="50" customFormat="1" ht="18" customHeight="1" x14ac:dyDescent="0.2">
      <c r="A105" s="45"/>
      <c r="B105" s="69"/>
      <c r="C105" s="45"/>
      <c r="D105" s="48"/>
      <c r="E105" s="51"/>
      <c r="F105" s="48"/>
      <c r="G105" s="51"/>
      <c r="H105" s="48"/>
      <c r="I105" s="51"/>
      <c r="J105" s="48"/>
      <c r="K105" s="51"/>
      <c r="L105" s="48"/>
      <c r="M105" s="51"/>
      <c r="N105" s="48"/>
      <c r="O105" s="52"/>
      <c r="S105" s="46"/>
      <c r="T105" s="55"/>
      <c r="U105" s="55"/>
      <c r="V105" s="55"/>
      <c r="W105" s="55"/>
      <c r="X105" s="55"/>
      <c r="Y105" s="55"/>
      <c r="Z105" s="55"/>
      <c r="AA105" s="55"/>
    </row>
    <row r="106" spans="1:27" s="50" customFormat="1" ht="18" customHeight="1" x14ac:dyDescent="0.2">
      <c r="A106" s="45" t="s">
        <v>591</v>
      </c>
      <c r="B106" s="292" t="s">
        <v>16</v>
      </c>
      <c r="C106" s="292"/>
      <c r="D106" s="292" t="s">
        <v>17</v>
      </c>
      <c r="E106" s="292"/>
      <c r="F106" s="292"/>
      <c r="G106" s="292"/>
      <c r="H106" s="292"/>
      <c r="I106" s="292"/>
      <c r="J106" s="292"/>
      <c r="K106" s="292"/>
      <c r="L106" s="292"/>
      <c r="M106" s="292"/>
      <c r="N106" s="292"/>
      <c r="O106" s="292"/>
      <c r="P106" s="401" t="s">
        <v>18</v>
      </c>
      <c r="T106" s="55"/>
      <c r="U106" s="55"/>
      <c r="V106" s="55"/>
      <c r="W106" s="55"/>
      <c r="X106" s="55"/>
      <c r="Y106" s="55"/>
      <c r="Z106" s="55"/>
      <c r="AA106" s="55"/>
    </row>
    <row r="107" spans="1:27" s="50" customFormat="1" ht="18" customHeight="1" x14ac:dyDescent="0.2">
      <c r="A107" s="45"/>
      <c r="B107" s="292"/>
      <c r="C107" s="292"/>
      <c r="D107" s="146" t="s">
        <v>19</v>
      </c>
      <c r="E107" s="146" t="s">
        <v>20</v>
      </c>
      <c r="F107" s="146" t="s">
        <v>21</v>
      </c>
      <c r="G107" s="146" t="s">
        <v>22</v>
      </c>
      <c r="H107" s="146" t="s">
        <v>23</v>
      </c>
      <c r="I107" s="146" t="s">
        <v>24</v>
      </c>
      <c r="J107" s="146" t="s">
        <v>25</v>
      </c>
      <c r="K107" s="146" t="s">
        <v>26</v>
      </c>
      <c r="L107" s="146" t="s">
        <v>27</v>
      </c>
      <c r="M107" s="146" t="s">
        <v>28</v>
      </c>
      <c r="N107" s="146" t="s">
        <v>29</v>
      </c>
      <c r="O107" s="146" t="s">
        <v>14</v>
      </c>
      <c r="P107" s="401"/>
      <c r="T107" s="55"/>
      <c r="U107" s="55"/>
      <c r="V107" s="55"/>
      <c r="W107" s="55"/>
      <c r="X107" s="55"/>
      <c r="Y107" s="55"/>
      <c r="Z107" s="55"/>
      <c r="AA107" s="55"/>
    </row>
    <row r="108" spans="1:27" s="50" customFormat="1" ht="18" customHeight="1" x14ac:dyDescent="0.2">
      <c r="A108" s="45"/>
      <c r="B108" s="402" t="s">
        <v>30</v>
      </c>
      <c r="C108" s="403"/>
      <c r="D108" s="154"/>
      <c r="E108" s="154"/>
      <c r="F108" s="228"/>
      <c r="G108" s="228"/>
      <c r="H108" s="228"/>
      <c r="I108" s="228"/>
      <c r="J108" s="228"/>
      <c r="K108" s="228"/>
      <c r="L108" s="228"/>
      <c r="M108" s="228"/>
      <c r="N108" s="228"/>
      <c r="O108" s="148">
        <f>SUM(D108:E108)</f>
        <v>0</v>
      </c>
      <c r="P108" s="276"/>
      <c r="T108" s="71"/>
      <c r="U108" s="55"/>
      <c r="V108" s="55"/>
      <c r="W108" s="55"/>
      <c r="X108" s="55"/>
      <c r="Y108" s="55"/>
      <c r="Z108" s="55"/>
      <c r="AA108" s="55"/>
    </row>
    <row r="109" spans="1:27" s="50" customFormat="1" ht="18" customHeight="1" x14ac:dyDescent="0.2">
      <c r="A109" s="45"/>
      <c r="B109" s="402" t="s">
        <v>31</v>
      </c>
      <c r="C109" s="403"/>
      <c r="D109" s="154"/>
      <c r="E109" s="154"/>
      <c r="F109" s="154"/>
      <c r="G109" s="228"/>
      <c r="H109" s="228"/>
      <c r="I109" s="228"/>
      <c r="J109" s="228"/>
      <c r="K109" s="228"/>
      <c r="L109" s="228"/>
      <c r="M109" s="228"/>
      <c r="N109" s="228"/>
      <c r="O109" s="148">
        <f>SUM(D109:F109)</f>
        <v>0</v>
      </c>
      <c r="P109" s="276"/>
      <c r="T109" s="71"/>
      <c r="U109" s="55"/>
      <c r="V109" s="55"/>
      <c r="W109" s="55"/>
      <c r="X109" s="55"/>
      <c r="Y109" s="55"/>
      <c r="Z109" s="55"/>
      <c r="AA109" s="55"/>
    </row>
    <row r="110" spans="1:27" s="50" customFormat="1" ht="18" customHeight="1" x14ac:dyDescent="0.2">
      <c r="A110" s="45"/>
      <c r="B110" s="402" t="s">
        <v>32</v>
      </c>
      <c r="C110" s="403"/>
      <c r="D110" s="154"/>
      <c r="E110" s="154"/>
      <c r="F110" s="154"/>
      <c r="G110" s="154"/>
      <c r="H110" s="228"/>
      <c r="I110" s="228"/>
      <c r="J110" s="228"/>
      <c r="K110" s="228"/>
      <c r="L110" s="210"/>
      <c r="M110" s="210"/>
      <c r="N110" s="210"/>
      <c r="O110" s="148">
        <f>SUM(D110:G110)</f>
        <v>0</v>
      </c>
      <c r="P110" s="276"/>
      <c r="T110" s="71"/>
      <c r="U110" s="55"/>
      <c r="V110" s="55"/>
      <c r="W110" s="55"/>
      <c r="X110" s="55"/>
      <c r="Y110" s="55"/>
      <c r="Z110" s="55"/>
      <c r="AA110" s="55"/>
    </row>
    <row r="111" spans="1:27" s="50" customFormat="1" ht="18" customHeight="1" x14ac:dyDescent="0.2">
      <c r="A111" s="45"/>
      <c r="B111" s="402" t="s">
        <v>33</v>
      </c>
      <c r="C111" s="403"/>
      <c r="D111" s="154"/>
      <c r="E111" s="154"/>
      <c r="F111" s="154"/>
      <c r="G111" s="154"/>
      <c r="H111" s="228"/>
      <c r="I111" s="228"/>
      <c r="J111" s="228"/>
      <c r="K111" s="228"/>
      <c r="L111" s="210"/>
      <c r="M111" s="210"/>
      <c r="N111" s="210"/>
      <c r="O111" s="148">
        <f>SUM(D111:G111)</f>
        <v>0</v>
      </c>
      <c r="P111" s="276"/>
      <c r="T111" s="71"/>
      <c r="U111" s="55"/>
      <c r="V111" s="55"/>
      <c r="W111" s="55"/>
      <c r="X111" s="55"/>
      <c r="Y111" s="55"/>
      <c r="Z111" s="55"/>
      <c r="AA111" s="55"/>
    </row>
    <row r="112" spans="1:27" s="50" customFormat="1" ht="18" customHeight="1" x14ac:dyDescent="0.2">
      <c r="A112" s="45"/>
      <c r="B112" s="402" t="s">
        <v>34</v>
      </c>
      <c r="C112" s="403"/>
      <c r="D112" s="154"/>
      <c r="E112" s="154"/>
      <c r="F112" s="154"/>
      <c r="G112" s="154"/>
      <c r="H112" s="154"/>
      <c r="I112" s="154"/>
      <c r="J112" s="154"/>
      <c r="K112" s="154"/>
      <c r="L112" s="154"/>
      <c r="M112" s="154"/>
      <c r="N112" s="154"/>
      <c r="O112" s="148">
        <f>SUM(D112:N112)</f>
        <v>0</v>
      </c>
      <c r="P112" s="276"/>
      <c r="T112" s="71"/>
      <c r="U112" s="55"/>
      <c r="V112" s="55"/>
      <c r="W112" s="55"/>
      <c r="X112" s="55"/>
      <c r="Y112" s="55"/>
      <c r="Z112" s="55"/>
      <c r="AA112" s="55"/>
    </row>
    <row r="113" spans="1:27" s="50" customFormat="1" ht="18" customHeight="1" x14ac:dyDescent="0.2">
      <c r="A113" s="45"/>
      <c r="B113" s="402" t="s">
        <v>35</v>
      </c>
      <c r="C113" s="403"/>
      <c r="D113" s="154"/>
      <c r="E113" s="154"/>
      <c r="F113" s="154"/>
      <c r="G113" s="154"/>
      <c r="H113" s="154"/>
      <c r="I113" s="154"/>
      <c r="J113" s="229"/>
      <c r="K113" s="229"/>
      <c r="L113" s="229"/>
      <c r="M113" s="229"/>
      <c r="N113" s="229"/>
      <c r="O113" s="148">
        <f>SUM(D113:I113)</f>
        <v>0</v>
      </c>
      <c r="P113" s="276"/>
      <c r="T113" s="71"/>
      <c r="U113" s="55"/>
      <c r="V113" s="55"/>
      <c r="W113" s="55"/>
      <c r="X113" s="55"/>
      <c r="Y113" s="55"/>
      <c r="Z113" s="55"/>
      <c r="AA113" s="55"/>
    </row>
    <row r="114" spans="1:27" s="50" customFormat="1" ht="18" customHeight="1" x14ac:dyDescent="0.2">
      <c r="A114" s="45"/>
      <c r="B114" s="402" t="s">
        <v>36</v>
      </c>
      <c r="C114" s="403"/>
      <c r="D114" s="154"/>
      <c r="E114" s="154"/>
      <c r="F114" s="154"/>
      <c r="G114" s="154"/>
      <c r="H114" s="229"/>
      <c r="I114" s="229"/>
      <c r="J114" s="229"/>
      <c r="K114" s="229"/>
      <c r="L114" s="229"/>
      <c r="M114" s="229"/>
      <c r="N114" s="229"/>
      <c r="O114" s="148">
        <f>SUM(D114:G114)</f>
        <v>0</v>
      </c>
      <c r="P114" s="276"/>
      <c r="T114" s="71"/>
      <c r="U114" s="55"/>
      <c r="V114" s="55"/>
      <c r="W114" s="55"/>
      <c r="X114" s="55"/>
      <c r="Y114" s="55"/>
      <c r="Z114" s="55"/>
      <c r="AA114" s="55"/>
    </row>
    <row r="115" spans="1:27" s="50" customFormat="1" ht="18" customHeight="1" x14ac:dyDescent="0.2">
      <c r="A115" s="45"/>
      <c r="B115" s="402" t="s">
        <v>37</v>
      </c>
      <c r="C115" s="403"/>
      <c r="D115" s="154"/>
      <c r="E115" s="154"/>
      <c r="F115" s="154"/>
      <c r="G115" s="154"/>
      <c r="H115" s="229"/>
      <c r="I115" s="229"/>
      <c r="J115" s="229"/>
      <c r="K115" s="229"/>
      <c r="L115" s="229"/>
      <c r="M115" s="229"/>
      <c r="N115" s="229"/>
      <c r="O115" s="148">
        <f>SUM(D115:G115)</f>
        <v>0</v>
      </c>
      <c r="P115" s="276"/>
      <c r="T115" s="71"/>
      <c r="U115" s="55"/>
      <c r="V115" s="55"/>
      <c r="W115" s="55"/>
      <c r="X115" s="55"/>
      <c r="Y115" s="55"/>
      <c r="Z115" s="55"/>
      <c r="AA115" s="55"/>
    </row>
    <row r="116" spans="1:27" s="50" customFormat="1" ht="18" customHeight="1" x14ac:dyDescent="0.2">
      <c r="A116" s="45"/>
      <c r="B116" s="402" t="s">
        <v>185</v>
      </c>
      <c r="C116" s="403"/>
      <c r="D116" s="154"/>
      <c r="E116" s="154"/>
      <c r="F116" s="154"/>
      <c r="G116" s="154"/>
      <c r="H116" s="229"/>
      <c r="I116" s="229"/>
      <c r="J116" s="229"/>
      <c r="K116" s="229"/>
      <c r="L116" s="229"/>
      <c r="M116" s="229"/>
      <c r="N116" s="229"/>
      <c r="O116" s="148">
        <f>SUM(D116:G116)</f>
        <v>0</v>
      </c>
      <c r="P116" s="276"/>
      <c r="T116" s="71"/>
      <c r="U116" s="55"/>
      <c r="V116" s="55"/>
      <c r="W116" s="55"/>
      <c r="X116" s="55"/>
      <c r="Y116" s="55"/>
      <c r="Z116" s="55"/>
      <c r="AA116" s="55"/>
    </row>
    <row r="117" spans="1:27" s="50" customFormat="1" ht="18" customHeight="1" x14ac:dyDescent="0.2">
      <c r="A117" s="45"/>
      <c r="B117" s="402" t="s">
        <v>445</v>
      </c>
      <c r="C117" s="403"/>
      <c r="D117" s="154"/>
      <c r="E117" s="230"/>
      <c r="F117" s="230"/>
      <c r="G117" s="230"/>
      <c r="H117" s="229"/>
      <c r="I117" s="229"/>
      <c r="J117" s="229"/>
      <c r="K117" s="229"/>
      <c r="L117" s="229"/>
      <c r="M117" s="229"/>
      <c r="N117" s="229"/>
      <c r="O117" s="148"/>
      <c r="P117" s="276"/>
      <c r="T117" s="71"/>
      <c r="U117" s="55"/>
      <c r="V117" s="55"/>
      <c r="W117" s="55"/>
      <c r="X117" s="55"/>
      <c r="Y117" s="55"/>
      <c r="Z117" s="55"/>
      <c r="AA117" s="55"/>
    </row>
    <row r="118" spans="1:27" s="50" customFormat="1" ht="18" customHeight="1" x14ac:dyDescent="0.2">
      <c r="A118" s="45"/>
      <c r="B118" s="402" t="s">
        <v>446</v>
      </c>
      <c r="C118" s="403"/>
      <c r="D118" s="154"/>
      <c r="E118" s="230"/>
      <c r="F118" s="230"/>
      <c r="G118" s="230"/>
      <c r="H118" s="229"/>
      <c r="I118" s="229"/>
      <c r="J118" s="229"/>
      <c r="K118" s="229"/>
      <c r="L118" s="229"/>
      <c r="M118" s="229"/>
      <c r="N118" s="229"/>
      <c r="O118" s="148"/>
      <c r="P118" s="276"/>
      <c r="T118" s="71"/>
      <c r="U118" s="55"/>
      <c r="V118" s="55"/>
      <c r="W118" s="55"/>
      <c r="X118" s="55"/>
      <c r="Y118" s="55"/>
      <c r="Z118" s="55"/>
      <c r="AA118" s="55"/>
    </row>
    <row r="119" spans="1:27" s="50" customFormat="1" ht="18" customHeight="1" x14ac:dyDescent="0.2">
      <c r="A119" s="45"/>
      <c r="B119" s="402" t="s">
        <v>447</v>
      </c>
      <c r="C119" s="403"/>
      <c r="D119" s="154"/>
      <c r="E119" s="230"/>
      <c r="F119" s="230"/>
      <c r="G119" s="230"/>
      <c r="H119" s="229"/>
      <c r="I119" s="229"/>
      <c r="J119" s="229"/>
      <c r="K119" s="229"/>
      <c r="L119" s="229"/>
      <c r="M119" s="229"/>
      <c r="N119" s="229"/>
      <c r="O119" s="148"/>
      <c r="P119" s="276"/>
      <c r="T119" s="71"/>
      <c r="U119" s="55"/>
      <c r="V119" s="55"/>
      <c r="W119" s="55"/>
      <c r="X119" s="55"/>
      <c r="Y119" s="55"/>
      <c r="Z119" s="55"/>
      <c r="AA119" s="55"/>
    </row>
    <row r="120" spans="1:27" s="50" customFormat="1" ht="18" customHeight="1" x14ac:dyDescent="0.2">
      <c r="A120" s="45"/>
      <c r="B120" s="402" t="s">
        <v>448</v>
      </c>
      <c r="C120" s="403"/>
      <c r="D120" s="154"/>
      <c r="E120" s="230"/>
      <c r="F120" s="230"/>
      <c r="G120" s="230"/>
      <c r="H120" s="229"/>
      <c r="I120" s="229"/>
      <c r="J120" s="229"/>
      <c r="K120" s="229"/>
      <c r="L120" s="229"/>
      <c r="M120" s="229"/>
      <c r="N120" s="229"/>
      <c r="O120" s="148"/>
      <c r="P120" s="276"/>
      <c r="T120" s="71"/>
      <c r="U120" s="55"/>
      <c r="V120" s="55"/>
      <c r="W120" s="55"/>
      <c r="X120" s="55"/>
      <c r="Y120" s="55"/>
      <c r="Z120" s="55"/>
      <c r="AA120" s="55"/>
    </row>
    <row r="121" spans="1:27" s="50" customFormat="1" ht="18" customHeight="1" x14ac:dyDescent="0.2">
      <c r="A121" s="45"/>
      <c r="B121" s="402" t="s">
        <v>449</v>
      </c>
      <c r="C121" s="403"/>
      <c r="D121" s="154"/>
      <c r="E121" s="230"/>
      <c r="F121" s="230"/>
      <c r="G121" s="230"/>
      <c r="H121" s="229"/>
      <c r="I121" s="229"/>
      <c r="J121" s="229"/>
      <c r="K121" s="229"/>
      <c r="L121" s="229"/>
      <c r="M121" s="229"/>
      <c r="N121" s="229"/>
      <c r="O121" s="148"/>
      <c r="P121" s="276"/>
      <c r="T121" s="71"/>
      <c r="U121" s="55"/>
      <c r="V121" s="55"/>
      <c r="W121" s="55"/>
      <c r="X121" s="55"/>
      <c r="Y121" s="55"/>
      <c r="Z121" s="55"/>
      <c r="AA121" s="55"/>
    </row>
    <row r="122" spans="1:27" s="50" customFormat="1" ht="18" customHeight="1" x14ac:dyDescent="0.2">
      <c r="A122" s="45"/>
      <c r="B122" s="402" t="s">
        <v>210</v>
      </c>
      <c r="C122" s="403"/>
      <c r="D122" s="154"/>
      <c r="E122" s="230"/>
      <c r="F122" s="230"/>
      <c r="G122" s="230"/>
      <c r="H122" s="229"/>
      <c r="I122" s="229"/>
      <c r="J122" s="229"/>
      <c r="K122" s="229"/>
      <c r="L122" s="229"/>
      <c r="M122" s="229"/>
      <c r="N122" s="229"/>
      <c r="O122" s="148"/>
      <c r="P122" s="276"/>
      <c r="T122" s="71"/>
      <c r="U122" s="55"/>
      <c r="V122" s="55"/>
      <c r="W122" s="55"/>
      <c r="X122" s="55"/>
      <c r="Y122" s="55"/>
      <c r="Z122" s="55"/>
      <c r="AA122" s="55"/>
    </row>
    <row r="123" spans="1:27" s="50" customFormat="1" ht="18" customHeight="1" x14ac:dyDescent="0.2">
      <c r="A123" s="45"/>
      <c r="B123" s="402" t="s">
        <v>211</v>
      </c>
      <c r="C123" s="403"/>
      <c r="D123" s="154"/>
      <c r="E123" s="230"/>
      <c r="F123" s="230"/>
      <c r="G123" s="230"/>
      <c r="H123" s="229"/>
      <c r="I123" s="229"/>
      <c r="J123" s="229"/>
      <c r="K123" s="229"/>
      <c r="L123" s="229"/>
      <c r="M123" s="229"/>
      <c r="N123" s="229"/>
      <c r="O123" s="148"/>
      <c r="P123" s="276"/>
      <c r="T123" s="71"/>
      <c r="U123" s="55"/>
      <c r="V123" s="55"/>
      <c r="W123" s="55"/>
      <c r="X123" s="55"/>
      <c r="Y123" s="55"/>
      <c r="Z123" s="55"/>
      <c r="AA123" s="55"/>
    </row>
    <row r="124" spans="1:27" s="50" customFormat="1" x14ac:dyDescent="0.2">
      <c r="A124" s="45"/>
      <c r="B124" s="50" t="str">
        <f>IF(P124&gt;0,"Si en la columna P aparecen valores es porque hay registros con valores INCORRECTOS en el campo LAB perdiendo niños con controles CRED, REVISE.","")</f>
        <v/>
      </c>
      <c r="F124" s="69"/>
      <c r="G124" s="69"/>
      <c r="H124" s="69"/>
      <c r="O124" s="52"/>
      <c r="P124" s="451">
        <f>SUM(P108:P123)</f>
        <v>0</v>
      </c>
      <c r="T124" s="55"/>
      <c r="U124" s="55"/>
      <c r="V124" s="55"/>
      <c r="W124" s="55"/>
      <c r="X124" s="55"/>
      <c r="Y124" s="55"/>
      <c r="Z124" s="55"/>
      <c r="AA124" s="55"/>
    </row>
    <row r="125" spans="1:27" s="50" customFormat="1" ht="18" customHeight="1" x14ac:dyDescent="0.2">
      <c r="A125" s="45"/>
      <c r="B125" s="69" t="s">
        <v>595</v>
      </c>
      <c r="F125" s="69"/>
      <c r="G125" s="69"/>
      <c r="H125" s="53"/>
      <c r="O125" s="52"/>
      <c r="P125" s="55"/>
      <c r="T125" s="55"/>
      <c r="U125" s="55"/>
      <c r="V125" s="55"/>
      <c r="W125" s="55"/>
      <c r="X125" s="55"/>
      <c r="Y125" s="55"/>
      <c r="Z125" s="55"/>
      <c r="AA125" s="55"/>
    </row>
    <row r="126" spans="1:27" s="50" customFormat="1" ht="18" customHeight="1" x14ac:dyDescent="0.2">
      <c r="A126" s="45" t="s">
        <v>594</v>
      </c>
      <c r="B126" s="292" t="s">
        <v>16</v>
      </c>
      <c r="C126" s="292"/>
      <c r="D126" s="292" t="s">
        <v>40</v>
      </c>
      <c r="E126" s="292"/>
      <c r="F126" s="292"/>
      <c r="G126" s="292"/>
      <c r="H126" s="292"/>
      <c r="I126" s="292"/>
      <c r="J126" s="292"/>
      <c r="K126" s="292"/>
      <c r="L126" s="292"/>
      <c r="M126" s="292"/>
      <c r="N126" s="292"/>
      <c r="O126" s="292"/>
      <c r="P126" s="401" t="s">
        <v>18</v>
      </c>
      <c r="T126" s="55"/>
      <c r="U126" s="55"/>
      <c r="V126" s="55"/>
      <c r="W126" s="55"/>
      <c r="X126" s="55"/>
      <c r="Y126" s="55"/>
      <c r="Z126" s="55"/>
      <c r="AA126" s="55"/>
    </row>
    <row r="127" spans="1:27" s="50" customFormat="1" ht="18" customHeight="1" x14ac:dyDescent="0.2">
      <c r="A127" s="45"/>
      <c r="B127" s="292"/>
      <c r="C127" s="292"/>
      <c r="D127" s="146" t="s">
        <v>19</v>
      </c>
      <c r="E127" s="146" t="s">
        <v>20</v>
      </c>
      <c r="F127" s="146" t="s">
        <v>21</v>
      </c>
      <c r="G127" s="146" t="s">
        <v>22</v>
      </c>
      <c r="H127" s="146" t="s">
        <v>23</v>
      </c>
      <c r="I127" s="146" t="s">
        <v>24</v>
      </c>
      <c r="J127" s="146" t="s">
        <v>25</v>
      </c>
      <c r="K127" s="146" t="s">
        <v>26</v>
      </c>
      <c r="L127" s="146" t="s">
        <v>27</v>
      </c>
      <c r="M127" s="146" t="s">
        <v>28</v>
      </c>
      <c r="N127" s="146" t="s">
        <v>29</v>
      </c>
      <c r="O127" s="146" t="s">
        <v>14</v>
      </c>
      <c r="P127" s="401"/>
      <c r="T127" s="55"/>
      <c r="U127" s="55"/>
      <c r="V127" s="55"/>
      <c r="W127" s="55"/>
      <c r="X127" s="55"/>
      <c r="Y127" s="55"/>
      <c r="Z127" s="55"/>
      <c r="AA127" s="55"/>
    </row>
    <row r="128" spans="1:27" s="50" customFormat="1" ht="18" customHeight="1" x14ac:dyDescent="0.2">
      <c r="A128" s="45"/>
      <c r="B128" s="402" t="s">
        <v>30</v>
      </c>
      <c r="C128" s="403"/>
      <c r="D128" s="154"/>
      <c r="E128" s="154"/>
      <c r="F128" s="230"/>
      <c r="G128" s="230"/>
      <c r="H128" s="230"/>
      <c r="I128" s="230"/>
      <c r="J128" s="230"/>
      <c r="K128" s="230"/>
      <c r="L128" s="230"/>
      <c r="M128" s="230"/>
      <c r="N128" s="230"/>
      <c r="O128" s="150">
        <f>SUM(D128:E128)</f>
        <v>0</v>
      </c>
      <c r="P128" s="71"/>
      <c r="T128" s="55"/>
      <c r="U128" s="55"/>
      <c r="V128" s="55"/>
      <c r="W128" s="55"/>
      <c r="X128" s="55"/>
      <c r="Y128" s="55"/>
      <c r="Z128" s="55"/>
      <c r="AA128" s="55"/>
    </row>
    <row r="129" spans="1:27" s="50" customFormat="1" ht="18" customHeight="1" x14ac:dyDescent="0.2">
      <c r="A129" s="45"/>
      <c r="B129" s="402" t="s">
        <v>31</v>
      </c>
      <c r="C129" s="403"/>
      <c r="D129" s="154"/>
      <c r="E129" s="154"/>
      <c r="F129" s="154"/>
      <c r="G129" s="230"/>
      <c r="H129" s="230"/>
      <c r="I129" s="230"/>
      <c r="J129" s="230"/>
      <c r="K129" s="230"/>
      <c r="L129" s="230"/>
      <c r="M129" s="230"/>
      <c r="N129" s="230"/>
      <c r="O129" s="150">
        <f>SUM(D129:F129)</f>
        <v>0</v>
      </c>
      <c r="P129" s="71"/>
      <c r="T129" s="55"/>
      <c r="U129" s="55"/>
      <c r="V129" s="55"/>
      <c r="W129" s="55"/>
      <c r="X129" s="55"/>
      <c r="Y129" s="55"/>
      <c r="Z129" s="55"/>
      <c r="AA129" s="55"/>
    </row>
    <row r="130" spans="1:27" s="50" customFormat="1" ht="18" customHeight="1" x14ac:dyDescent="0.2">
      <c r="A130" s="45"/>
      <c r="B130" s="402" t="s">
        <v>32</v>
      </c>
      <c r="C130" s="403"/>
      <c r="D130" s="154"/>
      <c r="E130" s="154"/>
      <c r="F130" s="154"/>
      <c r="G130" s="154"/>
      <c r="H130" s="230"/>
      <c r="I130" s="230"/>
      <c r="J130" s="230"/>
      <c r="K130" s="230"/>
      <c r="L130" s="230"/>
      <c r="M130" s="230"/>
      <c r="N130" s="230"/>
      <c r="O130" s="150">
        <f>SUM(D130:G130)</f>
        <v>0</v>
      </c>
      <c r="P130" s="71"/>
      <c r="T130" s="55"/>
      <c r="U130" s="55"/>
      <c r="V130" s="55"/>
      <c r="W130" s="55"/>
      <c r="X130" s="55"/>
      <c r="Y130" s="55"/>
      <c r="Z130" s="55"/>
      <c r="AA130" s="55"/>
    </row>
    <row r="131" spans="1:27" s="50" customFormat="1" ht="18" customHeight="1" x14ac:dyDescent="0.2">
      <c r="A131" s="45"/>
      <c r="B131" s="402" t="s">
        <v>33</v>
      </c>
      <c r="C131" s="403"/>
      <c r="D131" s="154"/>
      <c r="E131" s="154"/>
      <c r="F131" s="154"/>
      <c r="G131" s="154"/>
      <c r="H131" s="230"/>
      <c r="I131" s="230"/>
      <c r="J131" s="230"/>
      <c r="K131" s="230"/>
      <c r="L131" s="230"/>
      <c r="M131" s="230"/>
      <c r="N131" s="230"/>
      <c r="O131" s="150">
        <f>SUM(D131:G131)</f>
        <v>0</v>
      </c>
      <c r="P131" s="71"/>
      <c r="T131" s="55"/>
      <c r="U131" s="55"/>
      <c r="V131" s="55"/>
      <c r="W131" s="55"/>
      <c r="X131" s="55"/>
      <c r="Y131" s="55"/>
      <c r="Z131" s="55"/>
      <c r="AA131" s="55"/>
    </row>
    <row r="132" spans="1:27" s="50" customFormat="1" ht="18" customHeight="1" x14ac:dyDescent="0.2">
      <c r="A132" s="45"/>
      <c r="B132" s="402" t="s">
        <v>34</v>
      </c>
      <c r="C132" s="403"/>
      <c r="D132" s="154"/>
      <c r="E132" s="154"/>
      <c r="F132" s="154"/>
      <c r="G132" s="154"/>
      <c r="H132" s="154"/>
      <c r="I132" s="154"/>
      <c r="J132" s="154"/>
      <c r="K132" s="154"/>
      <c r="L132" s="154"/>
      <c r="M132" s="154"/>
      <c r="N132" s="154"/>
      <c r="O132" s="150">
        <f>SUM(D132:N132)</f>
        <v>0</v>
      </c>
      <c r="P132" s="71"/>
      <c r="T132" s="55"/>
      <c r="U132" s="55"/>
      <c r="V132" s="55"/>
      <c r="W132" s="55"/>
      <c r="X132" s="55"/>
      <c r="Y132" s="55"/>
      <c r="Z132" s="55"/>
      <c r="AA132" s="55"/>
    </row>
    <row r="133" spans="1:27" s="50" customFormat="1" ht="18" customHeight="1" x14ac:dyDescent="0.2">
      <c r="A133" s="45"/>
      <c r="B133" s="402" t="s">
        <v>35</v>
      </c>
      <c r="C133" s="403"/>
      <c r="D133" s="154"/>
      <c r="E133" s="154"/>
      <c r="F133" s="154"/>
      <c r="G133" s="154"/>
      <c r="H133" s="154"/>
      <c r="I133" s="154"/>
      <c r="J133" s="230"/>
      <c r="K133" s="230"/>
      <c r="L133" s="230"/>
      <c r="M133" s="230"/>
      <c r="N133" s="230"/>
      <c r="O133" s="150">
        <f>SUM(D133:I133)</f>
        <v>0</v>
      </c>
      <c r="P133" s="71"/>
      <c r="T133" s="55"/>
      <c r="U133" s="55"/>
      <c r="V133" s="55"/>
      <c r="W133" s="55"/>
      <c r="X133" s="55"/>
      <c r="Y133" s="55"/>
      <c r="Z133" s="55"/>
      <c r="AA133" s="55"/>
    </row>
    <row r="134" spans="1:27" s="50" customFormat="1" ht="18" customHeight="1" x14ac:dyDescent="0.2">
      <c r="A134" s="45"/>
      <c r="B134" s="402" t="s">
        <v>36</v>
      </c>
      <c r="C134" s="403"/>
      <c r="D134" s="154"/>
      <c r="E134" s="154"/>
      <c r="F134" s="154"/>
      <c r="G134" s="154"/>
      <c r="H134" s="230"/>
      <c r="I134" s="230"/>
      <c r="J134" s="230"/>
      <c r="K134" s="230"/>
      <c r="L134" s="230"/>
      <c r="M134" s="230"/>
      <c r="N134" s="230"/>
      <c r="O134" s="150">
        <f>SUM(D134:G134)</f>
        <v>0</v>
      </c>
      <c r="P134" s="71"/>
      <c r="T134" s="55"/>
      <c r="U134" s="55"/>
      <c r="V134" s="55"/>
      <c r="W134" s="55"/>
      <c r="X134" s="55"/>
      <c r="Y134" s="55"/>
      <c r="Z134" s="55"/>
      <c r="AA134" s="55"/>
    </row>
    <row r="135" spans="1:27" s="50" customFormat="1" ht="18" customHeight="1" x14ac:dyDescent="0.2">
      <c r="A135" s="45"/>
      <c r="B135" s="402" t="s">
        <v>37</v>
      </c>
      <c r="C135" s="403"/>
      <c r="D135" s="154"/>
      <c r="E135" s="154"/>
      <c r="F135" s="154"/>
      <c r="G135" s="154"/>
      <c r="H135" s="230"/>
      <c r="I135" s="230"/>
      <c r="J135" s="230"/>
      <c r="K135" s="230"/>
      <c r="L135" s="230"/>
      <c r="M135" s="230"/>
      <c r="N135" s="230"/>
      <c r="O135" s="150">
        <f>SUM(D135:G135)</f>
        <v>0</v>
      </c>
      <c r="P135" s="71"/>
      <c r="T135" s="55"/>
      <c r="U135" s="55"/>
      <c r="V135" s="55"/>
      <c r="W135" s="55"/>
      <c r="X135" s="55"/>
      <c r="Y135" s="55"/>
      <c r="Z135" s="55"/>
      <c r="AA135" s="55"/>
    </row>
    <row r="136" spans="1:27" s="50" customFormat="1" ht="18" customHeight="1" x14ac:dyDescent="0.2">
      <c r="A136" s="45"/>
      <c r="B136" s="402" t="s">
        <v>185</v>
      </c>
      <c r="C136" s="403"/>
      <c r="D136" s="154"/>
      <c r="E136" s="154"/>
      <c r="F136" s="154"/>
      <c r="G136" s="154"/>
      <c r="H136" s="230"/>
      <c r="I136" s="230"/>
      <c r="J136" s="230"/>
      <c r="K136" s="230"/>
      <c r="L136" s="230"/>
      <c r="M136" s="230"/>
      <c r="N136" s="230"/>
      <c r="O136" s="150">
        <f>SUM(D136:G136)</f>
        <v>0</v>
      </c>
      <c r="P136" s="71"/>
      <c r="T136" s="55"/>
      <c r="U136" s="55"/>
      <c r="V136" s="55"/>
      <c r="W136" s="55"/>
      <c r="X136" s="55"/>
      <c r="Y136" s="55"/>
      <c r="Z136" s="55"/>
      <c r="AA136" s="55"/>
    </row>
    <row r="137" spans="1:27" s="50" customFormat="1" ht="18" customHeight="1" x14ac:dyDescent="0.2">
      <c r="A137" s="45"/>
      <c r="B137" s="402" t="s">
        <v>541</v>
      </c>
      <c r="C137" s="403"/>
      <c r="D137" s="154"/>
      <c r="E137" s="230"/>
      <c r="F137" s="230"/>
      <c r="G137" s="230"/>
      <c r="H137" s="230"/>
      <c r="I137" s="230"/>
      <c r="J137" s="230"/>
      <c r="K137" s="230"/>
      <c r="L137" s="230"/>
      <c r="M137" s="230"/>
      <c r="N137" s="230"/>
      <c r="O137" s="150">
        <f>D137</f>
        <v>0</v>
      </c>
      <c r="P137" s="71"/>
      <c r="T137" s="55"/>
      <c r="U137" s="55"/>
      <c r="V137" s="55"/>
      <c r="W137" s="55"/>
      <c r="X137" s="55"/>
      <c r="Y137" s="55"/>
      <c r="Z137" s="55"/>
      <c r="AA137" s="55"/>
    </row>
    <row r="138" spans="1:27" s="50" customFormat="1" x14ac:dyDescent="0.2">
      <c r="A138" s="45"/>
      <c r="F138" s="69"/>
      <c r="G138" s="69"/>
      <c r="H138" s="69"/>
      <c r="O138" s="52"/>
      <c r="P138" s="55"/>
      <c r="T138" s="55"/>
      <c r="U138" s="55"/>
      <c r="V138" s="55"/>
      <c r="W138" s="55"/>
      <c r="X138" s="55"/>
      <c r="Y138" s="55"/>
      <c r="Z138" s="55"/>
      <c r="AA138" s="55"/>
    </row>
    <row r="139" spans="1:27" s="50" customFormat="1" ht="18" customHeight="1" x14ac:dyDescent="0.2">
      <c r="A139" s="315" t="s">
        <v>41</v>
      </c>
      <c r="B139" s="315"/>
      <c r="C139" s="315"/>
      <c r="D139" s="315"/>
      <c r="E139" s="315"/>
      <c r="F139" s="315"/>
      <c r="G139" s="53"/>
      <c r="H139" s="72"/>
      <c r="I139" s="72"/>
      <c r="J139" s="58"/>
      <c r="K139" s="58"/>
      <c r="L139" s="58"/>
      <c r="M139" s="58"/>
      <c r="N139" s="58"/>
      <c r="O139" s="58"/>
      <c r="P139" s="58"/>
      <c r="Q139" s="72"/>
      <c r="R139" s="55"/>
      <c r="S139" s="55"/>
      <c r="T139" s="55"/>
      <c r="U139" s="55"/>
      <c r="V139" s="55"/>
      <c r="W139" s="55"/>
      <c r="X139" s="55"/>
      <c r="Y139" s="55"/>
      <c r="Z139" s="55"/>
      <c r="AA139" s="55"/>
    </row>
    <row r="140" spans="1:27" s="50" customFormat="1" ht="18" customHeight="1" x14ac:dyDescent="0.2">
      <c r="A140" s="45"/>
      <c r="B140" s="152"/>
      <c r="C140" s="72"/>
      <c r="D140" s="72"/>
      <c r="E140" s="72"/>
      <c r="F140" s="72"/>
      <c r="G140" s="72"/>
      <c r="H140" s="72"/>
      <c r="I140" s="72"/>
      <c r="J140" s="72"/>
      <c r="K140" s="72"/>
      <c r="L140" s="72"/>
      <c r="M140" s="72"/>
      <c r="N140" s="72"/>
      <c r="O140" s="58"/>
      <c r="P140" s="58"/>
      <c r="Q140" s="72"/>
      <c r="R140" s="55"/>
      <c r="S140" s="55"/>
      <c r="T140" s="55"/>
      <c r="U140" s="55"/>
      <c r="V140" s="55"/>
      <c r="W140" s="55"/>
      <c r="X140" s="55"/>
      <c r="Y140" s="55"/>
      <c r="Z140" s="55"/>
      <c r="AA140" s="55"/>
    </row>
    <row r="141" spans="1:27" s="50" customFormat="1" ht="18" customHeight="1" x14ac:dyDescent="0.2">
      <c r="A141" s="45" t="s">
        <v>592</v>
      </c>
      <c r="B141" s="292" t="s">
        <v>2</v>
      </c>
      <c r="C141" s="292"/>
      <c r="D141" s="292"/>
      <c r="E141" s="292"/>
      <c r="F141" s="292"/>
      <c r="G141" s="292"/>
      <c r="H141" s="146" t="s">
        <v>42</v>
      </c>
      <c r="I141" s="146" t="s">
        <v>43</v>
      </c>
      <c r="J141" s="153" t="s">
        <v>44</v>
      </c>
      <c r="K141" s="153" t="s">
        <v>45</v>
      </c>
      <c r="L141" s="153" t="s">
        <v>46</v>
      </c>
      <c r="M141" s="153" t="s">
        <v>47</v>
      </c>
      <c r="N141" s="153" t="s">
        <v>438</v>
      </c>
      <c r="O141" s="153" t="s">
        <v>439</v>
      </c>
      <c r="P141" s="153" t="s">
        <v>440</v>
      </c>
      <c r="Q141" s="153" t="s">
        <v>441</v>
      </c>
      <c r="R141" s="153" t="s">
        <v>442</v>
      </c>
      <c r="S141" s="153" t="s">
        <v>443</v>
      </c>
      <c r="T141" s="153" t="s">
        <v>444</v>
      </c>
      <c r="U141" s="146" t="s">
        <v>14</v>
      </c>
      <c r="V141" s="74"/>
      <c r="W141" s="55"/>
      <c r="X141" s="55"/>
      <c r="Y141" s="55"/>
      <c r="Z141" s="55"/>
      <c r="AA141" s="55"/>
    </row>
    <row r="142" spans="1:27" s="50" customFormat="1" ht="18" customHeight="1" x14ac:dyDescent="0.2">
      <c r="A142" s="45"/>
      <c r="B142" s="447" t="s">
        <v>48</v>
      </c>
      <c r="C142" s="448"/>
      <c r="D142" s="444" t="s">
        <v>49</v>
      </c>
      <c r="E142" s="445"/>
      <c r="F142" s="445"/>
      <c r="G142" s="446"/>
      <c r="H142" s="154"/>
      <c r="I142" s="154"/>
      <c r="J142" s="154"/>
      <c r="K142" s="154"/>
      <c r="L142" s="154"/>
      <c r="M142" s="154"/>
      <c r="N142" s="154"/>
      <c r="O142" s="231"/>
      <c r="P142" s="231"/>
      <c r="Q142" s="231"/>
      <c r="R142" s="231"/>
      <c r="S142" s="231"/>
      <c r="T142" s="231"/>
      <c r="U142" s="148">
        <f>SUM(H142:N142)</f>
        <v>0</v>
      </c>
      <c r="V142" s="74"/>
      <c r="W142" s="55"/>
      <c r="X142" s="55"/>
      <c r="Y142" s="55"/>
      <c r="Z142" s="55"/>
      <c r="AA142" s="55"/>
    </row>
    <row r="143" spans="1:27" s="50" customFormat="1" ht="18" customHeight="1" x14ac:dyDescent="0.2">
      <c r="A143" s="45"/>
      <c r="B143" s="449"/>
      <c r="C143" s="450"/>
      <c r="D143" s="444" t="s">
        <v>50</v>
      </c>
      <c r="E143" s="445"/>
      <c r="F143" s="445"/>
      <c r="G143" s="446"/>
      <c r="H143" s="154"/>
      <c r="I143" s="154"/>
      <c r="J143" s="154"/>
      <c r="K143" s="154"/>
      <c r="L143" s="154"/>
      <c r="M143" s="154"/>
      <c r="N143" s="154"/>
      <c r="O143" s="231"/>
      <c r="P143" s="231"/>
      <c r="Q143" s="231"/>
      <c r="R143" s="231"/>
      <c r="S143" s="231"/>
      <c r="T143" s="231"/>
      <c r="U143" s="148">
        <f>SUM(H143:N143)</f>
        <v>0</v>
      </c>
      <c r="V143" s="74"/>
      <c r="W143" s="55"/>
      <c r="X143" s="55"/>
      <c r="Y143" s="55"/>
      <c r="Z143" s="55"/>
      <c r="AA143" s="55"/>
    </row>
    <row r="144" spans="1:27" s="50" customFormat="1" ht="18" customHeight="1" x14ac:dyDescent="0.2">
      <c r="A144" s="45"/>
      <c r="B144" s="447" t="s">
        <v>51</v>
      </c>
      <c r="C144" s="448"/>
      <c r="D144" s="444" t="s">
        <v>436</v>
      </c>
      <c r="E144" s="445"/>
      <c r="F144" s="445"/>
      <c r="G144" s="446"/>
      <c r="H144" s="230"/>
      <c r="I144" s="230"/>
      <c r="J144" s="154"/>
      <c r="K144" s="154"/>
      <c r="L144" s="154"/>
      <c r="M144" s="154"/>
      <c r="N144" s="154"/>
      <c r="O144" s="154"/>
      <c r="P144" s="154"/>
      <c r="Q144" s="154"/>
      <c r="R144" s="154"/>
      <c r="S144" s="154"/>
      <c r="T144" s="154"/>
      <c r="U144" s="148">
        <f>SUM(J144:T144)</f>
        <v>0</v>
      </c>
      <c r="V144" s="74"/>
      <c r="W144" s="55"/>
      <c r="X144" s="55"/>
      <c r="Y144" s="55"/>
      <c r="Z144" s="55"/>
      <c r="AA144" s="55"/>
    </row>
    <row r="145" spans="1:27" s="50" customFormat="1" ht="18" customHeight="1" x14ac:dyDescent="0.2">
      <c r="A145" s="45"/>
      <c r="B145" s="449"/>
      <c r="C145" s="450"/>
      <c r="D145" s="444" t="s">
        <v>437</v>
      </c>
      <c r="E145" s="445"/>
      <c r="F145" s="445"/>
      <c r="G145" s="446"/>
      <c r="H145" s="230"/>
      <c r="I145" s="230"/>
      <c r="J145" s="154"/>
      <c r="K145" s="154"/>
      <c r="L145" s="154"/>
      <c r="M145" s="154"/>
      <c r="N145" s="154"/>
      <c r="O145" s="154"/>
      <c r="P145" s="154"/>
      <c r="Q145" s="154"/>
      <c r="R145" s="154"/>
      <c r="S145" s="154"/>
      <c r="T145" s="154"/>
      <c r="U145" s="148">
        <f>SUM(J145:T145)</f>
        <v>0</v>
      </c>
      <c r="V145" s="74"/>
      <c r="W145" s="55"/>
      <c r="X145" s="55"/>
      <c r="Y145" s="55"/>
      <c r="Z145" s="55"/>
      <c r="AA145" s="55"/>
    </row>
    <row r="146" spans="1:27" s="50" customFormat="1" ht="18" customHeight="1" x14ac:dyDescent="0.2">
      <c r="A146" s="75"/>
      <c r="B146" s="76" t="s">
        <v>52</v>
      </c>
      <c r="C146" s="55"/>
      <c r="D146" s="55"/>
      <c r="E146" s="55"/>
      <c r="F146" s="55"/>
      <c r="G146" s="55"/>
      <c r="H146" s="55"/>
      <c r="I146" s="55"/>
      <c r="J146" s="55"/>
      <c r="K146" s="55"/>
      <c r="L146" s="55"/>
      <c r="M146" s="55"/>
      <c r="N146" s="55"/>
      <c r="O146" s="61"/>
      <c r="P146" s="55"/>
      <c r="Q146" s="55"/>
      <c r="R146" s="55"/>
      <c r="S146" s="55"/>
      <c r="T146" s="55"/>
      <c r="U146" s="55"/>
      <c r="V146" s="55"/>
      <c r="W146" s="55"/>
      <c r="X146" s="55"/>
      <c r="Y146" s="55"/>
      <c r="Z146" s="55"/>
      <c r="AA146" s="55"/>
    </row>
    <row r="147" spans="1:27" s="50" customFormat="1" ht="18" customHeight="1" x14ac:dyDescent="0.2">
      <c r="A147" s="75"/>
      <c r="B147" s="76"/>
      <c r="C147" s="55"/>
      <c r="D147" s="55"/>
      <c r="E147" s="55"/>
      <c r="F147" s="55"/>
      <c r="G147" s="55"/>
      <c r="H147" s="55"/>
      <c r="I147" s="55"/>
      <c r="J147" s="55"/>
      <c r="K147" s="55"/>
      <c r="L147" s="55"/>
      <c r="M147" s="55"/>
      <c r="N147" s="55"/>
      <c r="O147" s="61"/>
      <c r="P147" s="55"/>
      <c r="Q147" s="55"/>
      <c r="R147" s="55"/>
      <c r="S147" s="55"/>
      <c r="T147" s="55"/>
      <c r="U147" s="55"/>
      <c r="V147" s="55"/>
      <c r="W147" s="55"/>
      <c r="X147" s="55"/>
      <c r="Y147" s="55"/>
      <c r="Z147" s="55"/>
      <c r="AA147" s="55"/>
    </row>
    <row r="148" spans="1:27" s="50" customFormat="1" ht="18" customHeight="1" x14ac:dyDescent="0.2">
      <c r="A148" s="206" t="s">
        <v>53</v>
      </c>
      <c r="B148" s="206"/>
      <c r="C148" s="206"/>
      <c r="D148" s="206"/>
      <c r="E148" s="206"/>
      <c r="F148" s="206"/>
      <c r="G148" s="207"/>
      <c r="H148" s="53"/>
      <c r="I148" s="55"/>
      <c r="J148" s="55"/>
      <c r="K148" s="55"/>
      <c r="L148" s="55"/>
      <c r="M148" s="55"/>
      <c r="N148" s="55"/>
      <c r="O148" s="61"/>
      <c r="P148" s="55"/>
      <c r="Q148" s="55"/>
      <c r="R148" s="55"/>
      <c r="S148" s="46" t="s">
        <v>54</v>
      </c>
      <c r="T148" s="55"/>
      <c r="U148" s="55"/>
    </row>
    <row r="149" spans="1:27" s="50" customFormat="1" ht="18" customHeight="1" x14ac:dyDescent="0.2">
      <c r="A149" s="75"/>
      <c r="B149" s="152"/>
      <c r="C149" s="45"/>
      <c r="D149" s="55"/>
      <c r="E149" s="55"/>
      <c r="F149" s="55"/>
      <c r="G149" s="55"/>
      <c r="H149" s="55"/>
      <c r="I149" s="55"/>
      <c r="J149" s="55"/>
      <c r="K149" s="55"/>
      <c r="L149" s="55"/>
      <c r="M149" s="55"/>
      <c r="N149" s="55"/>
      <c r="O149" s="61"/>
      <c r="P149" s="55"/>
      <c r="Q149" s="55"/>
      <c r="R149" s="55"/>
      <c r="S149" s="46"/>
      <c r="T149" s="55"/>
      <c r="U149" s="55"/>
    </row>
    <row r="150" spans="1:27" s="50" customFormat="1" ht="18" customHeight="1" x14ac:dyDescent="0.2">
      <c r="A150" s="75" t="s">
        <v>593</v>
      </c>
      <c r="B150" s="292" t="s">
        <v>2</v>
      </c>
      <c r="C150" s="292"/>
      <c r="D150" s="292"/>
      <c r="E150" s="292"/>
      <c r="F150" s="292" t="s">
        <v>35</v>
      </c>
      <c r="G150" s="292"/>
      <c r="H150" s="292" t="s">
        <v>36</v>
      </c>
      <c r="I150" s="292"/>
      <c r="J150" s="292" t="s">
        <v>37</v>
      </c>
      <c r="K150" s="292"/>
      <c r="L150" s="292" t="s">
        <v>38</v>
      </c>
      <c r="M150" s="292"/>
      <c r="N150" s="292" t="s">
        <v>445</v>
      </c>
      <c r="O150" s="292"/>
      <c r="P150" s="292" t="s">
        <v>446</v>
      </c>
      <c r="Q150" s="292"/>
      <c r="R150" s="292" t="s">
        <v>447</v>
      </c>
      <c r="S150" s="292"/>
      <c r="T150" s="292" t="s">
        <v>448</v>
      </c>
      <c r="U150" s="292"/>
      <c r="V150" s="292" t="s">
        <v>449</v>
      </c>
      <c r="W150" s="292"/>
      <c r="X150" s="292" t="s">
        <v>210</v>
      </c>
      <c r="Y150" s="292"/>
      <c r="Z150" s="292" t="s">
        <v>211</v>
      </c>
      <c r="AA150" s="292"/>
    </row>
    <row r="151" spans="1:27" s="50" customFormat="1" ht="18" customHeight="1" x14ac:dyDescent="0.2">
      <c r="A151" s="75"/>
      <c r="B151" s="292"/>
      <c r="C151" s="292"/>
      <c r="D151" s="292"/>
      <c r="E151" s="292"/>
      <c r="F151" s="151" t="s">
        <v>19</v>
      </c>
      <c r="G151" s="151" t="s">
        <v>20</v>
      </c>
      <c r="H151" s="151" t="s">
        <v>19</v>
      </c>
      <c r="I151" s="151" t="s">
        <v>20</v>
      </c>
      <c r="J151" s="151" t="s">
        <v>19</v>
      </c>
      <c r="K151" s="151" t="s">
        <v>20</v>
      </c>
      <c r="L151" s="151" t="s">
        <v>19</v>
      </c>
      <c r="M151" s="151" t="s">
        <v>20</v>
      </c>
      <c r="N151" s="151" t="s">
        <v>19</v>
      </c>
      <c r="O151" s="151" t="s">
        <v>20</v>
      </c>
      <c r="P151" s="151" t="s">
        <v>19</v>
      </c>
      <c r="Q151" s="151" t="s">
        <v>20</v>
      </c>
      <c r="R151" s="151" t="s">
        <v>19</v>
      </c>
      <c r="S151" s="151" t="s">
        <v>20</v>
      </c>
      <c r="T151" s="151" t="s">
        <v>19</v>
      </c>
      <c r="U151" s="151" t="s">
        <v>20</v>
      </c>
      <c r="V151" s="151" t="s">
        <v>19</v>
      </c>
      <c r="W151" s="151" t="s">
        <v>20</v>
      </c>
      <c r="X151" s="151" t="s">
        <v>19</v>
      </c>
      <c r="Y151" s="151" t="s">
        <v>20</v>
      </c>
      <c r="Z151" s="151" t="s">
        <v>19</v>
      </c>
      <c r="AA151" s="151" t="s">
        <v>20</v>
      </c>
    </row>
    <row r="152" spans="1:27" s="50" customFormat="1" ht="18" customHeight="1" x14ac:dyDescent="0.2">
      <c r="A152" s="75"/>
      <c r="B152" s="413" t="s">
        <v>56</v>
      </c>
      <c r="C152" s="414"/>
      <c r="D152" s="414"/>
      <c r="E152" s="415"/>
      <c r="F152" s="230"/>
      <c r="G152" s="230"/>
      <c r="H152" s="154"/>
      <c r="I152" s="154"/>
      <c r="J152" s="154"/>
      <c r="K152" s="154"/>
      <c r="L152" s="154"/>
      <c r="M152" s="154"/>
      <c r="N152" s="154"/>
      <c r="O152" s="154"/>
      <c r="P152" s="154"/>
      <c r="Q152" s="154"/>
      <c r="R152" s="154"/>
      <c r="S152" s="154"/>
      <c r="T152" s="154"/>
      <c r="U152" s="154"/>
      <c r="V152" s="154"/>
      <c r="W152" s="154"/>
      <c r="X152" s="154"/>
      <c r="Y152" s="154"/>
      <c r="Z152" s="154"/>
      <c r="AA152" s="154"/>
    </row>
    <row r="153" spans="1:27" s="50" customFormat="1" ht="18" customHeight="1" x14ac:dyDescent="0.2">
      <c r="A153" s="75"/>
      <c r="B153" s="55"/>
      <c r="C153" s="55"/>
      <c r="D153" s="55"/>
      <c r="E153" s="55"/>
      <c r="F153" s="55"/>
      <c r="G153" s="55"/>
      <c r="H153" s="55"/>
      <c r="I153" s="55"/>
      <c r="J153" s="55"/>
      <c r="K153" s="55"/>
      <c r="L153" s="55"/>
      <c r="M153" s="55"/>
      <c r="N153" s="55"/>
      <c r="O153" s="61"/>
      <c r="P153" s="55"/>
      <c r="Q153" s="55"/>
      <c r="R153" s="55"/>
      <c r="S153" s="55"/>
      <c r="T153" s="55"/>
      <c r="U153" s="55"/>
    </row>
    <row r="154" spans="1:27" s="50" customFormat="1" ht="18" customHeight="1" x14ac:dyDescent="0.2">
      <c r="A154" s="206" t="s">
        <v>631</v>
      </c>
      <c r="B154" s="206"/>
      <c r="C154" s="206"/>
      <c r="D154" s="206"/>
      <c r="E154" s="206"/>
      <c r="F154" s="206"/>
      <c r="G154" s="207"/>
      <c r="H154" s="207"/>
      <c r="I154" s="55"/>
      <c r="J154" s="55"/>
      <c r="K154" s="55"/>
      <c r="L154" s="55"/>
      <c r="M154" s="55"/>
      <c r="N154" s="55"/>
      <c r="O154" s="61"/>
      <c r="P154" s="55"/>
      <c r="Q154" s="55"/>
      <c r="R154" s="55"/>
      <c r="S154" s="55"/>
      <c r="T154" s="55"/>
      <c r="U154" s="55"/>
    </row>
    <row r="155" spans="1:27" s="50" customFormat="1" ht="18" customHeight="1" x14ac:dyDescent="0.2">
      <c r="A155" s="77"/>
      <c r="B155" s="77"/>
      <c r="C155" s="77"/>
      <c r="D155" s="77"/>
      <c r="E155" s="77"/>
      <c r="F155" s="55"/>
      <c r="G155" s="55"/>
      <c r="H155" s="55"/>
      <c r="I155" s="55"/>
      <c r="J155" s="55"/>
      <c r="K155" s="55"/>
      <c r="L155" s="55"/>
      <c r="M155" s="55"/>
      <c r="N155" s="55"/>
      <c r="O155" s="61"/>
      <c r="P155" s="55"/>
      <c r="Q155" s="55"/>
      <c r="R155" s="55"/>
      <c r="S155" s="55"/>
      <c r="T155" s="55"/>
      <c r="U155" s="55"/>
    </row>
    <row r="156" spans="1:27" s="50" customFormat="1" ht="18" customHeight="1" x14ac:dyDescent="0.2">
      <c r="A156" s="75"/>
      <c r="B156" s="67" t="s">
        <v>647</v>
      </c>
      <c r="C156" s="71"/>
      <c r="D156" s="71"/>
      <c r="E156" s="55"/>
      <c r="F156" s="55"/>
      <c r="G156" s="55"/>
      <c r="H156" s="53"/>
      <c r="I156" s="55"/>
      <c r="J156" s="55"/>
      <c r="K156" s="55"/>
      <c r="L156" s="55"/>
      <c r="M156" s="55"/>
      <c r="N156" s="55"/>
      <c r="O156" s="61"/>
      <c r="P156" s="55"/>
      <c r="Q156" s="55"/>
      <c r="R156" s="55"/>
      <c r="S156" s="55"/>
      <c r="T156" s="55"/>
      <c r="U156" s="55"/>
    </row>
    <row r="157" spans="1:27" s="50" customFormat="1" ht="18" customHeight="1" x14ac:dyDescent="0.2">
      <c r="A157" s="75" t="s">
        <v>596</v>
      </c>
      <c r="B157" s="338" t="s">
        <v>2</v>
      </c>
      <c r="C157" s="338"/>
      <c r="D157" s="338"/>
      <c r="E157" s="300" t="s">
        <v>58</v>
      </c>
      <c r="F157" s="301"/>
      <c r="G157" s="301"/>
      <c r="H157" s="301"/>
      <c r="I157" s="301"/>
      <c r="J157" s="301"/>
      <c r="K157" s="443"/>
      <c r="L157" s="442" t="s">
        <v>18</v>
      </c>
      <c r="M157"/>
      <c r="N157"/>
      <c r="O157"/>
      <c r="P157"/>
      <c r="Q157"/>
      <c r="S157" s="55"/>
      <c r="T157" s="55"/>
      <c r="U157" s="55"/>
    </row>
    <row r="158" spans="1:27" s="50" customFormat="1" ht="18" customHeight="1" x14ac:dyDescent="0.2">
      <c r="A158" s="45"/>
      <c r="B158" s="338"/>
      <c r="C158" s="338"/>
      <c r="D158" s="338"/>
      <c r="E158" s="213" t="s">
        <v>19</v>
      </c>
      <c r="F158" s="213" t="s">
        <v>20</v>
      </c>
      <c r="G158" s="213" t="s">
        <v>21</v>
      </c>
      <c r="H158" s="213" t="s">
        <v>22</v>
      </c>
      <c r="I158" s="213" t="s">
        <v>23</v>
      </c>
      <c r="J158" s="213" t="s">
        <v>24</v>
      </c>
      <c r="K158" s="266" t="s">
        <v>60</v>
      </c>
      <c r="L158" s="442"/>
      <c r="M158" s="55"/>
      <c r="N158" s="55"/>
      <c r="O158" s="55"/>
    </row>
    <row r="159" spans="1:27" s="50" customFormat="1" ht="18" customHeight="1" x14ac:dyDescent="0.2">
      <c r="A159" s="75"/>
      <c r="B159" s="209" t="s">
        <v>61</v>
      </c>
      <c r="C159" s="211"/>
      <c r="D159" s="212"/>
      <c r="E159" s="210"/>
      <c r="F159" s="210"/>
      <c r="G159" s="210"/>
      <c r="H159" s="210"/>
      <c r="I159" s="210"/>
      <c r="J159" s="217"/>
      <c r="K159" s="217"/>
      <c r="L159" s="276">
        <f>SUM(J159:K159)</f>
        <v>0</v>
      </c>
      <c r="M159" s="55"/>
      <c r="N159" s="55"/>
      <c r="O159" s="55"/>
    </row>
    <row r="160" spans="1:27" s="50" customFormat="1" ht="18" customHeight="1" x14ac:dyDescent="0.2">
      <c r="A160" s="75"/>
      <c r="B160" s="209" t="s">
        <v>69</v>
      </c>
      <c r="C160" s="211"/>
      <c r="D160" s="212"/>
      <c r="E160" s="210"/>
      <c r="F160" s="210"/>
      <c r="G160" s="217"/>
      <c r="H160" s="217"/>
      <c r="I160" s="217"/>
      <c r="J160" s="217"/>
      <c r="K160" s="217"/>
      <c r="L160" s="276">
        <f>SUM(G160:K160)</f>
        <v>0</v>
      </c>
      <c r="M160" s="55"/>
      <c r="N160" s="55"/>
      <c r="O160" s="55"/>
    </row>
    <row r="161" spans="1:21" s="50" customFormat="1" ht="19.5" customHeight="1" x14ac:dyDescent="0.2">
      <c r="A161" s="75"/>
      <c r="B161" s="209" t="s">
        <v>632</v>
      </c>
      <c r="C161" s="211"/>
      <c r="D161" s="212"/>
      <c r="E161" s="210"/>
      <c r="F161" s="210"/>
      <c r="G161" s="210"/>
      <c r="H161" s="210"/>
      <c r="I161" s="210"/>
      <c r="J161" s="210"/>
      <c r="K161" s="267"/>
      <c r="L161" s="276"/>
      <c r="M161" s="55"/>
      <c r="N161" s="55"/>
      <c r="O161" s="55"/>
    </row>
    <row r="162" spans="1:21" s="50" customFormat="1" ht="18" customHeight="1" x14ac:dyDescent="0.2">
      <c r="A162" s="75"/>
      <c r="B162" s="209" t="s">
        <v>633</v>
      </c>
      <c r="C162" s="211"/>
      <c r="D162" s="212"/>
      <c r="E162" s="210"/>
      <c r="F162" s="210"/>
      <c r="G162" s="210"/>
      <c r="H162" s="210"/>
      <c r="I162" s="210"/>
      <c r="J162" s="210"/>
      <c r="K162" s="210"/>
      <c r="L162" s="276"/>
      <c r="M162" s="55"/>
      <c r="N162" s="55"/>
      <c r="O162" s="55"/>
    </row>
    <row r="163" spans="1:21" s="50" customFormat="1" ht="18" customHeight="1" x14ac:dyDescent="0.2">
      <c r="A163" s="75"/>
      <c r="B163" s="209" t="s">
        <v>637</v>
      </c>
      <c r="C163" s="211"/>
      <c r="D163" s="212"/>
      <c r="E163" s="210"/>
      <c r="F163" s="210"/>
      <c r="G163" s="210"/>
      <c r="H163" s="267"/>
      <c r="I163" s="267"/>
      <c r="J163" s="267"/>
      <c r="K163" s="267"/>
      <c r="L163" s="276"/>
      <c r="M163" s="55"/>
      <c r="N163" s="55"/>
      <c r="O163" s="55"/>
    </row>
    <row r="164" spans="1:21" s="50" customFormat="1" ht="18" customHeight="1" x14ac:dyDescent="0.2">
      <c r="A164" s="75"/>
      <c r="B164" s="209" t="s">
        <v>638</v>
      </c>
      <c r="C164" s="211"/>
      <c r="D164" s="212"/>
      <c r="E164" s="210"/>
      <c r="F164" s="210"/>
      <c r="G164" s="210"/>
      <c r="H164" s="217"/>
      <c r="I164" s="217"/>
      <c r="J164" s="217"/>
      <c r="K164" s="267"/>
      <c r="L164" s="276">
        <f>SUM(H164:J164)</f>
        <v>0</v>
      </c>
      <c r="M164" s="55"/>
      <c r="N164" s="55"/>
      <c r="O164" s="55"/>
    </row>
    <row r="165" spans="1:21" s="50" customFormat="1" ht="18" customHeight="1" x14ac:dyDescent="0.2">
      <c r="A165" s="75"/>
      <c r="B165" s="209" t="s">
        <v>639</v>
      </c>
      <c r="C165" s="211"/>
      <c r="D165" s="212"/>
      <c r="E165" s="210"/>
      <c r="F165" s="210"/>
      <c r="G165" s="210"/>
      <c r="H165" s="217"/>
      <c r="I165" s="217"/>
      <c r="J165" s="217"/>
      <c r="K165" s="267"/>
      <c r="L165" s="276">
        <f t="shared" ref="L165:L172" si="0">SUM(H165:J165)</f>
        <v>0</v>
      </c>
      <c r="M165" s="55"/>
      <c r="N165" s="55"/>
      <c r="O165" s="55"/>
    </row>
    <row r="166" spans="1:21" s="50" customFormat="1" ht="18" customHeight="1" x14ac:dyDescent="0.2">
      <c r="A166" s="165"/>
      <c r="B166" s="268" t="s">
        <v>640</v>
      </c>
      <c r="C166" s="269"/>
      <c r="D166" s="270"/>
      <c r="E166" s="271"/>
      <c r="F166" s="271"/>
      <c r="G166" s="271"/>
      <c r="H166" s="217"/>
      <c r="I166" s="217"/>
      <c r="J166" s="217"/>
      <c r="K166" s="271"/>
      <c r="L166" s="276">
        <f t="shared" si="0"/>
        <v>0</v>
      </c>
      <c r="M166" s="157"/>
      <c r="N166" s="157"/>
      <c r="O166" s="157"/>
    </row>
    <row r="167" spans="1:21" s="50" customFormat="1" ht="18" customHeight="1" x14ac:dyDescent="0.2">
      <c r="A167" s="165"/>
      <c r="B167" s="268" t="s">
        <v>641</v>
      </c>
      <c r="C167" s="269"/>
      <c r="D167" s="270"/>
      <c r="E167" s="271"/>
      <c r="F167" s="271"/>
      <c r="G167" s="271"/>
      <c r="H167" s="217"/>
      <c r="I167" s="217"/>
      <c r="J167" s="217"/>
      <c r="K167" s="271"/>
      <c r="L167" s="276">
        <f t="shared" si="0"/>
        <v>0</v>
      </c>
      <c r="M167" s="157"/>
      <c r="N167" s="157"/>
      <c r="O167" s="157"/>
    </row>
    <row r="168" spans="1:21" s="50" customFormat="1" ht="18" customHeight="1" x14ac:dyDescent="0.2">
      <c r="A168" s="165"/>
      <c r="B168" s="268" t="s">
        <v>642</v>
      </c>
      <c r="C168" s="269"/>
      <c r="D168" s="270"/>
      <c r="E168" s="271"/>
      <c r="F168" s="271"/>
      <c r="G168" s="271"/>
      <c r="H168" s="217"/>
      <c r="I168" s="217"/>
      <c r="J168" s="217"/>
      <c r="K168" s="271"/>
      <c r="L168" s="276">
        <f t="shared" si="0"/>
        <v>0</v>
      </c>
      <c r="M168" s="157"/>
      <c r="N168" s="157"/>
      <c r="O168" s="157"/>
    </row>
    <row r="169" spans="1:21" s="50" customFormat="1" ht="18" customHeight="1" x14ac:dyDescent="0.2">
      <c r="A169" s="165"/>
      <c r="B169" s="268" t="s">
        <v>643</v>
      </c>
      <c r="C169" s="269"/>
      <c r="D169" s="270"/>
      <c r="E169" s="271"/>
      <c r="F169" s="271"/>
      <c r="G169" s="271"/>
      <c r="H169" s="217"/>
      <c r="I169" s="217"/>
      <c r="J169" s="217"/>
      <c r="K169" s="271"/>
      <c r="L169" s="276">
        <f t="shared" si="0"/>
        <v>0</v>
      </c>
      <c r="M169" s="157"/>
      <c r="N169" s="157"/>
      <c r="O169" s="157"/>
    </row>
    <row r="170" spans="1:21" s="50" customFormat="1" ht="18" customHeight="1" x14ac:dyDescent="0.2">
      <c r="A170" s="165"/>
      <c r="B170" s="268" t="s">
        <v>644</v>
      </c>
      <c r="C170" s="269"/>
      <c r="D170" s="270"/>
      <c r="E170" s="271"/>
      <c r="F170" s="271"/>
      <c r="G170" s="271"/>
      <c r="H170" s="217"/>
      <c r="I170" s="217"/>
      <c r="J170" s="217"/>
      <c r="K170" s="271"/>
      <c r="L170" s="276">
        <f t="shared" si="0"/>
        <v>0</v>
      </c>
      <c r="M170" s="157"/>
      <c r="N170" s="157"/>
      <c r="O170" s="157"/>
    </row>
    <row r="171" spans="1:21" s="50" customFormat="1" ht="18" customHeight="1" x14ac:dyDescent="0.2">
      <c r="A171" s="165"/>
      <c r="B171" s="268" t="s">
        <v>645</v>
      </c>
      <c r="C171" s="269"/>
      <c r="D171" s="270"/>
      <c r="E171" s="271"/>
      <c r="F171" s="271"/>
      <c r="G171" s="271"/>
      <c r="H171" s="217"/>
      <c r="I171" s="217"/>
      <c r="J171" s="217"/>
      <c r="K171" s="271"/>
      <c r="L171" s="276">
        <f t="shared" si="0"/>
        <v>0</v>
      </c>
      <c r="M171" s="157"/>
      <c r="N171" s="157"/>
      <c r="O171" s="157"/>
    </row>
    <row r="172" spans="1:21" s="50" customFormat="1" ht="18" customHeight="1" x14ac:dyDescent="0.2">
      <c r="A172" s="165"/>
      <c r="B172" s="268" t="s">
        <v>646</v>
      </c>
      <c r="C172" s="269"/>
      <c r="D172" s="270"/>
      <c r="E172" s="271"/>
      <c r="F172" s="271"/>
      <c r="G172" s="271"/>
      <c r="H172" s="217"/>
      <c r="I172" s="217"/>
      <c r="J172" s="217"/>
      <c r="K172" s="271"/>
      <c r="L172" s="276">
        <f t="shared" si="0"/>
        <v>0</v>
      </c>
      <c r="M172" s="157"/>
      <c r="N172" s="157"/>
      <c r="O172" s="157"/>
    </row>
    <row r="173" spans="1:21" s="55" customFormat="1" x14ac:dyDescent="0.2">
      <c r="A173" s="75"/>
      <c r="B173" s="71"/>
      <c r="C173" s="71"/>
      <c r="D173" s="71"/>
      <c r="O173" s="61"/>
    </row>
    <row r="174" spans="1:21" s="50" customFormat="1" ht="18" customHeight="1" x14ac:dyDescent="0.2">
      <c r="A174" s="165"/>
      <c r="B174" s="67" t="s">
        <v>648</v>
      </c>
      <c r="C174" s="163"/>
      <c r="D174" s="163"/>
      <c r="E174" s="157"/>
      <c r="F174" s="157"/>
      <c r="G174" s="157"/>
      <c r="H174" s="53"/>
      <c r="I174" s="157"/>
      <c r="J174" s="157"/>
      <c r="K174" s="157"/>
      <c r="L174" s="157"/>
      <c r="M174" s="157"/>
      <c r="N174" s="157"/>
      <c r="O174" s="161"/>
      <c r="P174" s="157"/>
      <c r="Q174" s="157"/>
      <c r="R174" s="157"/>
      <c r="S174" s="157"/>
      <c r="T174" s="157"/>
      <c r="U174" s="157"/>
    </row>
    <row r="175" spans="1:21" s="50" customFormat="1" ht="18" customHeight="1" x14ac:dyDescent="0.2">
      <c r="A175" s="165" t="s">
        <v>597</v>
      </c>
      <c r="B175" s="338" t="s">
        <v>2</v>
      </c>
      <c r="C175" s="338"/>
      <c r="D175" s="338"/>
      <c r="E175" s="300" t="s">
        <v>58</v>
      </c>
      <c r="F175" s="301"/>
      <c r="G175" s="301"/>
      <c r="H175" s="301"/>
      <c r="I175" s="301"/>
      <c r="J175" s="301"/>
      <c r="K175" s="443"/>
      <c r="L175" s="401" t="s">
        <v>18</v>
      </c>
      <c r="M175" s="157"/>
      <c r="N175" s="157"/>
      <c r="O175" s="157"/>
    </row>
    <row r="176" spans="1:21" s="50" customFormat="1" ht="18" customHeight="1" x14ac:dyDescent="0.2">
      <c r="A176" s="156"/>
      <c r="B176" s="338"/>
      <c r="C176" s="338"/>
      <c r="D176" s="338"/>
      <c r="E176" s="215" t="s">
        <v>19</v>
      </c>
      <c r="F176" s="215" t="s">
        <v>20</v>
      </c>
      <c r="G176" s="215" t="s">
        <v>21</v>
      </c>
      <c r="H176" s="215" t="s">
        <v>22</v>
      </c>
      <c r="I176" s="215" t="s">
        <v>23</v>
      </c>
      <c r="J176" s="215" t="s">
        <v>24</v>
      </c>
      <c r="K176" s="214" t="s">
        <v>60</v>
      </c>
      <c r="L176" s="401"/>
      <c r="M176" s="157"/>
      <c r="N176" s="157"/>
      <c r="O176" s="157"/>
    </row>
    <row r="177" spans="1:21" s="50" customFormat="1" ht="19.5" customHeight="1" x14ac:dyDescent="0.2">
      <c r="A177" s="165"/>
      <c r="B177" s="216" t="s">
        <v>632</v>
      </c>
      <c r="C177" s="211"/>
      <c r="D177" s="212"/>
      <c r="E177" s="210"/>
      <c r="F177" s="210"/>
      <c r="G177" s="210"/>
      <c r="H177" s="210"/>
      <c r="I177" s="210"/>
      <c r="J177" s="210"/>
      <c r="K177" s="274"/>
      <c r="L177" s="163"/>
      <c r="M177" s="157"/>
      <c r="N177" s="157"/>
      <c r="O177" s="157"/>
    </row>
    <row r="178" spans="1:21" s="50" customFormat="1" ht="18" customHeight="1" x14ac:dyDescent="0.2">
      <c r="A178" s="165"/>
      <c r="B178" s="216" t="s">
        <v>633</v>
      </c>
      <c r="C178" s="211"/>
      <c r="D178" s="212"/>
      <c r="E178" s="210"/>
      <c r="F178" s="210"/>
      <c r="G178" s="210"/>
      <c r="H178" s="210"/>
      <c r="I178" s="210"/>
      <c r="J178" s="210"/>
      <c r="K178" s="210"/>
      <c r="L178" s="163"/>
      <c r="M178" s="157"/>
      <c r="N178" s="157"/>
      <c r="O178" s="157"/>
    </row>
    <row r="179" spans="1:21" s="50" customFormat="1" ht="18" customHeight="1" x14ac:dyDescent="0.2">
      <c r="A179" s="165"/>
      <c r="B179" s="216" t="s">
        <v>634</v>
      </c>
      <c r="C179" s="211"/>
      <c r="D179" s="212"/>
      <c r="E179" s="210"/>
      <c r="F179" s="210"/>
      <c r="G179" s="210"/>
      <c r="H179" s="210"/>
      <c r="I179" s="210"/>
      <c r="J179" s="210"/>
      <c r="K179" s="210"/>
      <c r="L179" s="163"/>
      <c r="M179" s="157"/>
      <c r="N179" s="157"/>
      <c r="O179" s="157"/>
    </row>
    <row r="180" spans="1:21" s="50" customFormat="1" ht="18" customHeight="1" x14ac:dyDescent="0.2">
      <c r="A180" s="165"/>
      <c r="B180" s="216" t="s">
        <v>635</v>
      </c>
      <c r="C180" s="211"/>
      <c r="D180" s="212"/>
      <c r="E180" s="210"/>
      <c r="F180" s="210"/>
      <c r="G180" s="210"/>
      <c r="H180" s="217"/>
      <c r="I180" s="217"/>
      <c r="J180" s="217"/>
      <c r="K180" s="210"/>
      <c r="L180" s="276">
        <f t="shared" ref="L180:L181" si="1">SUM(H180:J180)</f>
        <v>0</v>
      </c>
      <c r="M180" s="157"/>
      <c r="N180" s="157"/>
      <c r="O180" s="157"/>
    </row>
    <row r="181" spans="1:21" s="50" customFormat="1" ht="18" customHeight="1" x14ac:dyDescent="0.2">
      <c r="A181" s="165"/>
      <c r="B181" s="216" t="s">
        <v>636</v>
      </c>
      <c r="C181" s="211"/>
      <c r="D181" s="212"/>
      <c r="E181" s="210"/>
      <c r="F181" s="210"/>
      <c r="G181" s="210"/>
      <c r="H181" s="217"/>
      <c r="I181" s="217"/>
      <c r="J181" s="217"/>
      <c r="K181" s="210"/>
      <c r="L181" s="276">
        <f t="shared" si="1"/>
        <v>0</v>
      </c>
      <c r="M181" s="157"/>
      <c r="N181" s="157"/>
      <c r="O181" s="157"/>
    </row>
    <row r="182" spans="1:21" s="50" customFormat="1" ht="18" customHeight="1" x14ac:dyDescent="0.2">
      <c r="A182" s="165"/>
      <c r="B182" s="218"/>
      <c r="C182" s="163"/>
      <c r="D182" s="163"/>
      <c r="E182" s="157"/>
      <c r="F182" s="157"/>
      <c r="G182" s="157"/>
      <c r="H182" s="157"/>
      <c r="I182" s="157"/>
      <c r="J182" s="157"/>
      <c r="K182" s="157"/>
      <c r="L182" s="157"/>
      <c r="M182" s="157"/>
      <c r="N182" s="157"/>
      <c r="O182" s="161"/>
      <c r="P182" s="157"/>
      <c r="Q182" s="157"/>
      <c r="R182" s="157"/>
      <c r="S182" s="157"/>
      <c r="T182" s="157"/>
      <c r="U182" s="157"/>
    </row>
    <row r="183" spans="1:21" s="55" customFormat="1" x14ac:dyDescent="0.2">
      <c r="A183" s="75"/>
      <c r="B183" s="67" t="s">
        <v>160</v>
      </c>
      <c r="C183" s="71"/>
      <c r="D183" s="71"/>
      <c r="F183" s="71"/>
      <c r="H183" s="71"/>
      <c r="J183" s="71"/>
      <c r="L183" s="71"/>
      <c r="O183" s="61"/>
    </row>
    <row r="184" spans="1:21" s="50" customFormat="1" ht="18" customHeight="1" x14ac:dyDescent="0.2">
      <c r="A184" s="75" t="s">
        <v>598</v>
      </c>
      <c r="B184" s="292" t="s">
        <v>164</v>
      </c>
      <c r="C184" s="292"/>
      <c r="D184" s="292" t="s">
        <v>161</v>
      </c>
      <c r="E184" s="292"/>
      <c r="F184" s="292" t="s">
        <v>35</v>
      </c>
      <c r="G184" s="292"/>
      <c r="H184" s="292" t="s">
        <v>162</v>
      </c>
      <c r="I184" s="292"/>
      <c r="J184" s="292" t="s">
        <v>163</v>
      </c>
      <c r="K184" s="292"/>
      <c r="L184" s="292" t="s">
        <v>38</v>
      </c>
      <c r="M184" s="292"/>
      <c r="N184" s="55"/>
      <c r="O184" s="61"/>
      <c r="P184" s="78"/>
      <c r="S184" s="55"/>
      <c r="T184" s="55"/>
      <c r="U184" s="55"/>
    </row>
    <row r="185" spans="1:21" s="50" customFormat="1" ht="18" customHeight="1" x14ac:dyDescent="0.2">
      <c r="A185" s="45"/>
      <c r="B185" s="292"/>
      <c r="C185" s="292"/>
      <c r="D185" s="155" t="s">
        <v>165</v>
      </c>
      <c r="E185" s="155" t="s">
        <v>166</v>
      </c>
      <c r="F185" s="155" t="s">
        <v>165</v>
      </c>
      <c r="G185" s="155" t="s">
        <v>166</v>
      </c>
      <c r="H185" s="155" t="s">
        <v>165</v>
      </c>
      <c r="I185" s="155" t="s">
        <v>166</v>
      </c>
      <c r="J185" s="155" t="s">
        <v>165</v>
      </c>
      <c r="K185" s="155" t="s">
        <v>166</v>
      </c>
      <c r="L185" s="155" t="s">
        <v>165</v>
      </c>
      <c r="M185" s="155" t="s">
        <v>166</v>
      </c>
      <c r="O185" s="52"/>
      <c r="S185" s="55"/>
      <c r="T185" s="55"/>
      <c r="U185" s="55"/>
    </row>
    <row r="186" spans="1:21" s="50" customFormat="1" x14ac:dyDescent="0.2">
      <c r="A186" s="75"/>
      <c r="B186" s="418" t="s">
        <v>167</v>
      </c>
      <c r="C186" s="418"/>
      <c r="D186" s="210"/>
      <c r="E186" s="210"/>
      <c r="F186" s="210"/>
      <c r="G186" s="210"/>
      <c r="H186" s="210"/>
      <c r="I186" s="210"/>
      <c r="J186" s="210"/>
      <c r="K186" s="210"/>
      <c r="L186" s="210"/>
      <c r="M186" s="210"/>
      <c r="O186" s="52"/>
      <c r="S186" s="55"/>
      <c r="T186" s="55"/>
      <c r="U186" s="55"/>
    </row>
    <row r="187" spans="1:21" s="50" customFormat="1" x14ac:dyDescent="0.2">
      <c r="A187" s="75"/>
      <c r="L187" s="55"/>
      <c r="O187" s="52"/>
      <c r="R187" s="55"/>
      <c r="S187" s="55"/>
      <c r="T187" s="55"/>
    </row>
    <row r="188" spans="1:21" s="50" customFormat="1" ht="18" customHeight="1" x14ac:dyDescent="0.2">
      <c r="A188" s="206" t="s">
        <v>627</v>
      </c>
      <c r="B188" s="206"/>
      <c r="C188" s="206"/>
      <c r="D188" s="206"/>
      <c r="E188" s="206"/>
      <c r="F188" s="206"/>
      <c r="G188" s="207"/>
      <c r="H188" s="207"/>
      <c r="I188" s="157"/>
      <c r="J188" s="157"/>
      <c r="K188" s="157"/>
      <c r="L188" s="157"/>
      <c r="M188" s="157"/>
      <c r="N188" s="157"/>
      <c r="O188" s="161"/>
      <c r="P188" s="157"/>
      <c r="Q188" s="157"/>
      <c r="R188" s="157"/>
      <c r="S188" s="157"/>
      <c r="T188" s="157"/>
      <c r="U188" s="157"/>
    </row>
    <row r="189" spans="1:21" s="50" customFormat="1" ht="18" customHeight="1" x14ac:dyDescent="0.2">
      <c r="A189" s="77"/>
      <c r="B189" s="77"/>
      <c r="C189" s="77"/>
      <c r="D189" s="77"/>
      <c r="E189" s="77"/>
      <c r="F189" s="157"/>
      <c r="G189" s="157"/>
      <c r="H189" s="157"/>
      <c r="I189" s="157"/>
      <c r="J189" s="157"/>
      <c r="K189" s="157"/>
      <c r="L189" s="157"/>
      <c r="M189" s="157"/>
      <c r="N189" s="157"/>
      <c r="O189" s="161"/>
      <c r="P189" s="157"/>
      <c r="Q189" s="157"/>
      <c r="R189" s="157"/>
      <c r="S189" s="157"/>
      <c r="T189" s="157"/>
      <c r="U189" s="157"/>
    </row>
    <row r="190" spans="1:21" s="50" customFormat="1" ht="18" customHeight="1" x14ac:dyDescent="0.2">
      <c r="A190" s="165"/>
      <c r="B190" s="67" t="s">
        <v>647</v>
      </c>
      <c r="C190" s="163"/>
      <c r="D190" s="163"/>
      <c r="E190" s="157"/>
      <c r="F190" s="157"/>
      <c r="G190" s="157"/>
      <c r="H190" s="53"/>
      <c r="I190" s="157"/>
      <c r="J190" s="157"/>
      <c r="K190" s="157"/>
      <c r="L190" s="157"/>
      <c r="M190" s="157"/>
      <c r="N190" s="157"/>
      <c r="O190" s="161"/>
      <c r="P190" s="157"/>
      <c r="Q190" s="157"/>
      <c r="R190" s="157"/>
      <c r="S190" s="157"/>
      <c r="T190" s="157"/>
      <c r="U190" s="157"/>
    </row>
    <row r="191" spans="1:21" s="50" customFormat="1" ht="18" customHeight="1" x14ac:dyDescent="0.2">
      <c r="A191" s="165" t="s">
        <v>626</v>
      </c>
      <c r="B191" s="338" t="s">
        <v>2</v>
      </c>
      <c r="C191" s="338"/>
      <c r="D191" s="338"/>
      <c r="E191" s="300" t="s">
        <v>58</v>
      </c>
      <c r="F191" s="301"/>
      <c r="G191" s="301"/>
      <c r="H191" s="301"/>
      <c r="I191" s="301"/>
      <c r="J191" s="301"/>
      <c r="K191" s="301"/>
      <c r="L191" s="442" t="s">
        <v>18</v>
      </c>
      <c r="N191" s="157"/>
      <c r="O191" s="157"/>
      <c r="P191" s="157"/>
    </row>
    <row r="192" spans="1:21" s="50" customFormat="1" ht="18" customHeight="1" x14ac:dyDescent="0.2">
      <c r="A192" s="156"/>
      <c r="B192" s="338"/>
      <c r="C192" s="338"/>
      <c r="D192" s="338"/>
      <c r="E192" s="219" t="s">
        <v>19</v>
      </c>
      <c r="F192" s="219" t="s">
        <v>20</v>
      </c>
      <c r="G192" s="219" t="s">
        <v>21</v>
      </c>
      <c r="H192" s="219" t="s">
        <v>22</v>
      </c>
      <c r="I192" s="219" t="s">
        <v>23</v>
      </c>
      <c r="J192" s="219" t="s">
        <v>24</v>
      </c>
      <c r="K192" s="272" t="s">
        <v>60</v>
      </c>
      <c r="L192" s="442"/>
    </row>
    <row r="193" spans="1:20" s="50" customFormat="1" ht="18" customHeight="1" x14ac:dyDescent="0.2">
      <c r="A193" s="165"/>
      <c r="B193" s="221" t="s">
        <v>61</v>
      </c>
      <c r="C193" s="211"/>
      <c r="D193" s="212"/>
      <c r="E193" s="210"/>
      <c r="F193" s="210"/>
      <c r="G193" s="210"/>
      <c r="H193" s="210"/>
      <c r="I193" s="210"/>
      <c r="J193" s="217"/>
      <c r="K193" s="217"/>
      <c r="L193" s="276">
        <f>SUM(J193:K193)</f>
        <v>0</v>
      </c>
    </row>
    <row r="194" spans="1:20" s="50" customFormat="1" ht="19.5" customHeight="1" x14ac:dyDescent="0.2">
      <c r="A194" s="165"/>
      <c r="B194" s="221" t="s">
        <v>632</v>
      </c>
      <c r="C194" s="211"/>
      <c r="D194" s="212"/>
      <c r="E194" s="210"/>
      <c r="F194" s="210"/>
      <c r="G194" s="210"/>
      <c r="H194" s="210"/>
      <c r="I194" s="210"/>
      <c r="J194" s="210"/>
      <c r="K194" s="275"/>
    </row>
    <row r="195" spans="1:20" s="50" customFormat="1" ht="18" customHeight="1" x14ac:dyDescent="0.2">
      <c r="A195" s="165"/>
      <c r="B195" s="221" t="s">
        <v>633</v>
      </c>
      <c r="C195" s="211"/>
      <c r="D195" s="212"/>
      <c r="E195" s="210"/>
      <c r="F195" s="210"/>
      <c r="G195" s="210"/>
      <c r="H195" s="210"/>
      <c r="I195" s="210"/>
      <c r="J195" s="210"/>
      <c r="K195" s="273"/>
    </row>
    <row r="196" spans="1:20" s="50" customFormat="1" ht="18" customHeight="1" x14ac:dyDescent="0.2">
      <c r="A196" s="165"/>
      <c r="B196" s="221" t="s">
        <v>634</v>
      </c>
      <c r="C196" s="211"/>
      <c r="D196" s="212"/>
      <c r="E196" s="210"/>
      <c r="F196" s="210"/>
      <c r="G196" s="210"/>
      <c r="H196" s="210"/>
      <c r="I196" s="210"/>
      <c r="J196" s="210"/>
      <c r="K196" s="273"/>
    </row>
    <row r="197" spans="1:20" s="50" customFormat="1" ht="18" customHeight="1" x14ac:dyDescent="0.2">
      <c r="A197" s="165"/>
      <c r="B197" s="221" t="s">
        <v>635</v>
      </c>
      <c r="C197" s="211"/>
      <c r="D197" s="212"/>
      <c r="E197" s="210"/>
      <c r="F197" s="210"/>
      <c r="G197" s="210"/>
      <c r="H197" s="210"/>
      <c r="I197" s="210"/>
      <c r="J197" s="210"/>
      <c r="K197" s="273"/>
    </row>
    <row r="198" spans="1:20" s="50" customFormat="1" ht="18" customHeight="1" x14ac:dyDescent="0.2">
      <c r="A198" s="165"/>
      <c r="B198" s="221" t="s">
        <v>636</v>
      </c>
      <c r="C198" s="211"/>
      <c r="D198" s="212"/>
      <c r="E198" s="210"/>
      <c r="F198" s="210"/>
      <c r="G198" s="210"/>
      <c r="H198" s="210"/>
      <c r="I198" s="210"/>
      <c r="J198" s="210"/>
      <c r="K198" s="273"/>
    </row>
    <row r="199" spans="1:20" s="157" customFormat="1" x14ac:dyDescent="0.2">
      <c r="A199" s="165"/>
      <c r="B199" s="163"/>
      <c r="C199" s="163"/>
      <c r="D199" s="163"/>
      <c r="O199" s="161"/>
    </row>
    <row r="200" spans="1:20" s="50" customFormat="1" ht="18" customHeight="1" x14ac:dyDescent="0.2">
      <c r="A200" s="315" t="s">
        <v>168</v>
      </c>
      <c r="B200" s="315"/>
      <c r="C200" s="315"/>
      <c r="D200" s="315"/>
      <c r="E200" s="315"/>
      <c r="F200" s="315"/>
      <c r="L200" s="55"/>
      <c r="M200" s="55"/>
      <c r="N200" s="55"/>
      <c r="O200" s="61"/>
      <c r="P200" s="55"/>
      <c r="Q200" s="55"/>
      <c r="R200" s="78"/>
      <c r="S200" s="55"/>
      <c r="T200" s="55"/>
    </row>
    <row r="201" spans="1:20" s="50" customFormat="1" ht="18" customHeight="1" x14ac:dyDescent="0.2">
      <c r="A201" s="79"/>
      <c r="B201" s="79"/>
      <c r="C201" s="79"/>
      <c r="D201" s="79"/>
      <c r="E201" s="79"/>
      <c r="F201" s="78"/>
      <c r="G201" s="157"/>
      <c r="H201" s="157"/>
      <c r="I201" s="157"/>
      <c r="J201" s="157"/>
      <c r="K201" s="157"/>
      <c r="L201" s="157"/>
      <c r="M201" s="157"/>
      <c r="N201" s="157"/>
      <c r="O201" s="161"/>
      <c r="P201" s="157"/>
      <c r="Q201" s="55"/>
      <c r="R201" s="78"/>
      <c r="S201" s="55"/>
      <c r="T201" s="55"/>
    </row>
    <row r="202" spans="1:20" s="50" customFormat="1" ht="18" customHeight="1" x14ac:dyDescent="0.2">
      <c r="A202" s="156" t="s">
        <v>599</v>
      </c>
      <c r="B202" s="292" t="s">
        <v>10</v>
      </c>
      <c r="C202" s="292"/>
      <c r="D202" s="292"/>
      <c r="E202" s="166" t="s">
        <v>3</v>
      </c>
      <c r="G202" s="164"/>
      <c r="H202" s="164"/>
      <c r="I202" s="164"/>
      <c r="J202" s="164"/>
      <c r="K202" s="164"/>
      <c r="L202" s="164"/>
      <c r="M202" s="164"/>
      <c r="N202" s="164"/>
      <c r="O202" s="164"/>
      <c r="P202" s="159"/>
      <c r="Q202" s="55"/>
      <c r="R202" s="55"/>
      <c r="S202" s="55"/>
      <c r="T202" s="55"/>
    </row>
    <row r="203" spans="1:20" s="50" customFormat="1" x14ac:dyDescent="0.2">
      <c r="A203" s="165"/>
      <c r="B203" s="410" t="s">
        <v>556</v>
      </c>
      <c r="C203" s="410"/>
      <c r="D203" s="410"/>
      <c r="E203" s="210"/>
      <c r="G203" s="160"/>
      <c r="H203" s="160"/>
      <c r="I203" s="160"/>
      <c r="J203" s="160"/>
      <c r="K203" s="160"/>
      <c r="L203" s="160"/>
      <c r="M203" s="160"/>
      <c r="N203" s="160"/>
      <c r="O203" s="158"/>
      <c r="P203" s="160"/>
      <c r="Q203" s="55"/>
      <c r="R203" s="55"/>
      <c r="S203" s="55"/>
      <c r="T203" s="55"/>
    </row>
    <row r="204" spans="1:20" s="50" customFormat="1" x14ac:dyDescent="0.2">
      <c r="A204" s="165"/>
      <c r="B204" s="410" t="s">
        <v>554</v>
      </c>
      <c r="C204" s="410"/>
      <c r="D204" s="410"/>
      <c r="E204" s="210"/>
      <c r="G204" s="160"/>
      <c r="H204" s="160"/>
      <c r="I204" s="160"/>
      <c r="J204" s="160"/>
      <c r="K204" s="160"/>
      <c r="L204" s="160"/>
      <c r="M204" s="160"/>
      <c r="N204" s="160"/>
      <c r="O204" s="158"/>
      <c r="P204" s="160"/>
      <c r="Q204" s="55"/>
      <c r="R204" s="55"/>
      <c r="S204" s="55"/>
      <c r="T204" s="55"/>
    </row>
    <row r="205" spans="1:20" s="50" customFormat="1" x14ac:dyDescent="0.2">
      <c r="A205" s="165"/>
      <c r="B205" s="167"/>
      <c r="C205" s="167"/>
      <c r="D205" s="149" t="s">
        <v>555</v>
      </c>
      <c r="E205" s="225">
        <f>E203-E204</f>
        <v>0</v>
      </c>
      <c r="G205" s="160"/>
      <c r="H205" s="160"/>
      <c r="I205" s="160"/>
      <c r="J205" s="160"/>
      <c r="K205" s="160"/>
      <c r="L205" s="160"/>
      <c r="M205" s="160"/>
      <c r="N205" s="160"/>
      <c r="O205" s="158"/>
      <c r="P205" s="160"/>
      <c r="Q205" s="55"/>
      <c r="R205" s="55"/>
      <c r="S205" s="55"/>
      <c r="T205" s="55"/>
    </row>
    <row r="206" spans="1:20" s="50" customFormat="1" ht="18" customHeight="1" x14ac:dyDescent="0.2">
      <c r="A206" s="75"/>
      <c r="B206" s="76" t="s">
        <v>170</v>
      </c>
      <c r="C206" s="55"/>
      <c r="D206" s="55"/>
      <c r="E206" s="55"/>
      <c r="F206" s="55"/>
      <c r="G206" s="163"/>
      <c r="H206" s="162"/>
      <c r="I206" s="160"/>
      <c r="J206" s="160"/>
      <c r="K206" s="160"/>
      <c r="L206" s="160"/>
      <c r="M206" s="160"/>
      <c r="N206" s="160"/>
      <c r="O206" s="158"/>
      <c r="P206" s="160"/>
      <c r="Q206" s="55"/>
      <c r="R206" s="55"/>
      <c r="S206" s="55"/>
      <c r="T206" s="55"/>
    </row>
    <row r="207" spans="1:20" s="50" customFormat="1" ht="18" customHeight="1" x14ac:dyDescent="0.2">
      <c r="A207" s="75"/>
      <c r="B207" s="72"/>
      <c r="C207" s="72"/>
      <c r="D207" s="72"/>
      <c r="E207" s="72"/>
      <c r="F207" s="72"/>
      <c r="G207" s="164"/>
      <c r="H207" s="162"/>
      <c r="I207" s="162"/>
      <c r="J207" s="160"/>
      <c r="K207" s="160"/>
      <c r="L207" s="160"/>
      <c r="M207" s="160"/>
      <c r="N207" s="160"/>
      <c r="O207" s="158"/>
      <c r="P207" s="160"/>
      <c r="Q207" s="55"/>
      <c r="R207" s="55"/>
      <c r="S207" s="55"/>
      <c r="T207" s="55"/>
    </row>
    <row r="208" spans="1:20" s="50" customFormat="1" ht="18" customHeight="1" x14ac:dyDescent="0.2">
      <c r="A208" s="315" t="s">
        <v>169</v>
      </c>
      <c r="B208" s="315"/>
      <c r="C208" s="315"/>
      <c r="D208" s="315"/>
      <c r="E208" s="315"/>
      <c r="F208" s="315"/>
      <c r="G208" s="164"/>
      <c r="H208" s="162"/>
      <c r="I208" s="162"/>
      <c r="J208" s="160"/>
      <c r="K208" s="160"/>
      <c r="L208" s="160"/>
      <c r="M208" s="160"/>
      <c r="N208" s="160"/>
      <c r="O208" s="158"/>
      <c r="P208" s="160"/>
      <c r="Q208" s="55"/>
      <c r="R208" s="55"/>
      <c r="S208" s="55"/>
      <c r="T208" s="55"/>
    </row>
    <row r="209" spans="1:22" s="50" customFormat="1" ht="18" customHeight="1" x14ac:dyDescent="0.2">
      <c r="A209" s="72"/>
      <c r="B209" s="67"/>
      <c r="E209" s="72"/>
      <c r="F209" s="72"/>
      <c r="G209" s="164"/>
      <c r="H209" s="162"/>
      <c r="I209" s="162"/>
      <c r="J209" s="160"/>
      <c r="K209" s="160"/>
      <c r="L209" s="160"/>
      <c r="M209" s="160"/>
      <c r="N209" s="160"/>
      <c r="O209" s="158"/>
      <c r="P209" s="160"/>
      <c r="Q209" s="55"/>
      <c r="R209" s="55"/>
      <c r="S209" s="55"/>
      <c r="T209" s="55"/>
    </row>
    <row r="210" spans="1:22" s="50" customFormat="1" ht="18" customHeight="1" x14ac:dyDescent="0.2">
      <c r="A210" s="45" t="s">
        <v>600</v>
      </c>
      <c r="B210" s="292" t="s">
        <v>10</v>
      </c>
      <c r="C210" s="292"/>
      <c r="D210" s="292"/>
      <c r="E210" s="292"/>
      <c r="F210" s="292"/>
      <c r="G210" s="166" t="s">
        <v>3</v>
      </c>
      <c r="H210" s="162"/>
      <c r="I210" s="162"/>
      <c r="J210" s="160"/>
      <c r="K210" s="160"/>
      <c r="L210" s="160"/>
      <c r="M210" s="160"/>
      <c r="N210" s="160"/>
      <c r="O210" s="158"/>
      <c r="P210" s="160"/>
      <c r="Q210" s="55"/>
      <c r="R210" s="55"/>
      <c r="S210" s="55"/>
      <c r="T210" s="55"/>
    </row>
    <row r="211" spans="1:22" s="50" customFormat="1" ht="18" customHeight="1" x14ac:dyDescent="0.2">
      <c r="A211" s="72"/>
      <c r="B211" s="411" t="s">
        <v>488</v>
      </c>
      <c r="C211" s="411"/>
      <c r="D211" s="411"/>
      <c r="E211" s="411"/>
      <c r="F211" s="411"/>
      <c r="G211" s="210"/>
      <c r="H211" s="162"/>
      <c r="I211" s="162"/>
      <c r="J211" s="160"/>
      <c r="K211" s="160"/>
      <c r="L211" s="160"/>
      <c r="M211" s="160"/>
      <c r="N211" s="160"/>
      <c r="O211" s="158"/>
      <c r="P211" s="160"/>
      <c r="Q211" s="55"/>
      <c r="R211" s="55"/>
      <c r="S211" s="55"/>
      <c r="T211" s="55"/>
    </row>
    <row r="212" spans="1:22" s="50" customFormat="1" ht="18" customHeight="1" x14ac:dyDescent="0.2">
      <c r="A212" s="75"/>
      <c r="B212" s="72"/>
      <c r="C212" s="72"/>
      <c r="D212" s="72"/>
      <c r="E212" s="72"/>
      <c r="F212" s="72"/>
      <c r="G212" s="164"/>
      <c r="H212" s="162"/>
      <c r="I212" s="162"/>
      <c r="J212" s="160"/>
      <c r="K212" s="160"/>
      <c r="L212" s="160"/>
      <c r="M212" s="160"/>
      <c r="N212" s="160"/>
      <c r="O212" s="158"/>
      <c r="P212" s="160"/>
      <c r="Q212" s="55"/>
      <c r="R212" s="55"/>
      <c r="S212" s="55"/>
      <c r="T212" s="55"/>
    </row>
    <row r="213" spans="1:22" s="50" customFormat="1" ht="18" customHeight="1" x14ac:dyDescent="0.2">
      <c r="A213" s="315" t="s">
        <v>171</v>
      </c>
      <c r="B213" s="315"/>
      <c r="C213" s="315"/>
      <c r="D213" s="315"/>
      <c r="E213" s="315"/>
      <c r="F213" s="315"/>
      <c r="G213" s="160"/>
      <c r="H213" s="160"/>
      <c r="I213" s="160"/>
      <c r="J213" s="160"/>
      <c r="K213" s="160"/>
      <c r="L213" s="160"/>
      <c r="M213" s="160"/>
      <c r="N213" s="160"/>
      <c r="O213" s="158"/>
      <c r="P213" s="160"/>
      <c r="Q213" s="55"/>
      <c r="R213" s="55"/>
      <c r="S213" s="55"/>
      <c r="T213" s="55"/>
    </row>
    <row r="214" spans="1:22" s="50" customFormat="1" ht="18" customHeight="1" x14ac:dyDescent="0.2">
      <c r="A214" s="81"/>
      <c r="B214" s="81"/>
      <c r="C214" s="81"/>
      <c r="D214" s="81"/>
      <c r="E214" s="81"/>
      <c r="F214" s="72"/>
      <c r="G214" s="160"/>
      <c r="H214" s="160"/>
      <c r="I214" s="160"/>
      <c r="J214" s="59"/>
      <c r="K214" s="59"/>
      <c r="L214" s="59"/>
      <c r="M214" s="59"/>
      <c r="N214" s="59"/>
      <c r="O214" s="57"/>
      <c r="P214" s="59"/>
      <c r="Q214" s="55"/>
      <c r="R214" s="55"/>
      <c r="S214" s="55"/>
      <c r="T214" s="55"/>
    </row>
    <row r="215" spans="1:22" s="50" customFormat="1" ht="18" customHeight="1" x14ac:dyDescent="0.2">
      <c r="A215" s="75"/>
      <c r="B215" s="168" t="s">
        <v>526</v>
      </c>
      <c r="C215" s="83"/>
      <c r="D215" s="82"/>
      <c r="E215" s="72"/>
      <c r="F215" s="72"/>
      <c r="O215" s="85"/>
      <c r="P215" s="84"/>
      <c r="Q215" s="84"/>
      <c r="S215" s="46"/>
      <c r="U215" s="55"/>
      <c r="V215" s="55"/>
    </row>
    <row r="216" spans="1:22" s="52" customFormat="1" ht="18" customHeight="1" x14ac:dyDescent="0.2">
      <c r="A216" s="75"/>
      <c r="B216" s="45"/>
      <c r="D216" s="58"/>
      <c r="E216" s="58"/>
      <c r="F216" s="58"/>
      <c r="G216" s="58"/>
      <c r="H216" s="58"/>
      <c r="I216" s="61"/>
      <c r="S216" s="47"/>
      <c r="U216" s="61"/>
      <c r="V216" s="61"/>
    </row>
    <row r="217" spans="1:22" s="69" customFormat="1" ht="18" customHeight="1" x14ac:dyDescent="0.2">
      <c r="A217" s="45" t="s">
        <v>602</v>
      </c>
      <c r="B217" s="302" t="s">
        <v>177</v>
      </c>
      <c r="C217" s="302"/>
      <c r="D217" s="412" t="s">
        <v>178</v>
      </c>
      <c r="E217" s="412"/>
      <c r="F217" s="412"/>
      <c r="G217" s="412"/>
      <c r="H217" s="303" t="s">
        <v>176</v>
      </c>
      <c r="O217" s="86"/>
    </row>
    <row r="218" spans="1:22" s="69" customFormat="1" ht="18" customHeight="1" x14ac:dyDescent="0.2">
      <c r="A218" s="45"/>
      <c r="B218" s="302"/>
      <c r="C218" s="302"/>
      <c r="D218" s="412" t="s">
        <v>179</v>
      </c>
      <c r="E218" s="412"/>
      <c r="F218" s="412" t="s">
        <v>180</v>
      </c>
      <c r="G218" s="412"/>
      <c r="H218" s="303"/>
      <c r="O218" s="86"/>
    </row>
    <row r="219" spans="1:22" s="69" customFormat="1" ht="18" customHeight="1" x14ac:dyDescent="0.2">
      <c r="A219" s="45"/>
      <c r="B219" s="302"/>
      <c r="C219" s="302"/>
      <c r="D219" s="169" t="s">
        <v>172</v>
      </c>
      <c r="E219" s="169" t="s">
        <v>173</v>
      </c>
      <c r="F219" s="169" t="s">
        <v>172</v>
      </c>
      <c r="G219" s="169" t="s">
        <v>173</v>
      </c>
      <c r="H219" s="303"/>
      <c r="O219" s="86"/>
      <c r="P219" s="50"/>
      <c r="Q219" s="50"/>
    </row>
    <row r="220" spans="1:22" s="69" customFormat="1" ht="18" customHeight="1" x14ac:dyDescent="0.2">
      <c r="A220" s="45"/>
      <c r="B220" s="409" t="s">
        <v>490</v>
      </c>
      <c r="C220" s="409"/>
      <c r="D220" s="204"/>
      <c r="E220" s="204"/>
      <c r="F220" s="204"/>
      <c r="G220" s="204"/>
      <c r="H220" s="233"/>
      <c r="O220" s="86"/>
      <c r="P220" s="50"/>
      <c r="Q220" s="50"/>
    </row>
    <row r="221" spans="1:22" s="69" customFormat="1" ht="18" customHeight="1" x14ac:dyDescent="0.2">
      <c r="A221" s="45"/>
      <c r="B221" s="409" t="s">
        <v>527</v>
      </c>
      <c r="C221" s="409"/>
      <c r="D221" s="204"/>
      <c r="E221" s="204"/>
      <c r="F221" s="204"/>
      <c r="G221" s="204"/>
      <c r="H221" s="232"/>
      <c r="O221" s="86"/>
    </row>
    <row r="222" spans="1:22" s="50" customFormat="1" ht="18" customHeight="1" x14ac:dyDescent="0.2">
      <c r="A222" s="45"/>
      <c r="B222" s="409" t="s">
        <v>182</v>
      </c>
      <c r="C222" s="409"/>
      <c r="D222" s="204"/>
      <c r="E222" s="204"/>
      <c r="F222" s="204"/>
      <c r="G222" s="204"/>
      <c r="H222" s="232"/>
      <c r="M222" s="69"/>
      <c r="N222" s="69"/>
      <c r="O222" s="52"/>
    </row>
    <row r="223" spans="1:22" s="50" customFormat="1" ht="18" customHeight="1" x14ac:dyDescent="0.2">
      <c r="A223" s="45"/>
      <c r="B223" s="409" t="s">
        <v>183</v>
      </c>
      <c r="C223" s="409"/>
      <c r="D223" s="204"/>
      <c r="E223" s="204"/>
      <c r="F223" s="204"/>
      <c r="G223" s="204"/>
      <c r="H223" s="232"/>
      <c r="M223" s="69"/>
      <c r="N223" s="69"/>
      <c r="O223" s="52"/>
    </row>
    <row r="224" spans="1:22" s="50" customFormat="1" ht="18" customHeight="1" x14ac:dyDescent="0.2">
      <c r="A224" s="45"/>
      <c r="B224" s="409" t="s">
        <v>184</v>
      </c>
      <c r="C224" s="409"/>
      <c r="D224" s="204"/>
      <c r="E224" s="204"/>
      <c r="F224" s="204"/>
      <c r="G224" s="204"/>
      <c r="H224" s="232"/>
      <c r="M224" s="69"/>
      <c r="N224" s="69"/>
      <c r="O224" s="52"/>
    </row>
    <row r="225" spans="1:27" s="50" customFormat="1" ht="18" customHeight="1" x14ac:dyDescent="0.2">
      <c r="A225" s="45"/>
      <c r="B225" s="409" t="s">
        <v>185</v>
      </c>
      <c r="C225" s="409"/>
      <c r="D225" s="204"/>
      <c r="E225" s="204"/>
      <c r="F225" s="204"/>
      <c r="G225" s="204"/>
      <c r="H225" s="232"/>
      <c r="M225" s="69"/>
      <c r="N225" s="69"/>
      <c r="O225" s="52"/>
    </row>
    <row r="226" spans="1:27" s="50" customFormat="1" x14ac:dyDescent="0.2">
      <c r="A226" s="45"/>
      <c r="B226" s="88" t="s">
        <v>583</v>
      </c>
      <c r="C226" s="88" t="s">
        <v>584</v>
      </c>
      <c r="D226" s="46"/>
      <c r="F226" s="51"/>
      <c r="G226" s="51"/>
      <c r="H226" s="51"/>
      <c r="M226" s="84"/>
      <c r="N226" s="69"/>
      <c r="O226" s="52"/>
      <c r="Y226" s="69"/>
      <c r="Z226" s="69"/>
      <c r="AA226" s="69"/>
    </row>
    <row r="227" spans="1:27" s="86" customFormat="1" x14ac:dyDescent="0.2">
      <c r="B227" s="45"/>
      <c r="N227" s="49"/>
      <c r="O227" s="49"/>
      <c r="P227" s="49"/>
      <c r="Q227" s="49"/>
      <c r="R227" s="58"/>
      <c r="S227" s="58"/>
      <c r="T227" s="58"/>
      <c r="U227" s="58"/>
    </row>
    <row r="228" spans="1:27" s="50" customFormat="1" ht="18" customHeight="1" x14ac:dyDescent="0.2">
      <c r="A228" s="45" t="s">
        <v>606</v>
      </c>
      <c r="B228" s="302" t="s">
        <v>186</v>
      </c>
      <c r="C228" s="302"/>
      <c r="D228" s="303" t="s">
        <v>187</v>
      </c>
      <c r="E228" s="303"/>
      <c r="F228" s="303" t="s">
        <v>188</v>
      </c>
      <c r="G228" s="303"/>
      <c r="H228" s="303"/>
      <c r="I228" s="303"/>
      <c r="J228" s="303"/>
      <c r="K228" s="303"/>
      <c r="L228" s="303" t="s">
        <v>189</v>
      </c>
      <c r="M228" s="303"/>
      <c r="N228" s="89"/>
      <c r="O228" s="51"/>
      <c r="P228" s="51"/>
      <c r="Q228" s="90"/>
      <c r="R228" s="90"/>
      <c r="S228" s="57"/>
    </row>
    <row r="229" spans="1:27" s="50" customFormat="1" ht="18" customHeight="1" x14ac:dyDescent="0.2">
      <c r="A229" s="45"/>
      <c r="B229" s="302"/>
      <c r="C229" s="302"/>
      <c r="D229" s="303" t="s">
        <v>451</v>
      </c>
      <c r="E229" s="303"/>
      <c r="F229" s="303" t="s">
        <v>191</v>
      </c>
      <c r="G229" s="303"/>
      <c r="H229" s="303" t="s">
        <v>190</v>
      </c>
      <c r="I229" s="303"/>
      <c r="J229" s="303" t="s">
        <v>192</v>
      </c>
      <c r="K229" s="303"/>
      <c r="L229" s="303" t="s">
        <v>450</v>
      </c>
      <c r="M229" s="303"/>
      <c r="N229" s="89"/>
      <c r="O229" s="51"/>
      <c r="P229" s="51"/>
      <c r="Q229" s="339"/>
      <c r="R229" s="339"/>
      <c r="S229" s="57"/>
    </row>
    <row r="230" spans="1:27" s="50" customFormat="1" ht="18" customHeight="1" x14ac:dyDescent="0.2">
      <c r="A230" s="45"/>
      <c r="B230" s="302"/>
      <c r="C230" s="302"/>
      <c r="D230" s="169" t="s">
        <v>172</v>
      </c>
      <c r="E230" s="169" t="s">
        <v>173</v>
      </c>
      <c r="F230" s="169" t="s">
        <v>172</v>
      </c>
      <c r="G230" s="169" t="s">
        <v>173</v>
      </c>
      <c r="H230" s="169" t="s">
        <v>172</v>
      </c>
      <c r="I230" s="169" t="s">
        <v>173</v>
      </c>
      <c r="J230" s="169" t="s">
        <v>172</v>
      </c>
      <c r="K230" s="169" t="s">
        <v>173</v>
      </c>
      <c r="L230" s="169" t="s">
        <v>172</v>
      </c>
      <c r="M230" s="169" t="s">
        <v>173</v>
      </c>
      <c r="N230" s="87"/>
      <c r="O230" s="51"/>
      <c r="P230" s="51"/>
      <c r="Q230" s="87"/>
      <c r="R230" s="87"/>
      <c r="S230" s="57"/>
    </row>
    <row r="231" spans="1:27" s="50" customFormat="1" ht="18" customHeight="1" x14ac:dyDescent="0.2">
      <c r="A231" s="45"/>
      <c r="B231" s="337" t="s">
        <v>181</v>
      </c>
      <c r="C231" s="337"/>
      <c r="D231" s="227"/>
      <c r="E231" s="227"/>
      <c r="F231" s="227"/>
      <c r="G231" s="227"/>
      <c r="H231" s="227"/>
      <c r="I231" s="227"/>
      <c r="J231" s="227"/>
      <c r="K231" s="227"/>
      <c r="L231" s="227"/>
      <c r="M231" s="227"/>
      <c r="N231" s="59"/>
      <c r="O231" s="51"/>
      <c r="P231" s="51"/>
      <c r="Q231" s="59"/>
      <c r="R231" s="59"/>
      <c r="S231" s="57"/>
    </row>
    <row r="232" spans="1:27" s="50" customFormat="1" ht="18" customHeight="1" x14ac:dyDescent="0.2">
      <c r="A232" s="45"/>
      <c r="B232" s="337" t="s">
        <v>182</v>
      </c>
      <c r="C232" s="337"/>
      <c r="D232" s="227"/>
      <c r="E232" s="227"/>
      <c r="F232" s="227"/>
      <c r="G232" s="227"/>
      <c r="H232" s="227"/>
      <c r="I232" s="227"/>
      <c r="J232" s="227"/>
      <c r="K232" s="227"/>
      <c r="L232" s="227"/>
      <c r="M232" s="227"/>
      <c r="N232" s="59"/>
      <c r="O232" s="51"/>
      <c r="P232" s="51"/>
      <c r="Q232" s="59"/>
      <c r="R232" s="59"/>
      <c r="S232" s="57"/>
    </row>
    <row r="233" spans="1:27" s="50" customFormat="1" ht="18" customHeight="1" x14ac:dyDescent="0.2">
      <c r="A233" s="45"/>
      <c r="B233" s="337" t="s">
        <v>183</v>
      </c>
      <c r="C233" s="337"/>
      <c r="D233" s="227"/>
      <c r="E233" s="227"/>
      <c r="F233" s="227"/>
      <c r="G233" s="227"/>
      <c r="H233" s="227"/>
      <c r="I233" s="227"/>
      <c r="J233" s="227"/>
      <c r="K233" s="227"/>
      <c r="L233" s="227"/>
      <c r="M233" s="227"/>
      <c r="N233" s="59"/>
      <c r="O233" s="51"/>
      <c r="P233" s="51"/>
      <c r="Q233" s="59"/>
      <c r="R233" s="59"/>
      <c r="S233" s="57"/>
    </row>
    <row r="234" spans="1:27" s="50" customFormat="1" ht="18" customHeight="1" x14ac:dyDescent="0.2">
      <c r="A234" s="45"/>
      <c r="B234" s="337" t="s">
        <v>184</v>
      </c>
      <c r="C234" s="337"/>
      <c r="D234" s="227"/>
      <c r="E234" s="227"/>
      <c r="F234" s="227"/>
      <c r="G234" s="227"/>
      <c r="H234" s="227"/>
      <c r="I234" s="227"/>
      <c r="J234" s="227"/>
      <c r="K234" s="227"/>
      <c r="L234" s="227"/>
      <c r="M234" s="227"/>
      <c r="N234" s="59"/>
      <c r="O234" s="51"/>
      <c r="P234" s="51"/>
      <c r="Q234" s="59"/>
      <c r="R234" s="59"/>
      <c r="S234" s="57"/>
    </row>
    <row r="235" spans="1:27" s="50" customFormat="1" ht="18" customHeight="1" x14ac:dyDescent="0.2">
      <c r="A235" s="45"/>
      <c r="B235" s="337" t="s">
        <v>185</v>
      </c>
      <c r="C235" s="337"/>
      <c r="D235" s="227"/>
      <c r="E235" s="227"/>
      <c r="F235" s="227"/>
      <c r="G235" s="227"/>
      <c r="H235" s="227"/>
      <c r="I235" s="227"/>
      <c r="J235" s="227"/>
      <c r="K235" s="227"/>
      <c r="L235" s="227"/>
      <c r="M235" s="227"/>
      <c r="N235" s="59"/>
      <c r="O235" s="51"/>
      <c r="P235" s="51"/>
      <c r="Q235" s="59"/>
      <c r="R235" s="59"/>
      <c r="S235" s="57"/>
    </row>
    <row r="236" spans="1:27" s="50" customFormat="1" x14ac:dyDescent="0.2">
      <c r="A236" s="45"/>
      <c r="B236" s="88" t="s">
        <v>583</v>
      </c>
      <c r="C236" s="88" t="s">
        <v>584</v>
      </c>
      <c r="E236" s="51"/>
      <c r="N236" s="57"/>
      <c r="O236" s="51"/>
      <c r="P236" s="51"/>
      <c r="Q236" s="51"/>
      <c r="R236" s="57"/>
      <c r="S236" s="57"/>
    </row>
    <row r="237" spans="1:27" s="50" customFormat="1" x14ac:dyDescent="0.2">
      <c r="A237" s="45"/>
      <c r="B237" s="88"/>
      <c r="C237" s="88"/>
      <c r="E237" s="51"/>
      <c r="N237" s="91"/>
      <c r="O237" s="51"/>
      <c r="P237" s="51"/>
      <c r="Q237" s="51"/>
      <c r="R237" s="57"/>
      <c r="S237" s="57"/>
    </row>
    <row r="238" spans="1:27" s="50" customFormat="1" ht="18" customHeight="1" x14ac:dyDescent="0.2">
      <c r="A238" s="45"/>
      <c r="B238" s="67" t="s">
        <v>605</v>
      </c>
      <c r="C238" s="88"/>
      <c r="E238" s="51"/>
      <c r="G238" s="84"/>
      <c r="O238" s="91"/>
      <c r="P238" s="51"/>
      <c r="Q238" s="51"/>
      <c r="R238" s="51"/>
      <c r="S238" s="51"/>
    </row>
    <row r="239" spans="1:27" s="50" customFormat="1" ht="18" customHeight="1" x14ac:dyDescent="0.2">
      <c r="A239" s="45" t="s">
        <v>607</v>
      </c>
      <c r="B239" s="302" t="s">
        <v>186</v>
      </c>
      <c r="C239" s="302"/>
      <c r="D239" s="303" t="s">
        <v>452</v>
      </c>
      <c r="E239" s="303"/>
      <c r="F239" s="303"/>
      <c r="G239" s="303"/>
      <c r="H239" s="303" t="s">
        <v>189</v>
      </c>
      <c r="I239" s="303"/>
      <c r="J239" s="292" t="s">
        <v>176</v>
      </c>
      <c r="K239" s="92"/>
      <c r="O239" s="90"/>
      <c r="P239" s="90"/>
      <c r="Q239" s="51"/>
      <c r="R239" s="51"/>
      <c r="S239" s="51"/>
    </row>
    <row r="240" spans="1:27" s="50" customFormat="1" ht="18" customHeight="1" x14ac:dyDescent="0.2">
      <c r="A240" s="45"/>
      <c r="B240" s="302"/>
      <c r="C240" s="302"/>
      <c r="D240" s="303" t="s">
        <v>191</v>
      </c>
      <c r="E240" s="303"/>
      <c r="F240" s="303" t="s">
        <v>190</v>
      </c>
      <c r="G240" s="303"/>
      <c r="H240" s="303" t="s">
        <v>193</v>
      </c>
      <c r="I240" s="303"/>
      <c r="J240" s="292"/>
      <c r="K240" s="93"/>
      <c r="O240" s="339"/>
      <c r="P240" s="339"/>
      <c r="Q240" s="51"/>
      <c r="R240" s="51"/>
      <c r="S240" s="51"/>
    </row>
    <row r="241" spans="1:19" s="50" customFormat="1" ht="18" customHeight="1" x14ac:dyDescent="0.2">
      <c r="A241" s="45"/>
      <c r="B241" s="302"/>
      <c r="C241" s="302"/>
      <c r="D241" s="171" t="s">
        <v>172</v>
      </c>
      <c r="E241" s="171" t="s">
        <v>173</v>
      </c>
      <c r="F241" s="171" t="s">
        <v>172</v>
      </c>
      <c r="G241" s="171" t="s">
        <v>173</v>
      </c>
      <c r="H241" s="171" t="s">
        <v>172</v>
      </c>
      <c r="I241" s="171" t="s">
        <v>173</v>
      </c>
      <c r="J241" s="292"/>
      <c r="K241" s="94"/>
      <c r="O241" s="87"/>
      <c r="P241" s="87"/>
      <c r="Q241" s="51"/>
      <c r="R241" s="51"/>
      <c r="S241" s="51"/>
    </row>
    <row r="242" spans="1:19" s="50" customFormat="1" x14ac:dyDescent="0.2">
      <c r="A242" s="45"/>
      <c r="B242" s="440" t="s">
        <v>39</v>
      </c>
      <c r="C242" s="440"/>
      <c r="D242" s="210"/>
      <c r="E242" s="210"/>
      <c r="F242" s="210"/>
      <c r="G242" s="210"/>
      <c r="H242" s="210"/>
      <c r="I242" s="210"/>
      <c r="J242" s="229"/>
      <c r="K242" s="80"/>
      <c r="O242" s="57"/>
      <c r="P242" s="59"/>
      <c r="Q242" s="51"/>
      <c r="R242" s="51"/>
      <c r="S242" s="51"/>
    </row>
    <row r="243" spans="1:19" s="50" customFormat="1" ht="18" customHeight="1" x14ac:dyDescent="0.2">
      <c r="A243" s="45"/>
      <c r="B243" s="88" t="s">
        <v>583</v>
      </c>
      <c r="C243" s="88" t="s">
        <v>584</v>
      </c>
      <c r="D243" s="51"/>
      <c r="E243" s="51"/>
      <c r="F243" s="51"/>
      <c r="G243" s="51"/>
      <c r="H243" s="51"/>
      <c r="I243" s="51"/>
      <c r="O243" s="91"/>
      <c r="P243" s="51"/>
      <c r="Q243" s="51"/>
      <c r="R243" s="51"/>
      <c r="S243" s="51"/>
    </row>
    <row r="244" spans="1:19" s="50" customFormat="1" ht="18" customHeight="1" x14ac:dyDescent="0.2">
      <c r="A244" s="45"/>
      <c r="C244" s="51"/>
      <c r="D244" s="51"/>
      <c r="E244" s="51"/>
      <c r="F244" s="51"/>
      <c r="G244" s="51"/>
      <c r="H244" s="51"/>
      <c r="I244" s="51"/>
      <c r="O244" s="91"/>
      <c r="P244" s="51"/>
      <c r="Q244" s="51"/>
      <c r="R244" s="51"/>
      <c r="S244" s="51"/>
    </row>
    <row r="245" spans="1:19" s="50" customFormat="1" ht="18" customHeight="1" x14ac:dyDescent="0.2">
      <c r="A245" s="315" t="s">
        <v>194</v>
      </c>
      <c r="B245" s="315"/>
      <c r="C245" s="315"/>
      <c r="D245" s="315"/>
      <c r="E245" s="315"/>
      <c r="F245" s="315"/>
      <c r="G245" s="84"/>
      <c r="H245" s="86"/>
      <c r="I245" s="86"/>
      <c r="J245" s="86"/>
      <c r="K245" s="86"/>
      <c r="L245" s="86"/>
      <c r="M245" s="86"/>
      <c r="N245" s="86"/>
      <c r="O245" s="49"/>
      <c r="P245" s="49"/>
      <c r="Q245" s="51"/>
      <c r="R245" s="51"/>
      <c r="S245" s="51"/>
    </row>
    <row r="246" spans="1:19" s="50" customFormat="1" ht="18" customHeight="1" x14ac:dyDescent="0.2">
      <c r="A246" s="75"/>
      <c r="B246" s="45"/>
      <c r="C246" s="86"/>
      <c r="D246" s="86"/>
      <c r="E246" s="86"/>
      <c r="F246" s="86"/>
      <c r="G246" s="86"/>
      <c r="H246" s="86"/>
      <c r="I246" s="86"/>
      <c r="J246" s="86"/>
      <c r="K246" s="86"/>
      <c r="L246" s="86"/>
      <c r="M246" s="86"/>
      <c r="N246" s="86"/>
      <c r="O246" s="49"/>
      <c r="P246" s="49"/>
      <c r="Q246" s="51"/>
      <c r="R246" s="51"/>
      <c r="S246" s="51"/>
    </row>
    <row r="247" spans="1:19" s="50" customFormat="1" ht="18" customHeight="1" x14ac:dyDescent="0.2">
      <c r="A247" s="45" t="s">
        <v>608</v>
      </c>
      <c r="B247" s="292" t="s">
        <v>195</v>
      </c>
      <c r="C247" s="292"/>
      <c r="D247" s="292" t="s">
        <v>453</v>
      </c>
      <c r="E247" s="292"/>
      <c r="F247" s="292"/>
      <c r="G247" s="292"/>
      <c r="H247" s="292"/>
      <c r="I247" s="292"/>
      <c r="J247" s="292"/>
      <c r="K247" s="292"/>
      <c r="L247" s="183"/>
      <c r="M247" s="183"/>
      <c r="N247" s="340" t="s">
        <v>196</v>
      </c>
      <c r="O247" s="72"/>
      <c r="P247" s="51"/>
      <c r="Q247" s="51"/>
      <c r="R247" s="51"/>
      <c r="S247" s="51"/>
    </row>
    <row r="248" spans="1:19" s="50" customFormat="1" ht="18" customHeight="1" x14ac:dyDescent="0.2">
      <c r="A248" s="45"/>
      <c r="B248" s="292"/>
      <c r="C248" s="292"/>
      <c r="D248" s="389" t="s">
        <v>197</v>
      </c>
      <c r="E248" s="391"/>
      <c r="F248" s="389" t="s">
        <v>198</v>
      </c>
      <c r="G248" s="391"/>
      <c r="H248" s="389" t="s">
        <v>199</v>
      </c>
      <c r="I248" s="391"/>
      <c r="J248" s="389" t="s">
        <v>200</v>
      </c>
      <c r="K248" s="391"/>
      <c r="L248" s="389" t="s">
        <v>201</v>
      </c>
      <c r="M248" s="391"/>
      <c r="N248" s="340"/>
      <c r="O248" s="58"/>
    </row>
    <row r="249" spans="1:19" s="50" customFormat="1" ht="18" customHeight="1" x14ac:dyDescent="0.2">
      <c r="A249" s="45"/>
      <c r="B249" s="292"/>
      <c r="C249" s="292"/>
      <c r="D249" s="171" t="s">
        <v>172</v>
      </c>
      <c r="E249" s="171" t="s">
        <v>173</v>
      </c>
      <c r="F249" s="171" t="s">
        <v>172</v>
      </c>
      <c r="G249" s="171" t="s">
        <v>173</v>
      </c>
      <c r="H249" s="171" t="s">
        <v>172</v>
      </c>
      <c r="I249" s="171" t="s">
        <v>173</v>
      </c>
      <c r="J249" s="171" t="s">
        <v>172</v>
      </c>
      <c r="K249" s="171" t="s">
        <v>173</v>
      </c>
      <c r="L249" s="171" t="s">
        <v>172</v>
      </c>
      <c r="M249" s="171" t="s">
        <v>173</v>
      </c>
      <c r="N249" s="340"/>
      <c r="O249" s="87"/>
    </row>
    <row r="250" spans="1:19" s="50" customFormat="1" ht="18" customHeight="1" x14ac:dyDescent="0.2">
      <c r="A250" s="45"/>
      <c r="B250" s="296" t="s">
        <v>181</v>
      </c>
      <c r="C250" s="296"/>
      <c r="D250" s="210"/>
      <c r="E250" s="210"/>
      <c r="F250" s="210"/>
      <c r="G250" s="210"/>
      <c r="H250" s="210"/>
      <c r="I250" s="210"/>
      <c r="J250" s="210"/>
      <c r="K250" s="210"/>
      <c r="L250" s="210"/>
      <c r="M250" s="210"/>
      <c r="N250" s="229"/>
      <c r="O250" s="59"/>
    </row>
    <row r="251" spans="1:19" s="50" customFormat="1" ht="18" customHeight="1" x14ac:dyDescent="0.2">
      <c r="A251" s="45"/>
      <c r="B251" s="296" t="s">
        <v>35</v>
      </c>
      <c r="C251" s="296"/>
      <c r="D251" s="210"/>
      <c r="E251" s="210"/>
      <c r="F251" s="210"/>
      <c r="G251" s="210"/>
      <c r="H251" s="210"/>
      <c r="I251" s="210"/>
      <c r="J251" s="210"/>
      <c r="K251" s="210"/>
      <c r="L251" s="210"/>
      <c r="M251" s="210"/>
      <c r="N251" s="229"/>
      <c r="O251" s="59"/>
    </row>
    <row r="252" spans="1:19" s="50" customFormat="1" ht="18" customHeight="1" x14ac:dyDescent="0.2">
      <c r="A252" s="45"/>
      <c r="B252" s="296" t="s">
        <v>36</v>
      </c>
      <c r="C252" s="296"/>
      <c r="D252" s="210"/>
      <c r="E252" s="210"/>
      <c r="F252" s="210"/>
      <c r="G252" s="210"/>
      <c r="H252" s="210"/>
      <c r="I252" s="210"/>
      <c r="J252" s="210"/>
      <c r="K252" s="210"/>
      <c r="L252" s="210"/>
      <c r="M252" s="210"/>
      <c r="N252" s="229"/>
      <c r="O252" s="59"/>
    </row>
    <row r="253" spans="1:19" s="50" customFormat="1" ht="18" customHeight="1" x14ac:dyDescent="0.2">
      <c r="A253" s="156"/>
      <c r="B253" s="296" t="s">
        <v>37</v>
      </c>
      <c r="C253" s="296"/>
      <c r="D253" s="210"/>
      <c r="E253" s="210"/>
      <c r="F253" s="210"/>
      <c r="G253" s="210"/>
      <c r="H253" s="210"/>
      <c r="I253" s="210"/>
      <c r="J253" s="210"/>
      <c r="K253" s="210"/>
      <c r="L253" s="210"/>
      <c r="M253" s="210"/>
      <c r="N253" s="229"/>
      <c r="O253" s="160"/>
    </row>
    <row r="254" spans="1:19" s="50" customFormat="1" ht="18" customHeight="1" x14ac:dyDescent="0.2">
      <c r="A254" s="156"/>
      <c r="B254" s="296" t="s">
        <v>38</v>
      </c>
      <c r="C254" s="296"/>
      <c r="D254" s="210"/>
      <c r="E254" s="210"/>
      <c r="F254" s="210"/>
      <c r="G254" s="210"/>
      <c r="H254" s="210"/>
      <c r="I254" s="210"/>
      <c r="J254" s="210"/>
      <c r="K254" s="210"/>
      <c r="L254" s="210"/>
      <c r="M254" s="210"/>
      <c r="N254" s="229"/>
      <c r="O254" s="160"/>
    </row>
    <row r="255" spans="1:19" s="50" customFormat="1" ht="18" customHeight="1" x14ac:dyDescent="0.2">
      <c r="A255" s="45"/>
      <c r="B255" s="95" t="s">
        <v>583</v>
      </c>
      <c r="C255" s="55"/>
      <c r="D255" s="95" t="s">
        <v>584</v>
      </c>
      <c r="E255" s="59"/>
      <c r="F255" s="59"/>
      <c r="G255" s="96"/>
      <c r="O255" s="61"/>
    </row>
    <row r="256" spans="1:19" s="50" customFormat="1" x14ac:dyDescent="0.2">
      <c r="A256" s="45"/>
      <c r="B256" s="48"/>
      <c r="C256" s="51"/>
      <c r="D256" s="48"/>
      <c r="E256" s="51"/>
      <c r="F256" s="48"/>
      <c r="G256" s="51"/>
      <c r="H256" s="48"/>
      <c r="I256" s="51"/>
      <c r="J256" s="48"/>
      <c r="K256" s="51"/>
      <c r="L256" s="48"/>
      <c r="M256" s="51"/>
      <c r="N256" s="48"/>
      <c r="O256" s="91"/>
    </row>
    <row r="257" spans="1:18" s="50" customFormat="1" ht="18" customHeight="1" x14ac:dyDescent="0.2">
      <c r="A257" s="315" t="s">
        <v>202</v>
      </c>
      <c r="B257" s="315"/>
      <c r="C257" s="315"/>
      <c r="D257" s="315"/>
      <c r="E257" s="315"/>
      <c r="F257" s="315"/>
      <c r="G257" s="84"/>
      <c r="O257" s="52"/>
    </row>
    <row r="258" spans="1:18" s="50" customFormat="1" ht="18" customHeight="1" x14ac:dyDescent="0.2">
      <c r="A258" s="45"/>
      <c r="B258" s="45"/>
      <c r="C258" s="48"/>
      <c r="D258" s="48"/>
      <c r="E258" s="48"/>
      <c r="F258" s="48"/>
      <c r="G258" s="48"/>
      <c r="H258" s="48"/>
      <c r="I258" s="48"/>
      <c r="J258" s="48"/>
      <c r="K258" s="48"/>
      <c r="L258" s="48"/>
      <c r="M258" s="48"/>
      <c r="N258" s="48"/>
      <c r="O258" s="49"/>
    </row>
    <row r="259" spans="1:18" s="157" customFormat="1" ht="45" x14ac:dyDescent="0.2">
      <c r="A259" s="165" t="s">
        <v>609</v>
      </c>
      <c r="B259" s="170" t="s">
        <v>195</v>
      </c>
      <c r="C259" s="223" t="s">
        <v>494</v>
      </c>
      <c r="D259" s="223" t="s">
        <v>493</v>
      </c>
      <c r="E259" s="223" t="s">
        <v>491</v>
      </c>
      <c r="F259" s="223" t="s">
        <v>492</v>
      </c>
      <c r="G259" s="223" t="s">
        <v>495</v>
      </c>
      <c r="H259" s="223" t="s">
        <v>38</v>
      </c>
      <c r="I259" s="223" t="s">
        <v>205</v>
      </c>
      <c r="J259" s="223" t="s">
        <v>206</v>
      </c>
      <c r="K259" s="223" t="s">
        <v>207</v>
      </c>
      <c r="L259" s="223" t="s">
        <v>208</v>
      </c>
      <c r="M259" s="223" t="s">
        <v>209</v>
      </c>
      <c r="N259" s="223" t="s">
        <v>210</v>
      </c>
      <c r="O259" s="223" t="s">
        <v>211</v>
      </c>
    </row>
    <row r="260" spans="1:18" s="157" customFormat="1" ht="18" customHeight="1" x14ac:dyDescent="0.2">
      <c r="A260" s="165"/>
      <c r="B260" s="222" t="s">
        <v>212</v>
      </c>
      <c r="C260" s="184"/>
      <c r="D260" s="184"/>
      <c r="E260" s="184"/>
      <c r="F260" s="184"/>
      <c r="G260" s="184"/>
      <c r="H260" s="184"/>
      <c r="I260" s="184"/>
      <c r="J260" s="184"/>
      <c r="K260" s="184"/>
      <c r="L260" s="184"/>
      <c r="M260" s="184"/>
      <c r="N260" s="184"/>
      <c r="O260" s="184"/>
    </row>
    <row r="261" spans="1:18" s="157" customFormat="1" ht="18" customHeight="1" x14ac:dyDescent="0.2">
      <c r="A261" s="165"/>
      <c r="B261" s="222" t="s">
        <v>213</v>
      </c>
      <c r="C261" s="184"/>
      <c r="D261" s="184"/>
      <c r="E261" s="184"/>
      <c r="F261" s="184"/>
      <c r="G261" s="184"/>
      <c r="H261" s="184"/>
      <c r="I261" s="184"/>
      <c r="J261" s="184"/>
      <c r="K261" s="184"/>
      <c r="L261" s="184"/>
      <c r="M261" s="184"/>
      <c r="N261" s="184"/>
      <c r="O261" s="184"/>
    </row>
    <row r="262" spans="1:18" s="50" customFormat="1" x14ac:dyDescent="0.2">
      <c r="A262" s="45"/>
      <c r="O262" s="52"/>
    </row>
    <row r="263" spans="1:18" s="50" customFormat="1" ht="18" customHeight="1" x14ac:dyDescent="0.2">
      <c r="A263" s="315" t="s">
        <v>214</v>
      </c>
      <c r="B263" s="315"/>
      <c r="C263" s="315"/>
      <c r="D263" s="315"/>
      <c r="E263" s="315"/>
      <c r="F263" s="315"/>
      <c r="G263" s="84"/>
      <c r="O263" s="52"/>
    </row>
    <row r="264" spans="1:18" s="50" customFormat="1" ht="18" customHeight="1" x14ac:dyDescent="0.2">
      <c r="A264" s="45"/>
      <c r="B264" s="45"/>
      <c r="C264" s="48"/>
      <c r="D264" s="48"/>
      <c r="E264" s="48"/>
      <c r="F264" s="48"/>
      <c r="H264" s="48"/>
      <c r="J264" s="48"/>
      <c r="L264" s="48"/>
      <c r="O264" s="52"/>
    </row>
    <row r="265" spans="1:18" s="50" customFormat="1" ht="18" customHeight="1" x14ac:dyDescent="0.2">
      <c r="A265" s="45" t="s">
        <v>610</v>
      </c>
      <c r="B265" s="292" t="s">
        <v>215</v>
      </c>
      <c r="C265" s="292"/>
      <c r="D265" s="292"/>
      <c r="E265" s="170" t="s">
        <v>14</v>
      </c>
      <c r="F265" s="170" t="s">
        <v>203</v>
      </c>
      <c r="G265" s="170" t="s">
        <v>204</v>
      </c>
      <c r="H265" s="170" t="s">
        <v>35</v>
      </c>
      <c r="I265" s="170" t="s">
        <v>36</v>
      </c>
      <c r="J265" s="170" t="s">
        <v>37</v>
      </c>
      <c r="K265" s="170" t="s">
        <v>38</v>
      </c>
      <c r="L265" s="170" t="s">
        <v>445</v>
      </c>
      <c r="M265" s="170" t="s">
        <v>446</v>
      </c>
      <c r="N265" s="170" t="s">
        <v>447</v>
      </c>
      <c r="O265" s="170" t="s">
        <v>448</v>
      </c>
      <c r="P265" s="170" t="s">
        <v>449</v>
      </c>
      <c r="Q265" s="170" t="s">
        <v>210</v>
      </c>
      <c r="R265" s="170" t="s">
        <v>211</v>
      </c>
    </row>
    <row r="266" spans="1:18" s="50" customFormat="1" x14ac:dyDescent="0.2">
      <c r="A266" s="45"/>
      <c r="B266" s="341" t="s">
        <v>459</v>
      </c>
      <c r="C266" s="341"/>
      <c r="D266" s="341"/>
      <c r="E266" s="184">
        <f>SUM(F266:R266)</f>
        <v>0</v>
      </c>
      <c r="F266" s="184"/>
      <c r="G266" s="184"/>
      <c r="H266" s="184"/>
      <c r="I266" s="184"/>
      <c r="J266" s="184"/>
      <c r="K266" s="184"/>
      <c r="L266" s="184"/>
      <c r="M266" s="184"/>
      <c r="N266" s="184"/>
      <c r="O266" s="184"/>
      <c r="P266" s="184"/>
      <c r="Q266" s="184"/>
      <c r="R266" s="184"/>
    </row>
    <row r="267" spans="1:18" s="50" customFormat="1" x14ac:dyDescent="0.2">
      <c r="A267" s="45"/>
      <c r="B267" s="341" t="s">
        <v>461</v>
      </c>
      <c r="C267" s="341"/>
      <c r="D267" s="341"/>
      <c r="E267" s="184">
        <f>SUM(F267)</f>
        <v>0</v>
      </c>
      <c r="F267" s="184"/>
      <c r="G267" s="234"/>
      <c r="H267" s="234"/>
      <c r="I267" s="234"/>
      <c r="J267" s="234"/>
      <c r="K267" s="234"/>
      <c r="L267" s="234"/>
      <c r="M267" s="234"/>
      <c r="N267" s="234"/>
      <c r="O267" s="234"/>
      <c r="P267" s="234"/>
      <c r="Q267" s="234"/>
      <c r="R267" s="234"/>
    </row>
    <row r="268" spans="1:18" s="50" customFormat="1" x14ac:dyDescent="0.2">
      <c r="A268" s="45"/>
      <c r="B268" s="341" t="s">
        <v>463</v>
      </c>
      <c r="C268" s="341"/>
      <c r="D268" s="341"/>
      <c r="E268" s="184">
        <f>SUM(F268:G268)</f>
        <v>0</v>
      </c>
      <c r="F268" s="184"/>
      <c r="G268" s="184"/>
      <c r="H268" s="234"/>
      <c r="I268" s="234"/>
      <c r="J268" s="234"/>
      <c r="K268" s="234"/>
      <c r="L268" s="234"/>
      <c r="M268" s="234"/>
      <c r="N268" s="234"/>
      <c r="O268" s="234"/>
      <c r="P268" s="234"/>
      <c r="Q268" s="234"/>
      <c r="R268" s="234"/>
    </row>
    <row r="269" spans="1:18" s="50" customFormat="1" x14ac:dyDescent="0.2">
      <c r="A269" s="45"/>
      <c r="B269" s="341" t="s">
        <v>465</v>
      </c>
      <c r="C269" s="341"/>
      <c r="D269" s="341"/>
      <c r="E269" s="184">
        <f>SUM(F269)</f>
        <v>0</v>
      </c>
      <c r="F269" s="184"/>
      <c r="G269" s="234"/>
      <c r="H269" s="234"/>
      <c r="I269" s="234"/>
      <c r="J269" s="234"/>
      <c r="K269" s="234"/>
      <c r="L269" s="234"/>
      <c r="M269" s="234"/>
      <c r="N269" s="234"/>
      <c r="O269" s="234"/>
      <c r="P269" s="234"/>
      <c r="Q269" s="234"/>
      <c r="R269" s="234"/>
    </row>
    <row r="270" spans="1:18" s="50" customFormat="1" x14ac:dyDescent="0.2">
      <c r="A270" s="45"/>
      <c r="B270" s="341" t="s">
        <v>456</v>
      </c>
      <c r="C270" s="341"/>
      <c r="D270" s="341"/>
      <c r="E270" s="184">
        <f>SUM(G270:J270)</f>
        <v>0</v>
      </c>
      <c r="F270" s="234"/>
      <c r="G270" s="184"/>
      <c r="H270" s="184"/>
      <c r="I270" s="184"/>
      <c r="J270" s="184"/>
      <c r="K270" s="234"/>
      <c r="L270" s="234"/>
      <c r="M270" s="234"/>
      <c r="N270" s="234"/>
      <c r="O270" s="234"/>
      <c r="P270" s="234"/>
      <c r="Q270" s="234"/>
      <c r="R270" s="234"/>
    </row>
    <row r="271" spans="1:18" s="50" customFormat="1" x14ac:dyDescent="0.2">
      <c r="A271" s="45"/>
      <c r="B271" s="341" t="s">
        <v>433</v>
      </c>
      <c r="C271" s="341"/>
      <c r="D271" s="341"/>
      <c r="E271" s="184">
        <f>SUM(F271)</f>
        <v>0</v>
      </c>
      <c r="F271" s="184"/>
      <c r="G271" s="234"/>
      <c r="H271" s="234"/>
      <c r="I271" s="234"/>
      <c r="J271" s="234"/>
      <c r="K271" s="234"/>
      <c r="L271" s="234"/>
      <c r="M271" s="234"/>
      <c r="N271" s="234"/>
      <c r="O271" s="234"/>
      <c r="P271" s="234"/>
      <c r="Q271" s="234"/>
      <c r="R271" s="234"/>
    </row>
    <row r="272" spans="1:18" s="50" customFormat="1" x14ac:dyDescent="0.2">
      <c r="A272" s="45"/>
      <c r="B272" s="341" t="s">
        <v>457</v>
      </c>
      <c r="C272" s="341"/>
      <c r="D272" s="341"/>
      <c r="E272" s="184">
        <f>SUM(F272:K272,Q272:R272)</f>
        <v>0</v>
      </c>
      <c r="F272" s="184"/>
      <c r="G272" s="184"/>
      <c r="H272" s="184"/>
      <c r="I272" s="184"/>
      <c r="J272" s="184"/>
      <c r="K272" s="184"/>
      <c r="L272" s="234"/>
      <c r="M272" s="234"/>
      <c r="N272" s="234"/>
      <c r="O272" s="234"/>
      <c r="P272" s="234"/>
      <c r="Q272" s="184"/>
      <c r="R272" s="184"/>
    </row>
    <row r="273" spans="1:18" s="50" customFormat="1" x14ac:dyDescent="0.2">
      <c r="A273" s="45"/>
      <c r="B273" s="341" t="s">
        <v>470</v>
      </c>
      <c r="C273" s="341"/>
      <c r="D273" s="341"/>
      <c r="E273" s="184">
        <f>SUM(F273:R273)</f>
        <v>0</v>
      </c>
      <c r="F273" s="184"/>
      <c r="G273" s="184"/>
      <c r="H273" s="184"/>
      <c r="I273" s="184"/>
      <c r="J273" s="184"/>
      <c r="K273" s="184"/>
      <c r="L273" s="184"/>
      <c r="M273" s="184"/>
      <c r="N273" s="184"/>
      <c r="O273" s="184"/>
      <c r="P273" s="184"/>
      <c r="Q273" s="184"/>
      <c r="R273" s="184"/>
    </row>
    <row r="274" spans="1:18" s="50" customFormat="1" x14ac:dyDescent="0.2">
      <c r="A274" s="45"/>
      <c r="B274" s="341" t="s">
        <v>472</v>
      </c>
      <c r="C274" s="341"/>
      <c r="D274" s="341"/>
      <c r="E274" s="184">
        <f>SUM(F274:G274)</f>
        <v>0</v>
      </c>
      <c r="F274" s="184"/>
      <c r="G274" s="184"/>
      <c r="H274" s="234"/>
      <c r="I274" s="234"/>
      <c r="J274" s="234"/>
      <c r="K274" s="234"/>
      <c r="L274" s="234"/>
      <c r="M274" s="234"/>
      <c r="N274" s="234"/>
      <c r="O274" s="234"/>
      <c r="P274" s="234"/>
      <c r="Q274" s="234"/>
      <c r="R274" s="234"/>
    </row>
    <row r="275" spans="1:18" s="50" customFormat="1" x14ac:dyDescent="0.2">
      <c r="A275" s="45"/>
      <c r="B275" s="341" t="s">
        <v>431</v>
      </c>
      <c r="C275" s="341"/>
      <c r="D275" s="341"/>
      <c r="E275" s="184">
        <f>SUM(F275)</f>
        <v>0</v>
      </c>
      <c r="F275" s="184"/>
      <c r="G275" s="234"/>
      <c r="H275" s="234"/>
      <c r="I275" s="234"/>
      <c r="J275" s="234"/>
      <c r="K275" s="234"/>
      <c r="L275" s="234"/>
      <c r="M275" s="234"/>
      <c r="N275" s="234"/>
      <c r="O275" s="234"/>
      <c r="P275" s="234"/>
      <c r="Q275" s="234"/>
      <c r="R275" s="234"/>
    </row>
    <row r="276" spans="1:18" s="50" customFormat="1" x14ac:dyDescent="0.2">
      <c r="A276" s="45"/>
      <c r="B276" s="341" t="s">
        <v>475</v>
      </c>
      <c r="C276" s="341"/>
      <c r="D276" s="341"/>
      <c r="E276" s="184">
        <f>SUM(F276:R276)</f>
        <v>0</v>
      </c>
      <c r="F276" s="184"/>
      <c r="G276" s="184"/>
      <c r="H276" s="184"/>
      <c r="I276" s="184"/>
      <c r="J276" s="184"/>
      <c r="K276" s="184"/>
      <c r="L276" s="184"/>
      <c r="M276" s="184"/>
      <c r="N276" s="184"/>
      <c r="O276" s="184"/>
      <c r="P276" s="184"/>
      <c r="Q276" s="184"/>
      <c r="R276" s="184"/>
    </row>
    <row r="277" spans="1:18" s="50" customFormat="1" x14ac:dyDescent="0.2">
      <c r="A277" s="45"/>
      <c r="B277" s="341" t="s">
        <v>477</v>
      </c>
      <c r="C277" s="341"/>
      <c r="D277" s="341"/>
      <c r="E277" s="184">
        <f>SUM(F277:R277)</f>
        <v>0</v>
      </c>
      <c r="F277" s="184"/>
      <c r="G277" s="184"/>
      <c r="H277" s="184"/>
      <c r="I277" s="184"/>
      <c r="J277" s="184"/>
      <c r="K277" s="184"/>
      <c r="L277" s="184"/>
      <c r="M277" s="184"/>
      <c r="N277" s="184"/>
      <c r="O277" s="184"/>
      <c r="P277" s="184"/>
      <c r="Q277" s="184"/>
      <c r="R277" s="184"/>
    </row>
    <row r="278" spans="1:18" s="50" customFormat="1" x14ac:dyDescent="0.2">
      <c r="A278" s="45"/>
      <c r="B278" s="341" t="s">
        <v>479</v>
      </c>
      <c r="C278" s="341"/>
      <c r="D278" s="341"/>
      <c r="E278" s="184">
        <f>SUM(G278:R278)</f>
        <v>0</v>
      </c>
      <c r="F278" s="234"/>
      <c r="G278" s="184"/>
      <c r="H278" s="184"/>
      <c r="I278" s="184"/>
      <c r="J278" s="184"/>
      <c r="K278" s="184"/>
      <c r="L278" s="184"/>
      <c r="M278" s="184"/>
      <c r="N278" s="184"/>
      <c r="O278" s="184"/>
      <c r="P278" s="184"/>
      <c r="Q278" s="184"/>
      <c r="R278" s="184"/>
    </row>
    <row r="279" spans="1:18" s="50" customFormat="1" x14ac:dyDescent="0.2">
      <c r="A279" s="45"/>
      <c r="B279" s="341" t="s">
        <v>434</v>
      </c>
      <c r="C279" s="341"/>
      <c r="D279" s="341"/>
      <c r="E279" s="184">
        <f>SUM(F279:R279)</f>
        <v>0</v>
      </c>
      <c r="F279" s="184"/>
      <c r="G279" s="184"/>
      <c r="H279" s="184"/>
      <c r="I279" s="184"/>
      <c r="J279" s="184"/>
      <c r="K279" s="184"/>
      <c r="L279" s="184"/>
      <c r="M279" s="184"/>
      <c r="N279" s="184"/>
      <c r="O279" s="184"/>
      <c r="P279" s="184"/>
      <c r="Q279" s="184"/>
      <c r="R279" s="184"/>
    </row>
    <row r="280" spans="1:18" s="50" customFormat="1" x14ac:dyDescent="0.2">
      <c r="A280" s="45"/>
      <c r="B280" s="341" t="s">
        <v>482</v>
      </c>
      <c r="C280" s="341"/>
      <c r="D280" s="341"/>
      <c r="E280" s="184">
        <f>SUM(F280:R280)</f>
        <v>0</v>
      </c>
      <c r="F280" s="184"/>
      <c r="G280" s="184"/>
      <c r="H280" s="184"/>
      <c r="I280" s="184"/>
      <c r="J280" s="184"/>
      <c r="K280" s="184"/>
      <c r="L280" s="184"/>
      <c r="M280" s="184"/>
      <c r="N280" s="184"/>
      <c r="O280" s="184"/>
      <c r="P280" s="184"/>
      <c r="Q280" s="184"/>
      <c r="R280" s="184"/>
    </row>
    <row r="281" spans="1:18" s="50" customFormat="1" x14ac:dyDescent="0.2">
      <c r="A281" s="45"/>
      <c r="B281" s="341" t="s">
        <v>486</v>
      </c>
      <c r="C281" s="341"/>
      <c r="D281" s="341"/>
      <c r="E281" s="184">
        <f>SUM(G281:R281)</f>
        <v>0</v>
      </c>
      <c r="F281" s="234"/>
      <c r="G281" s="184"/>
      <c r="H281" s="184"/>
      <c r="I281" s="184"/>
      <c r="J281" s="184"/>
      <c r="K281" s="184"/>
      <c r="L281" s="184"/>
      <c r="M281" s="184"/>
      <c r="N281" s="184"/>
      <c r="O281" s="184"/>
      <c r="P281" s="184"/>
      <c r="Q281" s="184"/>
      <c r="R281" s="184"/>
    </row>
    <row r="282" spans="1:18" s="50" customFormat="1" x14ac:dyDescent="0.2">
      <c r="A282" s="45"/>
      <c r="B282" s="341" t="s">
        <v>487</v>
      </c>
      <c r="C282" s="341"/>
      <c r="D282" s="341"/>
      <c r="E282" s="184">
        <f>SUM(G282:R282)</f>
        <v>0</v>
      </c>
      <c r="F282" s="234"/>
      <c r="G282" s="184"/>
      <c r="H282" s="184"/>
      <c r="I282" s="184"/>
      <c r="J282" s="184"/>
      <c r="K282" s="184"/>
      <c r="L282" s="184"/>
      <c r="M282" s="184"/>
      <c r="N282" s="184"/>
      <c r="O282" s="184"/>
      <c r="P282" s="184"/>
      <c r="Q282" s="184"/>
      <c r="R282" s="184"/>
    </row>
    <row r="283" spans="1:18" s="50" customFormat="1" x14ac:dyDescent="0.2">
      <c r="A283" s="45"/>
      <c r="O283" s="52"/>
    </row>
    <row r="284" spans="1:18" s="50" customFormat="1" ht="18" customHeight="1" x14ac:dyDescent="0.2">
      <c r="A284" s="45" t="s">
        <v>611</v>
      </c>
      <c r="B284" s="292" t="s">
        <v>215</v>
      </c>
      <c r="C284" s="292"/>
      <c r="D284" s="292"/>
      <c r="E284" s="170" t="s">
        <v>14</v>
      </c>
      <c r="F284" s="170" t="s">
        <v>203</v>
      </c>
      <c r="G284" s="170" t="s">
        <v>204</v>
      </c>
      <c r="H284" s="170" t="s">
        <v>35</v>
      </c>
      <c r="I284" s="170" t="s">
        <v>36</v>
      </c>
      <c r="J284" s="170" t="s">
        <v>37</v>
      </c>
      <c r="K284" s="170" t="s">
        <v>38</v>
      </c>
      <c r="L284" s="170" t="s">
        <v>216</v>
      </c>
      <c r="O284" s="73"/>
    </row>
    <row r="285" spans="1:18" s="50" customFormat="1" ht="15" x14ac:dyDescent="0.2">
      <c r="A285" s="69"/>
      <c r="B285" s="441" t="s">
        <v>557</v>
      </c>
      <c r="C285" s="441"/>
      <c r="D285" s="441"/>
      <c r="E285" s="185">
        <f>SUM(F285:L285)</f>
        <v>0</v>
      </c>
      <c r="F285" s="185"/>
      <c r="G285" s="185"/>
      <c r="H285" s="185"/>
      <c r="I285" s="185"/>
      <c r="J285" s="185"/>
      <c r="K285" s="185"/>
      <c r="L285" s="185"/>
      <c r="O285" s="73"/>
    </row>
    <row r="286" spans="1:18" s="50" customFormat="1" ht="15" x14ac:dyDescent="0.2">
      <c r="A286" s="86"/>
      <c r="B286" s="404" t="s">
        <v>558</v>
      </c>
      <c r="C286" s="404"/>
      <c r="D286" s="404"/>
      <c r="E286" s="185">
        <f>SUM(F286:L286)</f>
        <v>0</v>
      </c>
      <c r="F286" s="185"/>
      <c r="G286" s="185"/>
      <c r="H286" s="185"/>
      <c r="I286" s="185"/>
      <c r="J286" s="185"/>
      <c r="K286" s="185"/>
      <c r="L286" s="185"/>
      <c r="O286" s="73"/>
    </row>
    <row r="287" spans="1:18" s="50" customFormat="1" ht="15" x14ac:dyDescent="0.2">
      <c r="A287" s="86"/>
      <c r="B287" s="405" t="s">
        <v>559</v>
      </c>
      <c r="C287" s="405"/>
      <c r="D287" s="405"/>
      <c r="E287" s="185">
        <f>SUM(F287:L287)</f>
        <v>0</v>
      </c>
      <c r="F287" s="235"/>
      <c r="G287" s="235"/>
      <c r="H287" s="235"/>
      <c r="I287" s="235"/>
      <c r="J287" s="235"/>
      <c r="K287" s="235"/>
      <c r="L287" s="235"/>
      <c r="O287" s="73"/>
    </row>
    <row r="288" spans="1:18" s="50" customFormat="1" ht="14.25" x14ac:dyDescent="0.2">
      <c r="B288" s="405" t="s">
        <v>560</v>
      </c>
      <c r="C288" s="405"/>
      <c r="D288" s="405"/>
      <c r="E288" s="185">
        <f>SUM(G288:L288)</f>
        <v>0</v>
      </c>
      <c r="F288" s="236"/>
      <c r="G288" s="237"/>
      <c r="H288" s="237"/>
      <c r="I288" s="237"/>
      <c r="J288" s="237"/>
      <c r="K288" s="237"/>
      <c r="L288" s="237"/>
      <c r="O288" s="73"/>
    </row>
    <row r="289" spans="1:25" s="50" customFormat="1" x14ac:dyDescent="0.2">
      <c r="A289" s="45"/>
      <c r="O289" s="52"/>
    </row>
    <row r="290" spans="1:25" s="50" customFormat="1" ht="18" customHeight="1" x14ac:dyDescent="0.2">
      <c r="A290" s="315" t="s">
        <v>217</v>
      </c>
      <c r="B290" s="315"/>
      <c r="C290" s="315"/>
      <c r="D290" s="315"/>
      <c r="E290" s="315"/>
      <c r="F290" s="315"/>
      <c r="O290" s="97"/>
    </row>
    <row r="291" spans="1:25" s="50" customFormat="1" ht="18" customHeight="1" x14ac:dyDescent="0.2">
      <c r="A291" s="77"/>
      <c r="B291" s="75"/>
      <c r="C291" s="77"/>
      <c r="D291" s="77"/>
      <c r="E291" s="77"/>
      <c r="O291" s="97"/>
    </row>
    <row r="292" spans="1:25" s="50" customFormat="1" ht="18" customHeight="1" x14ac:dyDescent="0.2">
      <c r="A292" s="45" t="s">
        <v>612</v>
      </c>
      <c r="B292" s="338" t="s">
        <v>218</v>
      </c>
      <c r="C292" s="338"/>
      <c r="D292" s="338"/>
      <c r="E292" s="338"/>
      <c r="F292" s="250" t="s">
        <v>14</v>
      </c>
      <c r="G292" s="250" t="s">
        <v>203</v>
      </c>
      <c r="H292" s="250" t="s">
        <v>204</v>
      </c>
      <c r="I292" s="250" t="s">
        <v>35</v>
      </c>
      <c r="J292" s="250" t="s">
        <v>36</v>
      </c>
      <c r="K292" s="250" t="s">
        <v>37</v>
      </c>
      <c r="L292" s="250" t="s">
        <v>38</v>
      </c>
      <c r="M292" s="250" t="s">
        <v>216</v>
      </c>
      <c r="O292" s="52"/>
    </row>
    <row r="293" spans="1:25" s="50" customFormat="1" ht="20.25" customHeight="1" x14ac:dyDescent="0.2">
      <c r="A293" s="45"/>
      <c r="B293" s="251" t="s">
        <v>219</v>
      </c>
      <c r="C293" s="252"/>
      <c r="D293" s="252"/>
      <c r="E293" s="253"/>
      <c r="F293" s="184"/>
      <c r="G293" s="259"/>
      <c r="H293" s="259"/>
      <c r="I293" s="259"/>
      <c r="J293" s="259"/>
      <c r="K293" s="259"/>
      <c r="L293" s="259"/>
      <c r="M293" s="259"/>
      <c r="O293" s="52"/>
    </row>
    <row r="294" spans="1:25" s="50" customFormat="1" ht="20.25" customHeight="1" x14ac:dyDescent="0.2">
      <c r="A294" s="45"/>
      <c r="B294" s="251" t="s">
        <v>220</v>
      </c>
      <c r="C294" s="252"/>
      <c r="D294" s="252"/>
      <c r="E294" s="253"/>
      <c r="F294" s="184"/>
      <c r="G294" s="259"/>
      <c r="H294" s="259"/>
      <c r="I294" s="259"/>
      <c r="J294" s="259"/>
      <c r="K294" s="259"/>
      <c r="L294" s="259"/>
      <c r="M294" s="259"/>
      <c r="O294" s="52"/>
    </row>
    <row r="295" spans="1:25" s="50" customFormat="1" ht="20.25" customHeight="1" x14ac:dyDescent="0.2">
      <c r="A295" s="45"/>
      <c r="B295" s="251" t="s">
        <v>221</v>
      </c>
      <c r="C295" s="252"/>
      <c r="D295" s="252"/>
      <c r="E295" s="253"/>
      <c r="F295" s="184"/>
      <c r="G295" s="259"/>
      <c r="H295" s="259"/>
      <c r="I295" s="259"/>
      <c r="J295" s="259"/>
      <c r="K295" s="259"/>
      <c r="L295" s="259"/>
      <c r="M295" s="260"/>
      <c r="O295" s="52"/>
    </row>
    <row r="296" spans="1:25" s="50" customFormat="1" ht="20.25" customHeight="1" x14ac:dyDescent="0.2">
      <c r="A296" s="45"/>
      <c r="B296" s="251" t="s">
        <v>222</v>
      </c>
      <c r="C296" s="252"/>
      <c r="D296" s="252"/>
      <c r="E296" s="253"/>
      <c r="F296" s="184"/>
      <c r="G296" s="259"/>
      <c r="H296" s="259"/>
      <c r="I296" s="259"/>
      <c r="J296" s="259"/>
      <c r="K296" s="259"/>
      <c r="L296" s="259"/>
      <c r="M296" s="260"/>
      <c r="O296" s="52"/>
    </row>
    <row r="297" spans="1:25" s="98" customFormat="1" ht="20.25" customHeight="1" x14ac:dyDescent="0.2">
      <c r="B297" s="377" t="s">
        <v>561</v>
      </c>
      <c r="C297" s="378"/>
      <c r="D297" s="378"/>
      <c r="E297" s="379"/>
      <c r="F297" s="256"/>
      <c r="G297" s="257"/>
      <c r="H297" s="257"/>
      <c r="I297" s="257"/>
      <c r="J297" s="257"/>
      <c r="K297" s="257"/>
      <c r="L297" s="257"/>
      <c r="M297" s="257"/>
    </row>
    <row r="298" spans="1:25" s="99" customFormat="1" ht="20.25" customHeight="1" x14ac:dyDescent="0.2">
      <c r="B298" s="381" t="s">
        <v>562</v>
      </c>
      <c r="C298" s="382"/>
      <c r="D298" s="382"/>
      <c r="E298" s="383"/>
      <c r="F298" s="256"/>
      <c r="G298" s="257"/>
      <c r="H298" s="257"/>
      <c r="I298" s="257"/>
      <c r="J298" s="257"/>
      <c r="K298" s="257"/>
      <c r="L298" s="257"/>
      <c r="M298" s="257"/>
      <c r="N298" s="98"/>
      <c r="O298" s="98"/>
      <c r="P298" s="98"/>
      <c r="Q298" s="98"/>
      <c r="R298" s="98"/>
      <c r="S298" s="98"/>
      <c r="T298" s="98"/>
      <c r="U298" s="98"/>
      <c r="V298" s="98"/>
      <c r="W298" s="98"/>
      <c r="X298" s="98"/>
      <c r="Y298" s="98"/>
    </row>
    <row r="299" spans="1:25" s="50" customFormat="1" ht="20.25" customHeight="1" x14ac:dyDescent="0.2">
      <c r="B299" s="377" t="s">
        <v>223</v>
      </c>
      <c r="C299" s="378"/>
      <c r="D299" s="378"/>
      <c r="E299" s="379"/>
      <c r="F299" s="258"/>
      <c r="G299" s="257"/>
      <c r="H299" s="257"/>
      <c r="I299" s="257"/>
      <c r="J299" s="257"/>
      <c r="K299" s="257"/>
      <c r="L299" s="257"/>
      <c r="M299" s="257"/>
      <c r="N299" s="73"/>
      <c r="O299" s="73"/>
      <c r="P299" s="73"/>
      <c r="Q299" s="73"/>
      <c r="R299" s="73"/>
      <c r="S299" s="73"/>
      <c r="T299" s="73"/>
      <c r="U299" s="73"/>
      <c r="V299" s="73"/>
      <c r="W299" s="73"/>
      <c r="X299" s="73"/>
      <c r="Y299" s="73"/>
    </row>
    <row r="300" spans="1:25" s="50" customFormat="1" ht="20.25" customHeight="1" x14ac:dyDescent="0.2">
      <c r="B300" s="377" t="s">
        <v>563</v>
      </c>
      <c r="C300" s="378"/>
      <c r="D300" s="378"/>
      <c r="E300" s="379"/>
      <c r="F300" s="258"/>
      <c r="G300" s="257"/>
      <c r="H300" s="257"/>
      <c r="I300" s="257"/>
      <c r="J300" s="257"/>
      <c r="K300" s="257"/>
      <c r="L300" s="257"/>
      <c r="M300" s="257"/>
      <c r="P300" s="73"/>
    </row>
    <row r="301" spans="1:25" s="50" customFormat="1" ht="20.25" customHeight="1" x14ac:dyDescent="0.2">
      <c r="A301" s="156"/>
      <c r="B301" s="261" t="s">
        <v>224</v>
      </c>
      <c r="C301" s="262"/>
      <c r="D301" s="262"/>
      <c r="E301" s="263"/>
      <c r="F301" s="184"/>
      <c r="G301" s="184"/>
      <c r="H301" s="184"/>
      <c r="I301" s="184"/>
      <c r="J301" s="184"/>
      <c r="K301" s="184"/>
      <c r="L301" s="184"/>
      <c r="M301" s="184"/>
      <c r="O301" s="52"/>
    </row>
    <row r="302" spans="1:25" s="50" customFormat="1" x14ac:dyDescent="0.2">
      <c r="A302" s="45"/>
    </row>
    <row r="303" spans="1:25" s="50" customFormat="1" ht="18" customHeight="1" x14ac:dyDescent="0.2">
      <c r="A303" s="315" t="s">
        <v>454</v>
      </c>
      <c r="B303" s="315"/>
      <c r="C303" s="315"/>
      <c r="D303" s="315"/>
      <c r="E303" s="315"/>
      <c r="F303" s="315"/>
      <c r="G303" s="84"/>
      <c r="H303" s="100"/>
      <c r="I303" s="100"/>
    </row>
    <row r="304" spans="1:25" s="50" customFormat="1" ht="18" customHeight="1" x14ac:dyDescent="0.2">
      <c r="A304" s="45"/>
      <c r="B304" s="45"/>
      <c r="C304" s="100"/>
      <c r="D304" s="100"/>
      <c r="E304" s="100"/>
      <c r="F304" s="100"/>
      <c r="G304" s="100"/>
      <c r="H304" s="100"/>
      <c r="I304" s="100"/>
    </row>
    <row r="305" spans="1:27" s="50" customFormat="1" ht="18" customHeight="1" x14ac:dyDescent="0.2">
      <c r="A305" s="45" t="s">
        <v>613</v>
      </c>
      <c r="B305" s="338" t="s">
        <v>225</v>
      </c>
      <c r="C305" s="338"/>
      <c r="D305" s="219" t="s">
        <v>19</v>
      </c>
      <c r="E305" s="219" t="s">
        <v>20</v>
      </c>
      <c r="F305" s="219" t="s">
        <v>21</v>
      </c>
      <c r="G305" s="219" t="s">
        <v>22</v>
      </c>
      <c r="H305" s="219" t="s">
        <v>23</v>
      </c>
      <c r="I305" s="219" t="s">
        <v>24</v>
      </c>
      <c r="J305" s="219" t="s">
        <v>25</v>
      </c>
      <c r="K305" s="219" t="s">
        <v>26</v>
      </c>
      <c r="L305" s="219" t="s">
        <v>27</v>
      </c>
      <c r="M305" s="219" t="s">
        <v>28</v>
      </c>
      <c r="N305" s="219" t="s">
        <v>29</v>
      </c>
    </row>
    <row r="306" spans="1:27" s="50" customFormat="1" ht="18" customHeight="1" x14ac:dyDescent="0.2">
      <c r="A306" s="45"/>
      <c r="B306" s="402" t="s">
        <v>229</v>
      </c>
      <c r="C306" s="403"/>
      <c r="D306" s="154"/>
      <c r="E306" s="154"/>
      <c r="F306" s="154"/>
      <c r="G306" s="154"/>
      <c r="H306" s="230"/>
      <c r="I306" s="230"/>
      <c r="J306" s="230"/>
      <c r="K306" s="230"/>
      <c r="L306" s="230"/>
      <c r="M306" s="230"/>
      <c r="N306" s="230"/>
      <c r="T306" s="55"/>
    </row>
    <row r="307" spans="1:27" s="50" customFormat="1" ht="18" customHeight="1" x14ac:dyDescent="0.2">
      <c r="A307" s="45"/>
      <c r="B307" s="402" t="s">
        <v>234</v>
      </c>
      <c r="C307" s="403"/>
      <c r="D307" s="154"/>
      <c r="E307" s="154"/>
      <c r="F307" s="154"/>
      <c r="G307" s="154"/>
      <c r="H307" s="154"/>
      <c r="I307" s="154"/>
      <c r="J307" s="154"/>
      <c r="K307" s="154"/>
      <c r="L307" s="154"/>
      <c r="M307" s="154"/>
      <c r="N307" s="154"/>
      <c r="T307" s="55"/>
    </row>
    <row r="308" spans="1:27" s="50" customFormat="1" ht="18" customHeight="1" x14ac:dyDescent="0.2">
      <c r="A308" s="45"/>
      <c r="B308" s="402" t="s">
        <v>35</v>
      </c>
      <c r="C308" s="403"/>
      <c r="D308" s="154"/>
      <c r="E308" s="154"/>
      <c r="F308" s="154"/>
      <c r="G308" s="154"/>
      <c r="H308" s="154"/>
      <c r="I308" s="154"/>
      <c r="J308" s="230"/>
      <c r="K308" s="230"/>
      <c r="L308" s="230"/>
      <c r="M308" s="230"/>
      <c r="N308" s="230"/>
      <c r="T308" s="101"/>
    </row>
    <row r="309" spans="1:27" s="50" customFormat="1" ht="18" customHeight="1" x14ac:dyDescent="0.2">
      <c r="A309" s="45"/>
      <c r="B309" s="402" t="s">
        <v>36</v>
      </c>
      <c r="C309" s="403"/>
      <c r="D309" s="154"/>
      <c r="E309" s="154"/>
      <c r="F309" s="154"/>
      <c r="G309" s="154"/>
      <c r="H309" s="230"/>
      <c r="I309" s="230"/>
      <c r="J309" s="230"/>
      <c r="K309" s="230"/>
      <c r="L309" s="230"/>
      <c r="M309" s="230"/>
      <c r="N309" s="230"/>
      <c r="T309" s="101"/>
    </row>
    <row r="310" spans="1:27" s="50" customFormat="1" ht="18" customHeight="1" x14ac:dyDescent="0.2">
      <c r="A310" s="45"/>
      <c r="B310" s="402" t="s">
        <v>37</v>
      </c>
      <c r="C310" s="403"/>
      <c r="D310" s="154"/>
      <c r="E310" s="154"/>
      <c r="F310" s="154"/>
      <c r="G310" s="154"/>
      <c r="H310" s="230"/>
      <c r="I310" s="230"/>
      <c r="J310" s="230"/>
      <c r="K310" s="230"/>
      <c r="L310" s="230"/>
      <c r="M310" s="230"/>
      <c r="N310" s="230"/>
      <c r="R310" s="55"/>
      <c r="S310" s="55"/>
      <c r="T310" s="55"/>
      <c r="U310" s="55"/>
      <c r="V310" s="71"/>
      <c r="W310" s="71"/>
      <c r="X310" s="71"/>
      <c r="Y310" s="71"/>
      <c r="Z310" s="55"/>
      <c r="AA310" s="55"/>
    </row>
    <row r="311" spans="1:27" s="157" customFormat="1" x14ac:dyDescent="0.2">
      <c r="A311" s="165"/>
      <c r="B311" s="167"/>
      <c r="C311" s="164"/>
      <c r="D311" s="160"/>
      <c r="E311" s="160"/>
      <c r="F311" s="160"/>
      <c r="V311" s="163"/>
      <c r="W311" s="163"/>
      <c r="X311" s="163"/>
      <c r="Y311" s="163"/>
    </row>
    <row r="312" spans="1:27" s="50" customFormat="1" ht="18" customHeight="1" x14ac:dyDescent="0.2">
      <c r="A312" s="315" t="s">
        <v>544</v>
      </c>
      <c r="B312" s="315"/>
      <c r="C312" s="315"/>
      <c r="D312" s="315"/>
      <c r="E312" s="315"/>
      <c r="F312" s="315"/>
      <c r="R312" s="55"/>
      <c r="S312" s="55"/>
      <c r="T312" s="55"/>
      <c r="U312" s="55"/>
      <c r="V312" s="71"/>
      <c r="W312" s="71"/>
      <c r="X312" s="71"/>
      <c r="Y312" s="71"/>
      <c r="Z312" s="55"/>
      <c r="AA312" s="55"/>
    </row>
    <row r="313" spans="1:27" s="157" customFormat="1" ht="18" customHeight="1" x14ac:dyDescent="0.2">
      <c r="A313" s="165"/>
      <c r="B313" s="167"/>
      <c r="C313" s="164"/>
      <c r="D313" s="160"/>
      <c r="E313" s="160"/>
      <c r="F313" s="84"/>
      <c r="V313" s="163"/>
      <c r="W313" s="163"/>
      <c r="X313" s="163"/>
      <c r="Y313" s="163"/>
    </row>
    <row r="314" spans="1:27" s="50" customFormat="1" ht="30" x14ac:dyDescent="0.2">
      <c r="A314" s="45" t="s">
        <v>614</v>
      </c>
      <c r="B314" s="292" t="s">
        <v>545</v>
      </c>
      <c r="C314" s="292"/>
      <c r="D314" s="223" t="s">
        <v>550</v>
      </c>
      <c r="E314" s="223" t="s">
        <v>493</v>
      </c>
      <c r="F314" s="223" t="s">
        <v>182</v>
      </c>
      <c r="G314" s="223" t="s">
        <v>183</v>
      </c>
      <c r="H314" s="223" t="s">
        <v>184</v>
      </c>
      <c r="I314" s="223" t="s">
        <v>185</v>
      </c>
      <c r="J314" s="223" t="s">
        <v>541</v>
      </c>
      <c r="R314" s="55"/>
      <c r="S314" s="55"/>
      <c r="T314" s="55"/>
      <c r="U314" s="55"/>
      <c r="V314" s="71"/>
      <c r="W314" s="71"/>
      <c r="X314" s="71"/>
      <c r="Y314" s="71"/>
      <c r="Z314" s="55"/>
      <c r="AA314" s="55"/>
    </row>
    <row r="315" spans="1:27" s="50" customFormat="1" ht="18" customHeight="1" x14ac:dyDescent="0.2">
      <c r="A315" s="45"/>
      <c r="B315" s="421" t="s">
        <v>546</v>
      </c>
      <c r="C315" s="421"/>
      <c r="D315" s="154"/>
      <c r="E315" s="227"/>
      <c r="F315" s="227"/>
      <c r="G315" s="227"/>
      <c r="H315" s="227"/>
      <c r="I315" s="227"/>
      <c r="J315" s="227"/>
      <c r="R315" s="55"/>
      <c r="S315" s="55"/>
      <c r="T315" s="55"/>
      <c r="U315" s="55"/>
      <c r="V315" s="71"/>
      <c r="W315" s="71"/>
      <c r="X315" s="71"/>
      <c r="Y315" s="71"/>
      <c r="Z315" s="55"/>
      <c r="AA315" s="55"/>
    </row>
    <row r="316" spans="1:27" s="50" customFormat="1" ht="18" customHeight="1" x14ac:dyDescent="0.2">
      <c r="A316" s="45"/>
      <c r="B316" s="421" t="s">
        <v>547</v>
      </c>
      <c r="C316" s="421"/>
      <c r="D316" s="154"/>
      <c r="E316" s="227"/>
      <c r="F316" s="227"/>
      <c r="G316" s="227"/>
      <c r="H316" s="227"/>
      <c r="I316" s="227"/>
      <c r="J316" s="227"/>
      <c r="R316" s="55"/>
      <c r="S316" s="55"/>
      <c r="T316" s="55"/>
      <c r="U316" s="55"/>
      <c r="V316" s="71"/>
      <c r="W316" s="71"/>
      <c r="X316" s="71"/>
      <c r="Y316" s="71"/>
      <c r="Z316" s="55"/>
      <c r="AA316" s="55"/>
    </row>
    <row r="317" spans="1:27" s="50" customFormat="1" ht="18" customHeight="1" x14ac:dyDescent="0.2">
      <c r="A317" s="45"/>
      <c r="B317" s="421" t="s">
        <v>548</v>
      </c>
      <c r="C317" s="421"/>
      <c r="D317" s="154"/>
      <c r="E317" s="227"/>
      <c r="F317" s="227"/>
      <c r="G317" s="227"/>
      <c r="H317" s="227"/>
      <c r="I317" s="227"/>
      <c r="J317" s="227"/>
      <c r="R317" s="55"/>
      <c r="S317" s="55"/>
      <c r="T317" s="55"/>
      <c r="U317" s="55"/>
      <c r="V317" s="71"/>
      <c r="W317" s="71"/>
      <c r="X317" s="71"/>
      <c r="Y317" s="71"/>
      <c r="Z317" s="55"/>
      <c r="AA317" s="55"/>
    </row>
    <row r="318" spans="1:27" s="50" customFormat="1" ht="18" customHeight="1" x14ac:dyDescent="0.2">
      <c r="A318" s="45"/>
      <c r="B318" s="421" t="s">
        <v>549</v>
      </c>
      <c r="C318" s="421"/>
      <c r="D318" s="154"/>
      <c r="E318" s="227"/>
      <c r="F318" s="227"/>
      <c r="G318" s="227"/>
      <c r="H318" s="227"/>
      <c r="I318" s="227"/>
      <c r="J318" s="227"/>
      <c r="R318" s="55"/>
      <c r="S318" s="55"/>
      <c r="T318" s="55"/>
      <c r="U318" s="55"/>
      <c r="V318" s="71"/>
      <c r="W318" s="71"/>
      <c r="X318" s="71"/>
      <c r="Y318" s="71"/>
      <c r="Z318" s="55"/>
      <c r="AA318" s="55"/>
    </row>
    <row r="319" spans="1:27" s="157" customFormat="1" x14ac:dyDescent="0.2">
      <c r="A319" s="165"/>
      <c r="B319" s="162"/>
      <c r="C319" s="160"/>
      <c r="D319" s="160"/>
      <c r="E319" s="164"/>
      <c r="F319" s="164"/>
      <c r="G319" s="164"/>
      <c r="H319" s="164"/>
      <c r="I319" s="164"/>
      <c r="V319" s="163"/>
      <c r="W319" s="163"/>
      <c r="X319" s="163"/>
      <c r="Y319" s="163"/>
    </row>
    <row r="320" spans="1:27" s="157" customFormat="1" x14ac:dyDescent="0.2">
      <c r="A320" s="165"/>
      <c r="F320" s="161"/>
      <c r="V320" s="163"/>
      <c r="W320" s="163"/>
      <c r="X320" s="163"/>
      <c r="Y320" s="163"/>
    </row>
    <row r="321" spans="1:27" s="50" customFormat="1" ht="18" customHeight="1" x14ac:dyDescent="0.2">
      <c r="A321" s="315" t="s">
        <v>551</v>
      </c>
      <c r="B321" s="315"/>
      <c r="C321" s="315"/>
      <c r="D321" s="315"/>
      <c r="E321" s="315"/>
      <c r="F321" s="315"/>
      <c r="G321" s="84"/>
      <c r="O321" s="52"/>
      <c r="R321" s="55"/>
      <c r="S321" s="55"/>
      <c r="T321" s="55"/>
      <c r="U321" s="55"/>
      <c r="V321" s="71"/>
      <c r="W321" s="71"/>
      <c r="X321" s="71"/>
      <c r="Y321" s="71"/>
      <c r="Z321" s="55"/>
      <c r="AA321" s="55"/>
    </row>
    <row r="322" spans="1:27" s="50" customFormat="1" ht="18" customHeight="1" x14ac:dyDescent="0.2">
      <c r="A322" s="45"/>
      <c r="B322" s="45"/>
      <c r="F322" s="52"/>
      <c r="O322" s="52"/>
      <c r="R322" s="55"/>
      <c r="S322" s="55"/>
      <c r="T322" s="55"/>
      <c r="U322" s="55"/>
      <c r="V322" s="71"/>
      <c r="W322" s="71"/>
      <c r="X322" s="71"/>
      <c r="Y322" s="71"/>
      <c r="Z322" s="55"/>
      <c r="AA322" s="55"/>
    </row>
    <row r="323" spans="1:27" s="50" customFormat="1" ht="18" customHeight="1" x14ac:dyDescent="0.2">
      <c r="A323" s="45" t="s">
        <v>615</v>
      </c>
      <c r="B323" s="338" t="s">
        <v>226</v>
      </c>
      <c r="C323" s="338"/>
      <c r="D323" s="380" t="s">
        <v>227</v>
      </c>
      <c r="E323" s="380"/>
      <c r="F323" s="338" t="s">
        <v>228</v>
      </c>
      <c r="G323" s="338"/>
      <c r="H323" s="338"/>
      <c r="I323" s="338"/>
      <c r="J323" s="338"/>
      <c r="O323" s="52"/>
      <c r="R323" s="55"/>
      <c r="S323" s="55"/>
      <c r="T323" s="55"/>
      <c r="U323" s="55"/>
      <c r="V323" s="71"/>
      <c r="W323" s="71"/>
      <c r="X323" s="71"/>
      <c r="Y323" s="71"/>
      <c r="Z323" s="55"/>
      <c r="AA323" s="55"/>
    </row>
    <row r="324" spans="1:27" s="50" customFormat="1" ht="18" customHeight="1" x14ac:dyDescent="0.2">
      <c r="A324" s="45"/>
      <c r="B324" s="338"/>
      <c r="C324" s="338"/>
      <c r="D324" s="297" t="s">
        <v>580</v>
      </c>
      <c r="E324" s="297" t="s">
        <v>230</v>
      </c>
      <c r="F324" s="299" t="s">
        <v>581</v>
      </c>
      <c r="G324" s="299" t="s">
        <v>582</v>
      </c>
      <c r="H324" s="297" t="s">
        <v>231</v>
      </c>
      <c r="I324" s="297" t="s">
        <v>232</v>
      </c>
      <c r="J324" s="297" t="s">
        <v>233</v>
      </c>
      <c r="O324" s="52"/>
      <c r="R324" s="55"/>
      <c r="S324" s="55"/>
      <c r="T324" s="55"/>
      <c r="U324" s="55"/>
      <c r="V324" s="71"/>
      <c r="W324" s="71"/>
      <c r="X324" s="71"/>
      <c r="Y324" s="71"/>
      <c r="Z324" s="55"/>
      <c r="AA324" s="55"/>
    </row>
    <row r="325" spans="1:27" s="50" customFormat="1" ht="18" customHeight="1" x14ac:dyDescent="0.2">
      <c r="A325" s="45"/>
      <c r="B325" s="338"/>
      <c r="C325" s="338"/>
      <c r="D325" s="297"/>
      <c r="E325" s="297"/>
      <c r="F325" s="299"/>
      <c r="G325" s="299"/>
      <c r="H325" s="297"/>
      <c r="I325" s="297"/>
      <c r="J325" s="297"/>
      <c r="O325" s="52"/>
      <c r="R325" s="55"/>
      <c r="S325" s="55"/>
      <c r="T325" s="55"/>
      <c r="U325" s="55"/>
      <c r="V325" s="71"/>
      <c r="W325" s="71"/>
      <c r="X325" s="71"/>
      <c r="Y325" s="71"/>
      <c r="Z325" s="55"/>
      <c r="AA325" s="55"/>
    </row>
    <row r="326" spans="1:27" s="50" customFormat="1" ht="25.15" customHeight="1" x14ac:dyDescent="0.2">
      <c r="A326" s="45"/>
      <c r="B326" s="298" t="s">
        <v>235</v>
      </c>
      <c r="C326" s="298"/>
      <c r="D326" s="255"/>
      <c r="E326" s="255"/>
      <c r="F326" s="210"/>
      <c r="G326" s="254"/>
      <c r="H326" s="254"/>
      <c r="I326" s="254"/>
      <c r="J326" s="254"/>
      <c r="O326" s="52"/>
      <c r="R326" s="55"/>
      <c r="S326" s="55"/>
      <c r="T326" s="55"/>
      <c r="U326" s="55"/>
      <c r="V326" s="71"/>
      <c r="W326" s="71"/>
      <c r="X326" s="71"/>
      <c r="Y326" s="71"/>
      <c r="Z326" s="55"/>
      <c r="AA326" s="55"/>
    </row>
    <row r="327" spans="1:27" s="50" customFormat="1" ht="18" customHeight="1" x14ac:dyDescent="0.2">
      <c r="A327" s="45"/>
      <c r="B327" s="298" t="s">
        <v>236</v>
      </c>
      <c r="C327" s="298"/>
      <c r="D327" s="264"/>
      <c r="E327" s="264"/>
      <c r="F327" s="184"/>
      <c r="G327" s="265"/>
      <c r="H327" s="254"/>
      <c r="I327" s="254"/>
      <c r="J327" s="254"/>
      <c r="O327" s="52"/>
      <c r="R327" s="55"/>
      <c r="S327" s="55"/>
      <c r="T327" s="55"/>
      <c r="U327" s="55"/>
      <c r="V327" s="71"/>
      <c r="W327" s="71"/>
      <c r="X327" s="71"/>
      <c r="Y327" s="71"/>
      <c r="Z327" s="55"/>
      <c r="AA327" s="55"/>
    </row>
    <row r="328" spans="1:27" s="50" customFormat="1" ht="18" customHeight="1" x14ac:dyDescent="0.2">
      <c r="A328" s="45"/>
      <c r="B328" s="102"/>
      <c r="C328" s="51"/>
      <c r="D328" s="51"/>
      <c r="E328" s="72"/>
      <c r="F328" s="72"/>
      <c r="G328" s="72"/>
      <c r="H328" s="72"/>
      <c r="I328" s="72"/>
      <c r="O328" s="52"/>
      <c r="R328" s="55"/>
      <c r="S328" s="55"/>
      <c r="T328" s="55"/>
      <c r="U328" s="55"/>
      <c r="V328" s="71"/>
      <c r="W328" s="71"/>
      <c r="X328" s="71"/>
      <c r="Y328" s="71"/>
      <c r="Z328" s="55"/>
      <c r="AA328" s="55"/>
    </row>
    <row r="329" spans="1:27" s="50" customFormat="1" ht="18" customHeight="1" x14ac:dyDescent="0.2">
      <c r="A329" s="315" t="s">
        <v>552</v>
      </c>
      <c r="B329" s="315"/>
      <c r="C329" s="315"/>
      <c r="D329" s="315"/>
      <c r="E329" s="315"/>
      <c r="F329" s="315"/>
      <c r="G329" s="315"/>
      <c r="H329" s="55"/>
      <c r="I329" s="55"/>
      <c r="J329" s="55"/>
      <c r="K329" s="55"/>
      <c r="L329" s="55"/>
      <c r="M329" s="55"/>
      <c r="N329" s="55"/>
      <c r="O329" s="61"/>
      <c r="P329" s="55"/>
      <c r="Q329" s="55"/>
      <c r="R329" s="55"/>
      <c r="S329" s="76"/>
      <c r="T329" s="55"/>
      <c r="U329" s="55"/>
      <c r="V329" s="71"/>
      <c r="W329" s="71"/>
      <c r="X329" s="71"/>
      <c r="Y329" s="71"/>
      <c r="Z329" s="71"/>
      <c r="AA329" s="55"/>
    </row>
    <row r="330" spans="1:27" s="51" customFormat="1" ht="18" customHeight="1" x14ac:dyDescent="0.2">
      <c r="A330" s="103"/>
      <c r="B330" s="67" t="s">
        <v>237</v>
      </c>
      <c r="C330" s="45"/>
      <c r="D330" s="48"/>
      <c r="E330" s="48"/>
      <c r="F330" s="48"/>
      <c r="G330" s="195"/>
      <c r="H330" s="72"/>
      <c r="I330" s="72"/>
      <c r="J330" s="72"/>
      <c r="K330" s="72"/>
      <c r="L330" s="72"/>
      <c r="M330" s="59"/>
      <c r="N330" s="59"/>
      <c r="O330" s="57"/>
      <c r="P330" s="59"/>
      <c r="Q330" s="59"/>
      <c r="R330" s="59"/>
      <c r="S330" s="59"/>
      <c r="T330" s="59"/>
      <c r="U330" s="59"/>
      <c r="V330" s="59"/>
      <c r="W330" s="59"/>
      <c r="X330" s="59"/>
      <c r="Y330" s="59"/>
      <c r="Z330" s="59"/>
      <c r="AA330" s="59"/>
    </row>
    <row r="331" spans="1:27" s="39" customFormat="1" ht="15" x14ac:dyDescent="0.2">
      <c r="B331" s="338" t="s">
        <v>7</v>
      </c>
      <c r="C331" s="338"/>
      <c r="D331" s="338"/>
      <c r="E331" s="338"/>
      <c r="F331" s="338"/>
      <c r="G331" s="338" t="s">
        <v>16</v>
      </c>
      <c r="H331" s="338"/>
      <c r="I331" s="338"/>
      <c r="J331" s="338"/>
      <c r="K331" s="338"/>
      <c r="L331" s="338"/>
      <c r="O331" s="40"/>
    </row>
    <row r="332" spans="1:27" s="39" customFormat="1" ht="30" x14ac:dyDescent="0.2">
      <c r="A332" s="45" t="s">
        <v>616</v>
      </c>
      <c r="B332" s="338"/>
      <c r="C332" s="338"/>
      <c r="D332" s="338"/>
      <c r="E332" s="338"/>
      <c r="F332" s="338"/>
      <c r="G332" s="249" t="s">
        <v>238</v>
      </c>
      <c r="H332" s="249" t="s">
        <v>239</v>
      </c>
      <c r="I332" s="249" t="s">
        <v>240</v>
      </c>
      <c r="J332" s="249" t="s">
        <v>241</v>
      </c>
      <c r="K332" s="249" t="s">
        <v>242</v>
      </c>
      <c r="L332" s="249" t="s">
        <v>14</v>
      </c>
      <c r="O332" s="40"/>
    </row>
    <row r="333" spans="1:27" s="39" customFormat="1" ht="12.75" x14ac:dyDescent="0.2">
      <c r="B333" s="388" t="s">
        <v>243</v>
      </c>
      <c r="C333" s="388"/>
      <c r="D333" s="388"/>
      <c r="E333" s="388"/>
      <c r="F333" s="388"/>
      <c r="G333" s="199">
        <f>G334+G340</f>
        <v>0</v>
      </c>
      <c r="H333" s="199">
        <f t="shared" ref="H333:L333" si="2">H334+H340</f>
        <v>0</v>
      </c>
      <c r="I333" s="199">
        <f t="shared" si="2"/>
        <v>0</v>
      </c>
      <c r="J333" s="199">
        <f t="shared" si="2"/>
        <v>0</v>
      </c>
      <c r="K333" s="199">
        <f t="shared" si="2"/>
        <v>0</v>
      </c>
      <c r="L333" s="238">
        <f t="shared" si="2"/>
        <v>0</v>
      </c>
      <c r="O333" s="40"/>
    </row>
    <row r="334" spans="1:27" s="39" customFormat="1" ht="27" customHeight="1" x14ac:dyDescent="0.2">
      <c r="B334" s="354" t="s">
        <v>244</v>
      </c>
      <c r="C334" s="354"/>
      <c r="D334" s="354"/>
      <c r="E334" s="354"/>
      <c r="F334" s="354"/>
      <c r="G334" s="244">
        <f>SUM(G335:G339)</f>
        <v>0</v>
      </c>
      <c r="H334" s="244">
        <f t="shared" ref="H334:L334" si="3">SUM(H335:H339)</f>
        <v>0</v>
      </c>
      <c r="I334" s="244">
        <f t="shared" si="3"/>
        <v>0</v>
      </c>
      <c r="J334" s="244">
        <f t="shared" si="3"/>
        <v>0</v>
      </c>
      <c r="K334" s="244">
        <f t="shared" si="3"/>
        <v>0</v>
      </c>
      <c r="L334" s="245">
        <f t="shared" si="3"/>
        <v>0</v>
      </c>
      <c r="O334" s="40"/>
    </row>
    <row r="335" spans="1:27" s="39" customFormat="1" ht="15" x14ac:dyDescent="0.2">
      <c r="A335" s="86"/>
      <c r="B335" s="361" t="s">
        <v>245</v>
      </c>
      <c r="C335" s="361"/>
      <c r="D335" s="361"/>
      <c r="E335" s="361"/>
      <c r="F335" s="361"/>
      <c r="G335" s="220"/>
      <c r="H335" s="220"/>
      <c r="I335" s="220"/>
      <c r="J335" s="220"/>
      <c r="K335" s="220"/>
      <c r="L335" s="239">
        <f t="shared" ref="L335:L339" si="4">SUM(G335:K335)</f>
        <v>0</v>
      </c>
      <c r="O335" s="40"/>
    </row>
    <row r="336" spans="1:27" s="39" customFormat="1" ht="15" x14ac:dyDescent="0.2">
      <c r="A336" s="86"/>
      <c r="B336" s="291" t="s">
        <v>246</v>
      </c>
      <c r="C336" s="291"/>
      <c r="D336" s="291"/>
      <c r="E336" s="291"/>
      <c r="F336" s="291"/>
      <c r="G336" s="220"/>
      <c r="H336" s="220"/>
      <c r="I336" s="220"/>
      <c r="J336" s="220"/>
      <c r="K336" s="220"/>
      <c r="L336" s="239">
        <f t="shared" si="4"/>
        <v>0</v>
      </c>
      <c r="O336" s="40"/>
    </row>
    <row r="337" spans="1:20" s="39" customFormat="1" ht="15" x14ac:dyDescent="0.2">
      <c r="A337" s="86"/>
      <c r="B337" s="291" t="s">
        <v>247</v>
      </c>
      <c r="C337" s="291"/>
      <c r="D337" s="291"/>
      <c r="E337" s="291"/>
      <c r="F337" s="291"/>
      <c r="G337" s="220"/>
      <c r="H337" s="220"/>
      <c r="I337" s="220"/>
      <c r="J337" s="220"/>
      <c r="K337" s="220"/>
      <c r="L337" s="239">
        <f t="shared" si="4"/>
        <v>0</v>
      </c>
      <c r="O337" s="40"/>
    </row>
    <row r="338" spans="1:20" s="39" customFormat="1" ht="15" x14ac:dyDescent="0.2">
      <c r="A338" s="86"/>
      <c r="B338" s="291" t="s">
        <v>248</v>
      </c>
      <c r="C338" s="291"/>
      <c r="D338" s="291"/>
      <c r="E338" s="291"/>
      <c r="F338" s="291"/>
      <c r="G338" s="220"/>
      <c r="H338" s="220"/>
      <c r="I338" s="220"/>
      <c r="J338" s="220"/>
      <c r="K338" s="220"/>
      <c r="L338" s="239">
        <f t="shared" si="4"/>
        <v>0</v>
      </c>
      <c r="O338" s="40"/>
    </row>
    <row r="339" spans="1:20" s="39" customFormat="1" ht="15" x14ac:dyDescent="0.2">
      <c r="A339" s="86"/>
      <c r="B339" s="291" t="s">
        <v>249</v>
      </c>
      <c r="C339" s="291"/>
      <c r="D339" s="291"/>
      <c r="E339" s="291"/>
      <c r="F339" s="291"/>
      <c r="G339" s="220"/>
      <c r="H339" s="220"/>
      <c r="I339" s="220"/>
      <c r="J339" s="220"/>
      <c r="K339" s="220"/>
      <c r="L339" s="239">
        <f t="shared" si="4"/>
        <v>0</v>
      </c>
      <c r="O339" s="40"/>
    </row>
    <row r="340" spans="1:20" s="39" customFormat="1" ht="25.5" customHeight="1" x14ac:dyDescent="0.2">
      <c r="A340" s="86"/>
      <c r="B340" s="354" t="s">
        <v>250</v>
      </c>
      <c r="C340" s="354"/>
      <c r="D340" s="354"/>
      <c r="E340" s="354"/>
      <c r="F340" s="354"/>
      <c r="G340" s="244">
        <f>SUM(G341:G343)</f>
        <v>0</v>
      </c>
      <c r="H340" s="244">
        <f t="shared" ref="H340:L340" si="5">SUM(H341:H343)</f>
        <v>0</v>
      </c>
      <c r="I340" s="244">
        <f t="shared" si="5"/>
        <v>0</v>
      </c>
      <c r="J340" s="244">
        <f t="shared" si="5"/>
        <v>0</v>
      </c>
      <c r="K340" s="244">
        <f t="shared" si="5"/>
        <v>0</v>
      </c>
      <c r="L340" s="245">
        <f t="shared" si="5"/>
        <v>0</v>
      </c>
      <c r="O340" s="40"/>
    </row>
    <row r="341" spans="1:20" s="39" customFormat="1" ht="15" x14ac:dyDescent="0.2">
      <c r="A341" s="86"/>
      <c r="B341" s="361" t="s">
        <v>251</v>
      </c>
      <c r="C341" s="361"/>
      <c r="D341" s="361"/>
      <c r="E341" s="361"/>
      <c r="F341" s="361"/>
      <c r="G341" s="220"/>
      <c r="H341" s="220"/>
      <c r="I341" s="220"/>
      <c r="J341" s="220"/>
      <c r="K341" s="220"/>
      <c r="L341" s="240">
        <f t="shared" ref="L341:L343" si="6">SUM(G341:K341)</f>
        <v>0</v>
      </c>
      <c r="O341" s="40"/>
    </row>
    <row r="342" spans="1:20" s="39" customFormat="1" ht="15" x14ac:dyDescent="0.2">
      <c r="A342" s="86"/>
      <c r="B342" s="361" t="s">
        <v>252</v>
      </c>
      <c r="C342" s="361"/>
      <c r="D342" s="361"/>
      <c r="E342" s="361"/>
      <c r="F342" s="361"/>
      <c r="G342" s="104"/>
      <c r="H342" s="104"/>
      <c r="I342" s="242"/>
      <c r="J342" s="242"/>
      <c r="K342" s="242"/>
      <c r="L342" s="240">
        <f t="shared" si="6"/>
        <v>0</v>
      </c>
      <c r="O342" s="40"/>
    </row>
    <row r="343" spans="1:20" s="39" customFormat="1" ht="15" x14ac:dyDescent="0.2">
      <c r="A343" s="86"/>
      <c r="B343" s="361" t="s">
        <v>253</v>
      </c>
      <c r="C343" s="361"/>
      <c r="D343" s="361"/>
      <c r="E343" s="361"/>
      <c r="F343" s="361"/>
      <c r="G343" s="242"/>
      <c r="H343" s="242"/>
      <c r="I343" s="104"/>
      <c r="J343" s="104"/>
      <c r="K343" s="243"/>
      <c r="L343" s="240">
        <f t="shared" si="6"/>
        <v>0</v>
      </c>
      <c r="O343" s="40"/>
    </row>
    <row r="344" spans="1:20" s="160" customFormat="1" ht="18" customHeight="1" x14ac:dyDescent="0.2">
      <c r="A344" s="186"/>
      <c r="B344" s="67"/>
      <c r="C344" s="164"/>
      <c r="D344" s="164"/>
      <c r="E344" s="164"/>
      <c r="F344" s="164"/>
      <c r="G344" s="164"/>
      <c r="H344" s="164"/>
      <c r="I344" s="164"/>
      <c r="J344" s="164"/>
      <c r="K344" s="164"/>
      <c r="L344" s="164"/>
      <c r="O344" s="158"/>
    </row>
    <row r="345" spans="1:20" s="44" customFormat="1" ht="15.75" customHeight="1" x14ac:dyDescent="0.2">
      <c r="A345" s="54" t="s">
        <v>617</v>
      </c>
      <c r="B345" s="187" t="s">
        <v>564</v>
      </c>
      <c r="C345" s="188"/>
      <c r="D345" s="188"/>
      <c r="E345" s="188"/>
      <c r="F345" s="188"/>
      <c r="G345" s="84"/>
      <c r="H345" s="189"/>
      <c r="I345" s="190"/>
      <c r="J345" s="190"/>
      <c r="K345" s="190"/>
      <c r="L345" s="191"/>
    </row>
    <row r="346" spans="1:20" s="39" customFormat="1" ht="15.75" customHeight="1" x14ac:dyDescent="0.2">
      <c r="A346" s="86"/>
      <c r="B346" s="292" t="s">
        <v>565</v>
      </c>
      <c r="C346" s="292"/>
      <c r="D346" s="292"/>
      <c r="E346" s="292"/>
      <c r="F346" s="292"/>
      <c r="G346" s="292" t="s">
        <v>16</v>
      </c>
      <c r="H346" s="292"/>
      <c r="I346" s="292"/>
      <c r="J346" s="292"/>
      <c r="K346" s="292"/>
      <c r="L346" s="292"/>
      <c r="O346" s="40"/>
    </row>
    <row r="347" spans="1:20" s="39" customFormat="1" ht="30" x14ac:dyDescent="0.2">
      <c r="A347" s="45"/>
      <c r="B347" s="292"/>
      <c r="C347" s="292"/>
      <c r="D347" s="292"/>
      <c r="E347" s="292"/>
      <c r="F347" s="292"/>
      <c r="G347" s="223" t="s">
        <v>238</v>
      </c>
      <c r="H347" s="223" t="s">
        <v>239</v>
      </c>
      <c r="I347" s="223" t="s">
        <v>240</v>
      </c>
      <c r="J347" s="223" t="s">
        <v>241</v>
      </c>
      <c r="K347" s="223" t="s">
        <v>242</v>
      </c>
      <c r="L347" s="223" t="s">
        <v>14</v>
      </c>
      <c r="O347" s="40"/>
    </row>
    <row r="348" spans="1:20" s="193" customFormat="1" ht="14.25" x14ac:dyDescent="0.2">
      <c r="A348" s="194"/>
      <c r="B348" s="291" t="s">
        <v>566</v>
      </c>
      <c r="C348" s="291"/>
      <c r="D348" s="291"/>
      <c r="E348" s="291"/>
      <c r="F348" s="291"/>
      <c r="G348" s="200"/>
      <c r="H348" s="200"/>
      <c r="I348" s="200"/>
      <c r="J348" s="200"/>
      <c r="K348" s="200"/>
      <c r="L348" s="240">
        <f>SUM(G348:K348)</f>
        <v>0</v>
      </c>
    </row>
    <row r="349" spans="1:20" s="193" customFormat="1" ht="14.25" x14ac:dyDescent="0.2">
      <c r="A349" s="194"/>
      <c r="B349" s="291" t="s">
        <v>567</v>
      </c>
      <c r="C349" s="291"/>
      <c r="D349" s="291"/>
      <c r="E349" s="291"/>
      <c r="F349" s="291"/>
      <c r="G349" s="200"/>
      <c r="H349" s="200"/>
      <c r="I349" s="200"/>
      <c r="J349" s="200"/>
      <c r="K349" s="200"/>
      <c r="L349" s="240">
        <f>SUM(G349:K349)</f>
        <v>0</v>
      </c>
    </row>
    <row r="350" spans="1:20" s="39" customFormat="1" x14ac:dyDescent="0.2">
      <c r="A350" s="45"/>
      <c r="B350" s="19"/>
      <c r="C350" s="19"/>
      <c r="D350" s="19"/>
      <c r="E350" s="19"/>
      <c r="F350" s="19"/>
      <c r="G350" s="19"/>
      <c r="H350" s="19"/>
      <c r="I350" s="19"/>
      <c r="J350" s="19"/>
      <c r="K350" s="19"/>
      <c r="L350" s="19"/>
      <c r="M350" s="19"/>
      <c r="N350" s="19"/>
      <c r="O350" s="32"/>
      <c r="P350" s="19"/>
      <c r="Q350" s="19"/>
      <c r="R350" s="19"/>
      <c r="S350" s="19"/>
      <c r="T350" s="19"/>
    </row>
    <row r="351" spans="1:20" s="39" customFormat="1" x14ac:dyDescent="0.2">
      <c r="A351" s="45" t="s">
        <v>618</v>
      </c>
      <c r="B351" s="38" t="s">
        <v>568</v>
      </c>
      <c r="C351" s="19"/>
      <c r="D351" s="19"/>
      <c r="E351" s="19"/>
      <c r="F351" s="19"/>
      <c r="G351" s="84"/>
      <c r="H351" s="19"/>
      <c r="I351" s="19"/>
      <c r="J351" s="19"/>
      <c r="K351" s="19"/>
      <c r="L351" s="19"/>
      <c r="M351" s="19"/>
      <c r="N351" s="19"/>
      <c r="O351" s="32"/>
      <c r="P351" s="19"/>
      <c r="Q351" s="19"/>
      <c r="R351" s="19"/>
      <c r="S351" s="19"/>
      <c r="T351" s="19"/>
    </row>
    <row r="352" spans="1:20" s="39" customFormat="1" ht="15.75" customHeight="1" x14ac:dyDescent="0.2">
      <c r="B352" s="292" t="s">
        <v>7</v>
      </c>
      <c r="C352" s="292"/>
      <c r="D352" s="292"/>
      <c r="E352" s="292"/>
      <c r="F352" s="292"/>
      <c r="G352" s="292" t="s">
        <v>16</v>
      </c>
      <c r="H352" s="292"/>
      <c r="I352" s="292"/>
      <c r="J352" s="292"/>
      <c r="K352" s="292"/>
      <c r="L352" s="292"/>
      <c r="M352" s="292"/>
      <c r="N352" s="292"/>
      <c r="O352" s="40"/>
    </row>
    <row r="353" spans="1:27" s="39" customFormat="1" ht="45" x14ac:dyDescent="0.2">
      <c r="B353" s="292"/>
      <c r="C353" s="292"/>
      <c r="D353" s="292"/>
      <c r="E353" s="292"/>
      <c r="F353" s="292"/>
      <c r="G353" s="223" t="s">
        <v>238</v>
      </c>
      <c r="H353" s="223" t="s">
        <v>239</v>
      </c>
      <c r="I353" s="223" t="s">
        <v>240</v>
      </c>
      <c r="J353" s="223" t="s">
        <v>254</v>
      </c>
      <c r="K353" s="223" t="s">
        <v>255</v>
      </c>
      <c r="L353" s="223" t="s">
        <v>256</v>
      </c>
      <c r="M353" s="223" t="s">
        <v>242</v>
      </c>
      <c r="N353" s="223" t="s">
        <v>14</v>
      </c>
      <c r="O353" s="40"/>
    </row>
    <row r="354" spans="1:27" s="39" customFormat="1" ht="15" customHeight="1" x14ac:dyDescent="0.2">
      <c r="B354" s="293" t="s">
        <v>569</v>
      </c>
      <c r="C354" s="293"/>
      <c r="D354" s="293"/>
      <c r="E354" s="293"/>
      <c r="F354" s="293"/>
      <c r="G354" s="106"/>
      <c r="H354" s="107"/>
      <c r="I354" s="107"/>
      <c r="J354" s="107"/>
      <c r="K354" s="192"/>
      <c r="L354" s="107"/>
      <c r="M354" s="107"/>
      <c r="N354" s="246"/>
      <c r="O354" s="40"/>
    </row>
    <row r="355" spans="1:27" s="42" customFormat="1" ht="12.75" x14ac:dyDescent="0.2">
      <c r="B355" s="291" t="s">
        <v>257</v>
      </c>
      <c r="C355" s="291"/>
      <c r="D355" s="291"/>
      <c r="E355" s="291"/>
      <c r="F355" s="291"/>
      <c r="G355" s="200"/>
      <c r="H355" s="200"/>
      <c r="I355" s="200"/>
      <c r="J355" s="200"/>
      <c r="K355" s="200"/>
      <c r="L355" s="200"/>
      <c r="M355" s="200"/>
      <c r="N355" s="247">
        <f>SUM(G355:M355)</f>
        <v>0</v>
      </c>
      <c r="O355" s="43"/>
    </row>
    <row r="356" spans="1:27" s="39" customFormat="1" x14ac:dyDescent="0.25">
      <c r="A356" s="41"/>
      <c r="O356" s="32"/>
      <c r="S356" s="44"/>
    </row>
    <row r="357" spans="1:27" s="42" customFormat="1" ht="15.75" customHeight="1" x14ac:dyDescent="0.2">
      <c r="A357" s="156" t="s">
        <v>619</v>
      </c>
      <c r="B357" s="105" t="s">
        <v>570</v>
      </c>
      <c r="C357" s="156"/>
      <c r="D357" s="108"/>
      <c r="E357" s="109"/>
      <c r="F357" s="110"/>
      <c r="G357" s="84"/>
      <c r="H357" s="111"/>
      <c r="I357" s="111"/>
      <c r="J357" s="112"/>
      <c r="K357" s="113"/>
      <c r="L357" s="113"/>
      <c r="M357" s="113"/>
      <c r="N357" s="114"/>
      <c r="O357" s="43"/>
    </row>
    <row r="358" spans="1:27" s="42" customFormat="1" ht="15" customHeight="1" x14ac:dyDescent="0.2">
      <c r="B358" s="371" t="s">
        <v>271</v>
      </c>
      <c r="C358" s="372"/>
      <c r="D358" s="372"/>
      <c r="E358" s="372"/>
      <c r="F358" s="373"/>
      <c r="G358" s="389" t="s">
        <v>16</v>
      </c>
      <c r="H358" s="390"/>
      <c r="I358" s="390"/>
      <c r="J358" s="390"/>
      <c r="K358" s="390"/>
      <c r="L358" s="390"/>
      <c r="M358" s="390"/>
      <c r="N358" s="391"/>
      <c r="O358" s="43"/>
    </row>
    <row r="359" spans="1:27" s="42" customFormat="1" ht="45" x14ac:dyDescent="0.2">
      <c r="A359" s="156"/>
      <c r="B359" s="374"/>
      <c r="C359" s="375"/>
      <c r="D359" s="375"/>
      <c r="E359" s="375"/>
      <c r="F359" s="376"/>
      <c r="G359" s="223" t="s">
        <v>238</v>
      </c>
      <c r="H359" s="223" t="s">
        <v>239</v>
      </c>
      <c r="I359" s="223" t="s">
        <v>240</v>
      </c>
      <c r="J359" s="223" t="s">
        <v>603</v>
      </c>
      <c r="K359" s="223" t="s">
        <v>604</v>
      </c>
      <c r="L359" s="223" t="s">
        <v>256</v>
      </c>
      <c r="M359" s="223" t="s">
        <v>242</v>
      </c>
      <c r="N359" s="223" t="s">
        <v>14</v>
      </c>
      <c r="O359" s="43"/>
    </row>
    <row r="360" spans="1:27" s="42" customFormat="1" ht="12.75" x14ac:dyDescent="0.2">
      <c r="B360" s="392" t="s">
        <v>566</v>
      </c>
      <c r="C360" s="393"/>
      <c r="D360" s="393"/>
      <c r="E360" s="393"/>
      <c r="F360" s="394"/>
      <c r="G360" s="200"/>
      <c r="H360" s="200"/>
      <c r="I360" s="200"/>
      <c r="J360" s="200"/>
      <c r="K360" s="200"/>
      <c r="L360" s="200"/>
      <c r="M360" s="200"/>
      <c r="N360" s="247">
        <f>SUM(G360:M360)</f>
        <v>0</v>
      </c>
      <c r="O360" s="43"/>
    </row>
    <row r="361" spans="1:27" s="42" customFormat="1" ht="12.75" x14ac:dyDescent="0.2">
      <c r="B361" s="392" t="s">
        <v>571</v>
      </c>
      <c r="C361" s="393"/>
      <c r="D361" s="393"/>
      <c r="E361" s="393"/>
      <c r="F361" s="394"/>
      <c r="G361" s="200"/>
      <c r="H361" s="200"/>
      <c r="I361" s="200"/>
      <c r="J361" s="200"/>
      <c r="K361" s="200"/>
      <c r="L361" s="200"/>
      <c r="M361" s="200"/>
      <c r="N361" s="247">
        <f>SUM(G361:M361)</f>
        <v>0</v>
      </c>
      <c r="O361" s="43"/>
    </row>
    <row r="362" spans="1:27" s="157" customFormat="1" x14ac:dyDescent="0.2">
      <c r="A362" s="165"/>
      <c r="D362" s="160"/>
      <c r="E362" s="160"/>
      <c r="G362" s="84"/>
      <c r="O362" s="161"/>
    </row>
    <row r="363" spans="1:27" s="50" customFormat="1" ht="18" customHeight="1" x14ac:dyDescent="0.2">
      <c r="A363" s="156"/>
      <c r="B363" s="67" t="s">
        <v>576</v>
      </c>
      <c r="C363" s="156"/>
      <c r="O363" s="52"/>
      <c r="Q363" s="157"/>
      <c r="S363" s="157"/>
      <c r="T363" s="157"/>
      <c r="U363" s="55"/>
      <c r="V363" s="55"/>
      <c r="W363" s="55"/>
      <c r="X363" s="55"/>
      <c r="Y363" s="55"/>
      <c r="Z363" s="55"/>
      <c r="AA363" s="55"/>
    </row>
    <row r="364" spans="1:27" s="39" customFormat="1" ht="18" customHeight="1" x14ac:dyDescent="0.2">
      <c r="A364" s="156" t="s">
        <v>620</v>
      </c>
      <c r="B364" s="395"/>
      <c r="C364" s="396"/>
      <c r="D364" s="396"/>
      <c r="E364" s="396"/>
      <c r="F364" s="397"/>
      <c r="G364" s="368" t="s">
        <v>16</v>
      </c>
      <c r="H364" s="369"/>
      <c r="I364" s="369"/>
      <c r="J364" s="370"/>
      <c r="L364" s="50"/>
      <c r="M364" s="50"/>
      <c r="N364" s="115"/>
      <c r="O364" s="116"/>
      <c r="P364" s="46"/>
      <c r="Q364" s="50"/>
      <c r="R364" s="50"/>
    </row>
    <row r="365" spans="1:27" s="39" customFormat="1" ht="30" x14ac:dyDescent="0.2">
      <c r="A365" s="156"/>
      <c r="B365" s="398"/>
      <c r="C365" s="399"/>
      <c r="D365" s="399"/>
      <c r="E365" s="399"/>
      <c r="F365" s="400"/>
      <c r="G365" s="197" t="s">
        <v>258</v>
      </c>
      <c r="H365" s="197" t="s">
        <v>241</v>
      </c>
      <c r="I365" s="197" t="s">
        <v>242</v>
      </c>
      <c r="J365" s="197" t="s">
        <v>14</v>
      </c>
      <c r="L365" s="50"/>
      <c r="M365" s="50"/>
      <c r="N365" s="115"/>
      <c r="O365" s="116"/>
      <c r="P365" s="46"/>
      <c r="Q365" s="50"/>
      <c r="R365" s="50"/>
    </row>
    <row r="366" spans="1:27" s="39" customFormat="1" ht="18" customHeight="1" x14ac:dyDescent="0.2">
      <c r="B366" s="362" t="s">
        <v>259</v>
      </c>
      <c r="C366" s="363"/>
      <c r="D366" s="363"/>
      <c r="E366" s="363"/>
      <c r="F366" s="364"/>
      <c r="G366" s="117">
        <f>SUM(G367:G369)</f>
        <v>0</v>
      </c>
      <c r="H366" s="117">
        <f t="shared" ref="H366:J366" si="7">SUM(H367:H369)</f>
        <v>0</v>
      </c>
      <c r="I366" s="117">
        <f t="shared" si="7"/>
        <v>0</v>
      </c>
      <c r="J366" s="117">
        <f t="shared" si="7"/>
        <v>0</v>
      </c>
      <c r="L366" s="50"/>
      <c r="M366" s="50"/>
      <c r="N366" s="115"/>
      <c r="O366" s="116"/>
      <c r="P366" s="46"/>
      <c r="Q366" s="50"/>
      <c r="R366" s="50"/>
    </row>
    <row r="367" spans="1:27" s="39" customFormat="1" ht="15" customHeight="1" x14ac:dyDescent="0.2">
      <c r="A367" s="86"/>
      <c r="B367" s="358" t="s">
        <v>260</v>
      </c>
      <c r="C367" s="359"/>
      <c r="D367" s="359"/>
      <c r="E367" s="359"/>
      <c r="F367" s="360"/>
      <c r="G367" s="220"/>
      <c r="H367" s="220"/>
      <c r="I367" s="220"/>
      <c r="J367" s="248">
        <f>SUM(G367:I367)</f>
        <v>0</v>
      </c>
      <c r="L367" s="50"/>
      <c r="M367" s="50"/>
      <c r="N367" s="115"/>
      <c r="O367" s="116"/>
      <c r="P367" s="46"/>
      <c r="Q367" s="50"/>
      <c r="R367" s="50"/>
    </row>
    <row r="368" spans="1:27" s="39" customFormat="1" ht="15" customHeight="1" x14ac:dyDescent="0.2">
      <c r="A368" s="86"/>
      <c r="B368" s="358" t="s">
        <v>261</v>
      </c>
      <c r="C368" s="359"/>
      <c r="D368" s="359"/>
      <c r="E368" s="359"/>
      <c r="F368" s="360"/>
      <c r="G368" s="220"/>
      <c r="H368" s="220"/>
      <c r="I368" s="220"/>
      <c r="J368" s="248">
        <f t="shared" ref="J368:J369" si="8">SUM(G368:I368)</f>
        <v>0</v>
      </c>
      <c r="L368" s="50"/>
      <c r="M368" s="50"/>
      <c r="N368" s="115"/>
      <c r="O368" s="116"/>
      <c r="P368" s="46"/>
      <c r="Q368" s="50"/>
      <c r="R368" s="50"/>
    </row>
    <row r="369" spans="1:20" s="39" customFormat="1" ht="15" customHeight="1" x14ac:dyDescent="0.2">
      <c r="A369" s="86"/>
      <c r="B369" s="358" t="s">
        <v>262</v>
      </c>
      <c r="C369" s="359"/>
      <c r="D369" s="359"/>
      <c r="E369" s="359"/>
      <c r="F369" s="360"/>
      <c r="G369" s="220"/>
      <c r="H369" s="220"/>
      <c r="I369" s="220"/>
      <c r="J369" s="248">
        <f t="shared" si="8"/>
        <v>0</v>
      </c>
      <c r="L369" s="50"/>
      <c r="M369" s="50"/>
      <c r="N369" s="115"/>
      <c r="O369" s="116"/>
      <c r="P369" s="46"/>
      <c r="Q369" s="50"/>
      <c r="R369" s="50"/>
    </row>
    <row r="370" spans="1:20" s="39" customFormat="1" ht="18" customHeight="1" x14ac:dyDescent="0.2">
      <c r="A370" s="86"/>
      <c r="B370" s="362" t="s">
        <v>263</v>
      </c>
      <c r="C370" s="363"/>
      <c r="D370" s="363"/>
      <c r="E370" s="363"/>
      <c r="F370" s="364"/>
      <c r="G370" s="117">
        <f>SUM(G371:G376)</f>
        <v>0</v>
      </c>
      <c r="H370" s="117">
        <f t="shared" ref="H370:J370" si="9">SUM(H371:H376)</f>
        <v>0</v>
      </c>
      <c r="I370" s="117">
        <f t="shared" si="9"/>
        <v>0</v>
      </c>
      <c r="J370" s="117">
        <f t="shared" si="9"/>
        <v>0</v>
      </c>
      <c r="L370" s="50"/>
      <c r="M370" s="50"/>
      <c r="N370" s="115"/>
      <c r="O370" s="116"/>
      <c r="P370" s="46"/>
      <c r="Q370" s="50"/>
      <c r="R370" s="50"/>
    </row>
    <row r="371" spans="1:20" s="39" customFormat="1" ht="15" customHeight="1" x14ac:dyDescent="0.2">
      <c r="A371" s="86"/>
      <c r="B371" s="304" t="s">
        <v>264</v>
      </c>
      <c r="C371" s="305"/>
      <c r="D371" s="305"/>
      <c r="E371" s="305"/>
      <c r="F371" s="306"/>
      <c r="G371" s="220"/>
      <c r="H371" s="220"/>
      <c r="I371" s="220"/>
      <c r="J371" s="248">
        <f t="shared" ref="J371:J376" si="10">SUM(G371:I371)</f>
        <v>0</v>
      </c>
      <c r="L371" s="50"/>
      <c r="M371" s="50"/>
      <c r="N371" s="115"/>
      <c r="O371" s="116"/>
      <c r="P371" s="46"/>
      <c r="Q371" s="50"/>
      <c r="R371" s="50"/>
    </row>
    <row r="372" spans="1:20" s="39" customFormat="1" ht="15" customHeight="1" x14ac:dyDescent="0.2">
      <c r="A372" s="86"/>
      <c r="B372" s="304" t="s">
        <v>265</v>
      </c>
      <c r="C372" s="305"/>
      <c r="D372" s="305"/>
      <c r="E372" s="305"/>
      <c r="F372" s="306"/>
      <c r="G372" s="220"/>
      <c r="H372" s="220"/>
      <c r="I372" s="220"/>
      <c r="J372" s="248">
        <f t="shared" si="10"/>
        <v>0</v>
      </c>
      <c r="L372" s="50"/>
      <c r="M372" s="50"/>
      <c r="N372" s="115"/>
      <c r="O372" s="116"/>
      <c r="P372" s="46"/>
      <c r="Q372" s="50"/>
      <c r="R372" s="50"/>
    </row>
    <row r="373" spans="1:20" s="39" customFormat="1" ht="15" customHeight="1" x14ac:dyDescent="0.2">
      <c r="A373" s="86"/>
      <c r="B373" s="304" t="s">
        <v>266</v>
      </c>
      <c r="C373" s="305"/>
      <c r="D373" s="305"/>
      <c r="E373" s="305"/>
      <c r="F373" s="306"/>
      <c r="G373" s="220"/>
      <c r="H373" s="220"/>
      <c r="I373" s="220"/>
      <c r="J373" s="248">
        <f t="shared" si="10"/>
        <v>0</v>
      </c>
      <c r="L373" s="50"/>
      <c r="M373" s="50"/>
      <c r="N373" s="115"/>
      <c r="O373" s="116"/>
      <c r="P373" s="46"/>
      <c r="Q373" s="50"/>
      <c r="R373" s="50"/>
    </row>
    <row r="374" spans="1:20" s="39" customFormat="1" ht="15" customHeight="1" x14ac:dyDescent="0.2">
      <c r="A374" s="86"/>
      <c r="B374" s="304" t="s">
        <v>267</v>
      </c>
      <c r="C374" s="305"/>
      <c r="D374" s="305"/>
      <c r="E374" s="305"/>
      <c r="F374" s="306"/>
      <c r="G374" s="220"/>
      <c r="H374" s="220"/>
      <c r="I374" s="220"/>
      <c r="J374" s="248">
        <f t="shared" si="10"/>
        <v>0</v>
      </c>
      <c r="L374" s="50"/>
      <c r="M374" s="50"/>
      <c r="N374" s="115"/>
      <c r="O374" s="116"/>
      <c r="P374" s="46"/>
      <c r="Q374" s="50"/>
      <c r="R374" s="50"/>
    </row>
    <row r="375" spans="1:20" s="39" customFormat="1" ht="15" customHeight="1" x14ac:dyDescent="0.2">
      <c r="A375" s="86"/>
      <c r="B375" s="304" t="s">
        <v>268</v>
      </c>
      <c r="C375" s="305"/>
      <c r="D375" s="305"/>
      <c r="E375" s="305"/>
      <c r="F375" s="306"/>
      <c r="G375" s="220"/>
      <c r="H375" s="220"/>
      <c r="I375" s="220"/>
      <c r="J375" s="248">
        <f t="shared" si="10"/>
        <v>0</v>
      </c>
      <c r="L375" s="50"/>
      <c r="M375" s="50"/>
      <c r="N375" s="115"/>
      <c r="O375" s="116"/>
      <c r="P375" s="46"/>
      <c r="Q375" s="50"/>
      <c r="R375" s="50"/>
    </row>
    <row r="376" spans="1:20" s="39" customFormat="1" ht="15" customHeight="1" x14ac:dyDescent="0.2">
      <c r="A376" s="86"/>
      <c r="B376" s="304" t="s">
        <v>269</v>
      </c>
      <c r="C376" s="305"/>
      <c r="D376" s="305"/>
      <c r="E376" s="305"/>
      <c r="F376" s="306"/>
      <c r="G376" s="220"/>
      <c r="H376" s="220"/>
      <c r="I376" s="220"/>
      <c r="J376" s="248">
        <f t="shared" si="10"/>
        <v>0</v>
      </c>
      <c r="L376" s="50"/>
      <c r="M376" s="50"/>
      <c r="N376" s="115"/>
      <c r="O376" s="116"/>
      <c r="P376" s="46"/>
      <c r="Q376" s="50"/>
      <c r="R376" s="50"/>
    </row>
    <row r="377" spans="1:20" s="50" customFormat="1" ht="18" customHeight="1" x14ac:dyDescent="0.2">
      <c r="A377" s="156"/>
      <c r="B377" s="157"/>
      <c r="C377" s="157"/>
      <c r="E377" s="157"/>
      <c r="F377" s="157"/>
      <c r="G377" s="157"/>
      <c r="H377" s="157"/>
      <c r="I377" s="157"/>
      <c r="J377" s="157"/>
      <c r="K377" s="157"/>
      <c r="L377" s="157"/>
      <c r="M377" s="157"/>
      <c r="N377" s="157"/>
      <c r="O377" s="161"/>
      <c r="P377" s="157"/>
    </row>
    <row r="378" spans="1:20" s="44" customFormat="1" x14ac:dyDescent="0.2">
      <c r="A378" s="54"/>
      <c r="B378" s="179" t="s">
        <v>270</v>
      </c>
      <c r="C378" s="180"/>
      <c r="D378" s="165"/>
      <c r="E378" s="181"/>
      <c r="F378" s="182"/>
      <c r="G378" s="84"/>
      <c r="H378" s="182"/>
      <c r="I378" s="182"/>
      <c r="J378" s="182"/>
      <c r="L378" s="157"/>
      <c r="M378" s="157"/>
      <c r="N378" s="178"/>
      <c r="O378" s="68"/>
      <c r="P378" s="76"/>
      <c r="Q378" s="157"/>
      <c r="R378" s="157"/>
    </row>
    <row r="379" spans="1:20" s="39" customFormat="1" ht="27" customHeight="1" x14ac:dyDescent="0.2">
      <c r="A379" s="156" t="s">
        <v>621</v>
      </c>
      <c r="B379" s="365" t="s">
        <v>271</v>
      </c>
      <c r="C379" s="366"/>
      <c r="D379" s="366"/>
      <c r="E379" s="366"/>
      <c r="F379" s="367"/>
      <c r="G379" s="198" t="s">
        <v>572</v>
      </c>
      <c r="H379" s="198" t="s">
        <v>241</v>
      </c>
      <c r="I379" s="198" t="s">
        <v>242</v>
      </c>
      <c r="J379" s="198" t="s">
        <v>14</v>
      </c>
      <c r="L379" s="50"/>
      <c r="M379" s="50"/>
      <c r="N379" s="115"/>
      <c r="O379" s="116"/>
      <c r="P379" s="46"/>
      <c r="Q379" s="50"/>
      <c r="R379" s="50"/>
    </row>
    <row r="380" spans="1:20" s="39" customFormat="1" ht="15" x14ac:dyDescent="0.2">
      <c r="A380" s="86"/>
      <c r="B380" s="355" t="s">
        <v>573</v>
      </c>
      <c r="C380" s="356"/>
      <c r="D380" s="356"/>
      <c r="E380" s="356"/>
      <c r="F380" s="357"/>
      <c r="G380" s="104"/>
      <c r="H380" s="104"/>
      <c r="I380" s="104"/>
      <c r="J380" s="248">
        <f t="shared" ref="J380:J381" si="11">SUM(G380:I380)</f>
        <v>0</v>
      </c>
      <c r="L380" s="50"/>
      <c r="M380" s="50"/>
      <c r="N380" s="115"/>
      <c r="O380" s="116"/>
      <c r="P380" s="46"/>
      <c r="Q380" s="50"/>
      <c r="R380" s="50"/>
    </row>
    <row r="381" spans="1:20" s="39" customFormat="1" ht="15" x14ac:dyDescent="0.2">
      <c r="A381" s="86"/>
      <c r="B381" s="355" t="s">
        <v>574</v>
      </c>
      <c r="C381" s="356"/>
      <c r="D381" s="356"/>
      <c r="E381" s="356"/>
      <c r="F381" s="357"/>
      <c r="G381" s="104"/>
      <c r="H381" s="104"/>
      <c r="I381" s="104"/>
      <c r="J381" s="248">
        <f t="shared" si="11"/>
        <v>0</v>
      </c>
      <c r="L381" s="50"/>
      <c r="M381" s="50"/>
      <c r="N381" s="115"/>
      <c r="O381" s="116"/>
      <c r="P381" s="46"/>
      <c r="Q381" s="50"/>
      <c r="R381" s="50"/>
    </row>
    <row r="382" spans="1:20" s="50" customFormat="1" x14ac:dyDescent="0.2">
      <c r="A382" s="156"/>
      <c r="B382" s="157"/>
      <c r="C382" s="157"/>
      <c r="O382" s="52"/>
    </row>
    <row r="383" spans="1:20" s="69" customFormat="1" x14ac:dyDescent="0.2">
      <c r="A383" s="156"/>
      <c r="B383" s="67" t="s">
        <v>577</v>
      </c>
      <c r="D383" s="164"/>
      <c r="E383" s="156"/>
      <c r="F383" s="159"/>
      <c r="G383" s="159"/>
      <c r="H383" s="159"/>
      <c r="I383" s="159"/>
      <c r="J383" s="159"/>
      <c r="K383" s="159"/>
      <c r="L383" s="159"/>
      <c r="M383" s="159"/>
      <c r="N383" s="159"/>
      <c r="O383" s="159"/>
      <c r="P383" s="159"/>
      <c r="Q383" s="159"/>
      <c r="R383" s="159"/>
      <c r="S383" s="159"/>
      <c r="T383" s="159"/>
    </row>
    <row r="384" spans="1:20" s="71" customFormat="1" ht="18" customHeight="1" x14ac:dyDescent="0.2">
      <c r="A384" s="156" t="s">
        <v>622</v>
      </c>
      <c r="B384" s="318" t="s">
        <v>4</v>
      </c>
      <c r="C384" s="319"/>
      <c r="D384" s="320"/>
      <c r="E384" s="327" t="s">
        <v>272</v>
      </c>
      <c r="F384" s="328"/>
      <c r="G384" s="328"/>
      <c r="H384" s="328"/>
      <c r="I384" s="328"/>
      <c r="J384" s="328"/>
      <c r="K384" s="328"/>
      <c r="L384" s="328"/>
      <c r="M384" s="328"/>
      <c r="N384" s="328"/>
      <c r="O384" s="328"/>
      <c r="P384" s="328"/>
      <c r="Q384" s="328"/>
      <c r="R384" s="328"/>
      <c r="S384" s="328"/>
      <c r="T384" s="329"/>
    </row>
    <row r="385" spans="1:20" s="71" customFormat="1" ht="18" customHeight="1" x14ac:dyDescent="0.2">
      <c r="A385" s="165"/>
      <c r="B385" s="321"/>
      <c r="C385" s="322"/>
      <c r="D385" s="323"/>
      <c r="E385" s="327" t="s">
        <v>14</v>
      </c>
      <c r="F385" s="329"/>
      <c r="G385" s="327" t="s">
        <v>203</v>
      </c>
      <c r="H385" s="329"/>
      <c r="I385" s="327" t="s">
        <v>234</v>
      </c>
      <c r="J385" s="329"/>
      <c r="K385" s="327" t="s">
        <v>35</v>
      </c>
      <c r="L385" s="329"/>
      <c r="M385" s="327" t="s">
        <v>36</v>
      </c>
      <c r="N385" s="329"/>
      <c r="O385" s="327" t="s">
        <v>37</v>
      </c>
      <c r="P385" s="329"/>
      <c r="Q385" s="327" t="s">
        <v>38</v>
      </c>
      <c r="R385" s="329"/>
      <c r="S385" s="327" t="s">
        <v>55</v>
      </c>
      <c r="T385" s="329"/>
    </row>
    <row r="386" spans="1:20" s="71" customFormat="1" ht="18" customHeight="1" x14ac:dyDescent="0.2">
      <c r="A386" s="165"/>
      <c r="B386" s="324"/>
      <c r="C386" s="325"/>
      <c r="D386" s="326"/>
      <c r="E386" s="196" t="s">
        <v>172</v>
      </c>
      <c r="F386" s="196" t="s">
        <v>173</v>
      </c>
      <c r="G386" s="196" t="s">
        <v>172</v>
      </c>
      <c r="H386" s="196" t="s">
        <v>173</v>
      </c>
      <c r="I386" s="196" t="s">
        <v>172</v>
      </c>
      <c r="J386" s="196" t="s">
        <v>173</v>
      </c>
      <c r="K386" s="196" t="s">
        <v>172</v>
      </c>
      <c r="L386" s="196" t="s">
        <v>173</v>
      </c>
      <c r="M386" s="196" t="s">
        <v>172</v>
      </c>
      <c r="N386" s="196" t="s">
        <v>173</v>
      </c>
      <c r="O386" s="196" t="s">
        <v>172</v>
      </c>
      <c r="P386" s="196" t="s">
        <v>173</v>
      </c>
      <c r="Q386" s="196" t="s">
        <v>172</v>
      </c>
      <c r="R386" s="196" t="s">
        <v>173</v>
      </c>
      <c r="S386" s="196" t="s">
        <v>172</v>
      </c>
      <c r="T386" s="196" t="s">
        <v>173</v>
      </c>
    </row>
    <row r="387" spans="1:20" s="71" customFormat="1" x14ac:dyDescent="0.2">
      <c r="A387" s="165"/>
      <c r="B387" s="428" t="s">
        <v>273</v>
      </c>
      <c r="C387" s="429"/>
      <c r="D387" s="430"/>
      <c r="E387" s="201">
        <f>G387+I387+K387+M387+O387+Q387+S387</f>
        <v>0</v>
      </c>
      <c r="F387" s="201">
        <f>H387+J387+L387+N387+P387+R387+T387</f>
        <v>0</v>
      </c>
      <c r="G387" s="202"/>
      <c r="H387" s="202"/>
      <c r="I387" s="202"/>
      <c r="J387" s="202"/>
      <c r="K387" s="202"/>
      <c r="L387" s="202"/>
      <c r="M387" s="202"/>
      <c r="N387" s="202"/>
      <c r="O387" s="202"/>
      <c r="P387" s="202"/>
      <c r="Q387" s="202"/>
      <c r="R387" s="202"/>
      <c r="S387" s="202"/>
      <c r="T387" s="202"/>
    </row>
    <row r="388" spans="1:20" s="71" customFormat="1" ht="18" customHeight="1" x14ac:dyDescent="0.2">
      <c r="A388" s="165"/>
      <c r="B388" s="118"/>
      <c r="C388" s="118"/>
      <c r="D388" s="118"/>
      <c r="E388" s="118"/>
      <c r="F388" s="159"/>
      <c r="G388" s="159"/>
      <c r="H388" s="159"/>
      <c r="I388" s="159"/>
      <c r="J388" s="159"/>
      <c r="K388" s="159"/>
      <c r="L388" s="163"/>
      <c r="M388" s="163"/>
      <c r="N388" s="163"/>
      <c r="O388" s="54"/>
      <c r="P388" s="163"/>
      <c r="Q388" s="163"/>
      <c r="R388" s="163"/>
      <c r="S388" s="163"/>
      <c r="T388" s="163"/>
    </row>
    <row r="389" spans="1:20" s="91" customFormat="1" x14ac:dyDescent="0.2">
      <c r="A389" s="103"/>
      <c r="B389" s="67" t="s">
        <v>553</v>
      </c>
      <c r="D389" s="159"/>
      <c r="E389" s="159"/>
      <c r="F389" s="159"/>
      <c r="G389" s="159"/>
      <c r="H389" s="159"/>
      <c r="I389" s="159"/>
      <c r="J389" s="159"/>
      <c r="K389" s="159"/>
    </row>
    <row r="390" spans="1:20" s="52" customFormat="1" x14ac:dyDescent="0.2">
      <c r="A390" s="156" t="s">
        <v>623</v>
      </c>
      <c r="B390" s="330" t="s">
        <v>275</v>
      </c>
      <c r="C390" s="331"/>
      <c r="D390" s="334" t="s">
        <v>276</v>
      </c>
      <c r="E390" s="335"/>
      <c r="F390" s="335"/>
      <c r="G390" s="335"/>
      <c r="H390" s="335"/>
      <c r="I390" s="336"/>
      <c r="J390" s="334" t="s">
        <v>277</v>
      </c>
      <c r="K390" s="335"/>
      <c r="L390" s="335"/>
      <c r="M390" s="335"/>
      <c r="N390" s="335"/>
      <c r="O390" s="336"/>
      <c r="P390" s="384" t="s">
        <v>278</v>
      </c>
      <c r="Q390" s="385"/>
    </row>
    <row r="391" spans="1:20" s="52" customFormat="1" x14ac:dyDescent="0.2">
      <c r="A391" s="156"/>
      <c r="B391" s="332"/>
      <c r="C391" s="333"/>
      <c r="D391" s="287" t="s">
        <v>279</v>
      </c>
      <c r="E391" s="288"/>
      <c r="F391" s="287" t="s">
        <v>280</v>
      </c>
      <c r="G391" s="288"/>
      <c r="H391" s="287" t="s">
        <v>281</v>
      </c>
      <c r="I391" s="288"/>
      <c r="J391" s="287" t="s">
        <v>279</v>
      </c>
      <c r="K391" s="288"/>
      <c r="L391" s="287" t="s">
        <v>280</v>
      </c>
      <c r="M391" s="288"/>
      <c r="N391" s="287" t="s">
        <v>281</v>
      </c>
      <c r="O391" s="288"/>
      <c r="P391" s="386"/>
      <c r="Q391" s="387"/>
    </row>
    <row r="392" spans="1:20" s="52" customFormat="1" x14ac:dyDescent="0.2">
      <c r="A392" s="156"/>
      <c r="B392" s="289" t="s">
        <v>282</v>
      </c>
      <c r="C392" s="290"/>
      <c r="D392" s="294"/>
      <c r="E392" s="295"/>
      <c r="F392" s="294"/>
      <c r="G392" s="295"/>
      <c r="H392" s="294"/>
      <c r="I392" s="295"/>
      <c r="J392" s="294"/>
      <c r="K392" s="295"/>
      <c r="L392" s="294"/>
      <c r="M392" s="295"/>
      <c r="N392" s="294"/>
      <c r="O392" s="295"/>
      <c r="P392" s="316">
        <f>SUM(D392:O392)</f>
        <v>0</v>
      </c>
      <c r="Q392" s="317"/>
    </row>
    <row r="393" spans="1:20" s="52" customFormat="1" x14ac:dyDescent="0.2">
      <c r="A393" s="156"/>
      <c r="B393" s="348" t="s">
        <v>283</v>
      </c>
      <c r="C393" s="349"/>
      <c r="D393" s="350"/>
      <c r="E393" s="351"/>
      <c r="F393" s="350"/>
      <c r="G393" s="351"/>
      <c r="H393" s="350"/>
      <c r="I393" s="351"/>
      <c r="J393" s="350"/>
      <c r="K393" s="351"/>
      <c r="L393" s="350"/>
      <c r="M393" s="351"/>
      <c r="N393" s="350"/>
      <c r="O393" s="351"/>
      <c r="P393" s="342">
        <f t="shared" ref="P393:P396" si="12">SUM(D393:O393)</f>
        <v>0</v>
      </c>
      <c r="Q393" s="343"/>
    </row>
    <row r="394" spans="1:20" s="52" customFormat="1" x14ac:dyDescent="0.2">
      <c r="A394" s="156"/>
      <c r="B394" s="348" t="s">
        <v>284</v>
      </c>
      <c r="C394" s="349"/>
      <c r="D394" s="350"/>
      <c r="E394" s="351"/>
      <c r="F394" s="350"/>
      <c r="G394" s="351"/>
      <c r="H394" s="350"/>
      <c r="I394" s="351"/>
      <c r="J394" s="350"/>
      <c r="K394" s="351"/>
      <c r="L394" s="350"/>
      <c r="M394" s="351"/>
      <c r="N394" s="350"/>
      <c r="O394" s="351"/>
      <c r="P394" s="342">
        <f t="shared" si="12"/>
        <v>0</v>
      </c>
      <c r="Q394" s="343"/>
    </row>
    <row r="395" spans="1:20" s="52" customFormat="1" x14ac:dyDescent="0.2">
      <c r="A395" s="156"/>
      <c r="B395" s="348" t="s">
        <v>35</v>
      </c>
      <c r="C395" s="349"/>
      <c r="D395" s="350"/>
      <c r="E395" s="351"/>
      <c r="F395" s="350"/>
      <c r="G395" s="351"/>
      <c r="H395" s="350"/>
      <c r="I395" s="351"/>
      <c r="J395" s="350"/>
      <c r="K395" s="351"/>
      <c r="L395" s="350"/>
      <c r="M395" s="351"/>
      <c r="N395" s="350"/>
      <c r="O395" s="351"/>
      <c r="P395" s="342">
        <f t="shared" si="12"/>
        <v>0</v>
      </c>
      <c r="Q395" s="343"/>
    </row>
    <row r="396" spans="1:20" s="52" customFormat="1" x14ac:dyDescent="0.2">
      <c r="A396" s="156"/>
      <c r="B396" s="348" t="s">
        <v>285</v>
      </c>
      <c r="C396" s="349"/>
      <c r="D396" s="350"/>
      <c r="E396" s="351"/>
      <c r="F396" s="350"/>
      <c r="G396" s="351"/>
      <c r="H396" s="350"/>
      <c r="I396" s="351"/>
      <c r="J396" s="350"/>
      <c r="K396" s="351"/>
      <c r="L396" s="350"/>
      <c r="M396" s="351"/>
      <c r="N396" s="350"/>
      <c r="O396" s="351"/>
      <c r="P396" s="342">
        <f t="shared" si="12"/>
        <v>0</v>
      </c>
      <c r="Q396" s="343"/>
    </row>
    <row r="397" spans="1:20" s="52" customFormat="1" x14ac:dyDescent="0.2">
      <c r="A397" s="156"/>
      <c r="B397" s="352" t="s">
        <v>286</v>
      </c>
      <c r="C397" s="353"/>
      <c r="D397" s="344"/>
      <c r="E397" s="345"/>
      <c r="F397" s="344"/>
      <c r="G397" s="345"/>
      <c r="H397" s="344"/>
      <c r="I397" s="345"/>
      <c r="J397" s="344"/>
      <c r="K397" s="345"/>
      <c r="L397" s="344"/>
      <c r="M397" s="345"/>
      <c r="N397" s="344"/>
      <c r="O397" s="345"/>
      <c r="P397" s="346">
        <f>SUM(D397:O397)</f>
        <v>0</v>
      </c>
      <c r="Q397" s="347"/>
    </row>
    <row r="398" spans="1:20" s="52" customFormat="1" x14ac:dyDescent="0.2">
      <c r="A398" s="156"/>
      <c r="B398" s="313" t="s">
        <v>278</v>
      </c>
      <c r="C398" s="314"/>
      <c r="D398" s="313">
        <f>SUM(D392:E397)</f>
        <v>0</v>
      </c>
      <c r="E398" s="314"/>
      <c r="F398" s="313">
        <f t="shared" ref="F398" si="13">SUM(F392:G397)</f>
        <v>0</v>
      </c>
      <c r="G398" s="314"/>
      <c r="H398" s="313">
        <f t="shared" ref="H398" si="14">SUM(H392:I397)</f>
        <v>0</v>
      </c>
      <c r="I398" s="314"/>
      <c r="J398" s="313">
        <f t="shared" ref="J398" si="15">SUM(J392:K397)</f>
        <v>0</v>
      </c>
      <c r="K398" s="314"/>
      <c r="L398" s="313">
        <f t="shared" ref="L398" si="16">SUM(L392:M397)</f>
        <v>0</v>
      </c>
      <c r="M398" s="314"/>
      <c r="N398" s="313">
        <f t="shared" ref="N398" si="17">SUM(N392:O397)</f>
        <v>0</v>
      </c>
      <c r="O398" s="314"/>
      <c r="P398" s="313">
        <f t="shared" ref="P398" si="18">SUM(P392:Q397)</f>
        <v>0</v>
      </c>
      <c r="Q398" s="314"/>
    </row>
    <row r="399" spans="1:20" s="157" customFormat="1" x14ac:dyDescent="0.2">
      <c r="A399" s="165"/>
      <c r="M399" s="120"/>
      <c r="N399" s="119"/>
      <c r="O399" s="161"/>
      <c r="Q399" s="68"/>
      <c r="R399" s="119"/>
    </row>
    <row r="400" spans="1:20" s="76" customFormat="1" x14ac:dyDescent="0.2">
      <c r="B400" s="67" t="s">
        <v>578</v>
      </c>
      <c r="C400" s="165"/>
      <c r="D400" s="164"/>
      <c r="E400" s="159"/>
      <c r="F400" s="159"/>
      <c r="G400" s="78"/>
      <c r="H400" s="78"/>
      <c r="I400" s="159"/>
      <c r="J400" s="159"/>
      <c r="K400" s="159"/>
      <c r="L400" s="44"/>
    </row>
    <row r="401" spans="1:26" x14ac:dyDescent="0.2">
      <c r="A401" s="156" t="s">
        <v>624</v>
      </c>
      <c r="B401" s="431" t="s">
        <v>4</v>
      </c>
      <c r="C401" s="432"/>
      <c r="D401" s="437" t="s">
        <v>496</v>
      </c>
      <c r="E401" s="438"/>
      <c r="F401" s="438"/>
      <c r="G401" s="438"/>
      <c r="H401" s="438"/>
      <c r="I401" s="438"/>
      <c r="J401" s="439"/>
      <c r="K401" s="174" t="s">
        <v>278</v>
      </c>
      <c r="L401" s="76"/>
      <c r="M401" s="76"/>
      <c r="N401" s="76"/>
      <c r="O401" s="76"/>
      <c r="P401" s="76"/>
      <c r="Q401" s="76"/>
      <c r="R401" s="76"/>
      <c r="S401" s="76"/>
      <c r="T401" s="76"/>
      <c r="U401" s="76"/>
    </row>
    <row r="402" spans="1:26" ht="12.75" x14ac:dyDescent="0.2">
      <c r="A402" s="46"/>
      <c r="B402" s="433"/>
      <c r="C402" s="434"/>
      <c r="D402" s="175" t="s">
        <v>203</v>
      </c>
      <c r="E402" s="175" t="s">
        <v>234</v>
      </c>
      <c r="F402" s="175" t="s">
        <v>35</v>
      </c>
      <c r="G402" s="175" t="s">
        <v>36</v>
      </c>
      <c r="H402" s="175" t="s">
        <v>37</v>
      </c>
      <c r="I402" s="175" t="s">
        <v>38</v>
      </c>
      <c r="J402" s="175" t="s">
        <v>55</v>
      </c>
      <c r="K402" s="176"/>
      <c r="L402" s="76"/>
      <c r="M402" s="76"/>
      <c r="N402" s="76"/>
      <c r="O402" s="76"/>
      <c r="P402" s="76"/>
      <c r="Q402" s="76"/>
      <c r="R402" s="76"/>
      <c r="S402" s="76"/>
      <c r="T402" s="76"/>
      <c r="U402" s="76"/>
    </row>
    <row r="403" spans="1:26" ht="12.75" x14ac:dyDescent="0.2">
      <c r="A403" s="46"/>
      <c r="B403" s="435"/>
      <c r="C403" s="436"/>
      <c r="D403" s="177" t="s">
        <v>172</v>
      </c>
      <c r="E403" s="177" t="s">
        <v>172</v>
      </c>
      <c r="F403" s="177" t="s">
        <v>172</v>
      </c>
      <c r="G403" s="177" t="s">
        <v>172</v>
      </c>
      <c r="H403" s="177" t="s">
        <v>172</v>
      </c>
      <c r="I403" s="177" t="s">
        <v>172</v>
      </c>
      <c r="J403" s="177" t="s">
        <v>172</v>
      </c>
      <c r="K403" s="177" t="s">
        <v>575</v>
      </c>
      <c r="L403" s="76"/>
      <c r="M403" s="76"/>
      <c r="N403" s="76"/>
      <c r="O403" s="76"/>
      <c r="P403" s="76"/>
      <c r="Q403" s="76"/>
      <c r="R403" s="76"/>
      <c r="S403" s="76"/>
      <c r="T403" s="76"/>
      <c r="U403" s="76"/>
    </row>
    <row r="404" spans="1:26" s="39" customFormat="1" ht="15" x14ac:dyDescent="0.2">
      <c r="B404" s="172" t="s">
        <v>274</v>
      </c>
      <c r="C404" s="173"/>
      <c r="D404" s="203"/>
      <c r="E404" s="220"/>
      <c r="F404" s="220"/>
      <c r="G404" s="220"/>
      <c r="H404" s="220"/>
      <c r="I404" s="220"/>
      <c r="J404" s="220"/>
      <c r="K404" s="241">
        <f>SUM(D404:J404)</f>
        <v>0</v>
      </c>
      <c r="L404" s="178"/>
      <c r="M404" s="68"/>
      <c r="N404" s="76"/>
      <c r="O404" s="157"/>
      <c r="P404" s="157"/>
      <c r="Q404" s="44"/>
      <c r="R404" s="44"/>
      <c r="S404" s="44"/>
      <c r="T404" s="44"/>
      <c r="U404" s="44"/>
    </row>
    <row r="405" spans="1:26" s="50" customFormat="1" x14ac:dyDescent="0.2">
      <c r="A405" s="156"/>
      <c r="L405" s="157"/>
      <c r="M405" s="120"/>
      <c r="N405" s="119"/>
      <c r="O405" s="161"/>
      <c r="P405" s="157"/>
      <c r="Q405" s="68"/>
      <c r="R405" s="119"/>
      <c r="S405" s="157"/>
      <c r="T405" s="157"/>
      <c r="U405" s="157"/>
    </row>
    <row r="406" spans="1:26" s="122" customFormat="1" ht="20.25" x14ac:dyDescent="0.2">
      <c r="A406" s="315" t="s">
        <v>579</v>
      </c>
      <c r="B406" s="315"/>
      <c r="C406" s="315"/>
      <c r="D406" s="315"/>
      <c r="E406" s="315"/>
      <c r="F406" s="315"/>
      <c r="G406" s="84"/>
      <c r="H406" s="120"/>
      <c r="I406" s="120"/>
      <c r="J406" s="120"/>
      <c r="K406" s="120"/>
      <c r="L406" s="120"/>
      <c r="M406" s="120"/>
      <c r="N406" s="120"/>
      <c r="O406" s="121"/>
      <c r="P406" s="120"/>
      <c r="Q406" s="126"/>
      <c r="R406" s="126"/>
      <c r="S406" s="126"/>
      <c r="T406" s="126"/>
      <c r="U406" s="126"/>
    </row>
    <row r="407" spans="1:26" s="122" customFormat="1" x14ac:dyDescent="0.2">
      <c r="A407" s="123"/>
      <c r="B407" s="67" t="s">
        <v>287</v>
      </c>
      <c r="C407" s="124"/>
      <c r="D407" s="125"/>
      <c r="L407" s="126"/>
      <c r="M407" s="126"/>
      <c r="N407" s="126"/>
      <c r="O407" s="127"/>
      <c r="P407" s="126"/>
      <c r="Q407" s="126"/>
      <c r="R407" s="126"/>
      <c r="S407" s="126"/>
      <c r="T407" s="126"/>
      <c r="U407" s="126"/>
      <c r="W407" s="124"/>
    </row>
    <row r="408" spans="1:26" s="126" customFormat="1" ht="18" customHeight="1" x14ac:dyDescent="0.2">
      <c r="A408" s="156" t="s">
        <v>625</v>
      </c>
      <c r="B408" s="307" t="s">
        <v>288</v>
      </c>
      <c r="C408" s="308"/>
      <c r="D408" s="311" t="s">
        <v>14</v>
      </c>
      <c r="E408" s="312"/>
      <c r="F408" s="311" t="s">
        <v>289</v>
      </c>
      <c r="G408" s="312"/>
      <c r="H408" s="311" t="s">
        <v>290</v>
      </c>
      <c r="I408" s="312"/>
      <c r="J408" s="311" t="s">
        <v>291</v>
      </c>
      <c r="K408" s="312"/>
      <c r="N408" s="128"/>
      <c r="O408" s="127"/>
      <c r="X408" s="129"/>
      <c r="Y408" s="129"/>
      <c r="Z408" s="129"/>
    </row>
    <row r="409" spans="1:26" s="126" customFormat="1" ht="18" customHeight="1" x14ac:dyDescent="0.2">
      <c r="A409" s="125"/>
      <c r="B409" s="309"/>
      <c r="C409" s="310"/>
      <c r="D409" s="177" t="s">
        <v>292</v>
      </c>
      <c r="E409" s="177" t="s">
        <v>293</v>
      </c>
      <c r="F409" s="177" t="s">
        <v>292</v>
      </c>
      <c r="G409" s="177" t="s">
        <v>293</v>
      </c>
      <c r="H409" s="177" t="s">
        <v>292</v>
      </c>
      <c r="I409" s="177" t="s">
        <v>293</v>
      </c>
      <c r="J409" s="177" t="s">
        <v>292</v>
      </c>
      <c r="K409" s="177" t="s">
        <v>293</v>
      </c>
      <c r="P409" s="129"/>
      <c r="Q409" s="129"/>
      <c r="R409" s="129"/>
    </row>
    <row r="410" spans="1:26" s="122" customFormat="1" ht="18" customHeight="1" x14ac:dyDescent="0.2">
      <c r="A410" s="165"/>
      <c r="B410" s="422" t="s">
        <v>294</v>
      </c>
      <c r="C410" s="424"/>
      <c r="D410" s="205">
        <f t="shared" ref="D410:E412" si="19">F410+J410+H410</f>
        <v>0</v>
      </c>
      <c r="E410" s="205">
        <f t="shared" si="19"/>
        <v>0</v>
      </c>
      <c r="F410" s="204"/>
      <c r="G410" s="204"/>
      <c r="H410" s="204"/>
      <c r="I410" s="204"/>
      <c r="J410" s="204"/>
      <c r="K410" s="204"/>
      <c r="L410" s="126"/>
      <c r="M410" s="126"/>
      <c r="N410" s="126"/>
      <c r="O410" s="126"/>
      <c r="P410" s="126"/>
      <c r="Q410" s="126"/>
      <c r="R410" s="126"/>
      <c r="S410" s="126"/>
      <c r="T410" s="126"/>
      <c r="U410" s="126"/>
    </row>
    <row r="411" spans="1:26" s="122" customFormat="1" ht="18" customHeight="1" x14ac:dyDescent="0.2">
      <c r="A411" s="165"/>
      <c r="B411" s="422" t="s">
        <v>295</v>
      </c>
      <c r="C411" s="424"/>
      <c r="D411" s="205">
        <f t="shared" si="19"/>
        <v>0</v>
      </c>
      <c r="E411" s="205">
        <f t="shared" si="19"/>
        <v>0</v>
      </c>
      <c r="F411" s="204"/>
      <c r="G411" s="204"/>
      <c r="H411" s="204"/>
      <c r="I411" s="204"/>
      <c r="J411" s="204"/>
      <c r="K411" s="204"/>
      <c r="L411" s="126"/>
      <c r="M411" s="126"/>
      <c r="N411" s="126"/>
      <c r="O411" s="126"/>
      <c r="P411" s="126"/>
      <c r="Q411" s="126"/>
      <c r="R411" s="126"/>
      <c r="S411" s="126"/>
      <c r="T411" s="126"/>
      <c r="U411" s="126"/>
    </row>
    <row r="412" spans="1:26" s="122" customFormat="1" ht="18" customHeight="1" x14ac:dyDescent="0.2">
      <c r="A412" s="165"/>
      <c r="B412" s="422" t="s">
        <v>296</v>
      </c>
      <c r="C412" s="424"/>
      <c r="D412" s="205">
        <f t="shared" si="19"/>
        <v>0</v>
      </c>
      <c r="E412" s="205">
        <f t="shared" si="19"/>
        <v>0</v>
      </c>
      <c r="F412" s="204"/>
      <c r="G412" s="204"/>
      <c r="H412" s="204"/>
      <c r="I412" s="204"/>
      <c r="J412" s="204"/>
      <c r="K412" s="204"/>
      <c r="L412" s="126"/>
      <c r="M412" s="126"/>
      <c r="N412" s="126"/>
      <c r="O412" s="126"/>
      <c r="P412" s="130"/>
      <c r="Q412" s="131"/>
      <c r="R412" s="131"/>
      <c r="S412" s="126"/>
      <c r="T412" s="126"/>
      <c r="U412" s="126"/>
    </row>
    <row r="413" spans="1:26" s="122" customFormat="1" ht="18" customHeight="1" x14ac:dyDescent="0.2">
      <c r="A413" s="132"/>
      <c r="B413" s="425" t="s">
        <v>14</v>
      </c>
      <c r="C413" s="427"/>
      <c r="D413" s="205">
        <f>SUM(D410:D412)</f>
        <v>0</v>
      </c>
      <c r="E413" s="205">
        <f t="shared" ref="E413:G413" si="20">SUM(E410:E412)</f>
        <v>0</v>
      </c>
      <c r="F413" s="205">
        <f t="shared" si="20"/>
        <v>0</v>
      </c>
      <c r="G413" s="205">
        <f t="shared" si="20"/>
        <v>0</v>
      </c>
      <c r="H413" s="205">
        <f>SUM(H410:H412)</f>
        <v>0</v>
      </c>
      <c r="I413" s="205">
        <f>SUM(I410:I412)</f>
        <v>0</v>
      </c>
      <c r="J413" s="205">
        <f>SUM(J410:J412)</f>
        <v>0</v>
      </c>
      <c r="K413" s="205">
        <f>SUM(K410:K412)</f>
        <v>0</v>
      </c>
      <c r="L413" s="126"/>
      <c r="M413" s="126"/>
      <c r="N413" s="126"/>
      <c r="O413" s="126"/>
      <c r="P413" s="126"/>
      <c r="Q413" s="126"/>
      <c r="R413" s="126"/>
      <c r="S413" s="126"/>
      <c r="T413" s="126"/>
      <c r="U413" s="126"/>
    </row>
    <row r="414" spans="1:26" s="126" customFormat="1" ht="18" customHeight="1" x14ac:dyDescent="0.2">
      <c r="A414" s="133"/>
      <c r="B414" s="120"/>
      <c r="C414" s="130"/>
      <c r="G414" s="84"/>
      <c r="O414" s="127"/>
    </row>
    <row r="415" spans="1:26" s="126" customFormat="1" ht="18" customHeight="1" x14ac:dyDescent="0.2">
      <c r="A415" s="125"/>
      <c r="B415" s="67" t="s">
        <v>297</v>
      </c>
      <c r="C415" s="124"/>
      <c r="D415" s="124"/>
      <c r="E415" s="125"/>
      <c r="F415" s="124"/>
      <c r="G415" s="124"/>
      <c r="H415" s="124"/>
      <c r="I415" s="124"/>
      <c r="J415" s="124"/>
      <c r="K415" s="124"/>
      <c r="L415" s="134"/>
      <c r="O415" s="127"/>
      <c r="U415" s="135"/>
      <c r="V415" s="135"/>
    </row>
    <row r="416" spans="1:26" s="126" customFormat="1" ht="18" customHeight="1" x14ac:dyDescent="0.2">
      <c r="A416" s="125" t="s">
        <v>628</v>
      </c>
      <c r="B416" s="307" t="s">
        <v>298</v>
      </c>
      <c r="C416" s="419"/>
      <c r="D416" s="308"/>
      <c r="E416" s="311" t="s">
        <v>14</v>
      </c>
      <c r="F416" s="312"/>
      <c r="G416" s="311" t="s">
        <v>290</v>
      </c>
      <c r="H416" s="312"/>
      <c r="I416" s="311" t="s">
        <v>291</v>
      </c>
      <c r="J416" s="312"/>
      <c r="N416" s="127"/>
      <c r="U416" s="135"/>
    </row>
    <row r="417" spans="1:18" s="122" customFormat="1" ht="18" customHeight="1" x14ac:dyDescent="0.2">
      <c r="A417" s="125"/>
      <c r="B417" s="309"/>
      <c r="C417" s="420"/>
      <c r="D417" s="310"/>
      <c r="E417" s="177" t="s">
        <v>292</v>
      </c>
      <c r="F417" s="177" t="s">
        <v>293</v>
      </c>
      <c r="G417" s="177" t="s">
        <v>292</v>
      </c>
      <c r="H417" s="177" t="s">
        <v>293</v>
      </c>
      <c r="I417" s="177" t="s">
        <v>292</v>
      </c>
      <c r="J417" s="177" t="s">
        <v>293</v>
      </c>
      <c r="N417" s="136"/>
    </row>
    <row r="418" spans="1:18" s="122" customFormat="1" ht="18" customHeight="1" x14ac:dyDescent="0.2">
      <c r="A418" s="165"/>
      <c r="B418" s="422" t="s">
        <v>299</v>
      </c>
      <c r="C418" s="423"/>
      <c r="D418" s="424"/>
      <c r="E418" s="205">
        <f>G418+I418</f>
        <v>0</v>
      </c>
      <c r="F418" s="205">
        <f>H418+J418</f>
        <v>0</v>
      </c>
      <c r="G418" s="204"/>
      <c r="H418" s="204"/>
      <c r="I418" s="204"/>
      <c r="J418" s="204"/>
      <c r="N418" s="136"/>
    </row>
    <row r="419" spans="1:18" s="122" customFormat="1" ht="18" customHeight="1" x14ac:dyDescent="0.2">
      <c r="A419" s="165"/>
      <c r="B419" s="422" t="s">
        <v>300</v>
      </c>
      <c r="C419" s="423"/>
      <c r="D419" s="424"/>
      <c r="E419" s="205">
        <f>G419+I419</f>
        <v>0</v>
      </c>
      <c r="F419" s="205">
        <f>H419+J419</f>
        <v>0</v>
      </c>
      <c r="G419" s="204"/>
      <c r="H419" s="204"/>
      <c r="I419" s="204"/>
      <c r="J419" s="204"/>
      <c r="N419" s="136"/>
      <c r="R419" s="137"/>
    </row>
    <row r="420" spans="1:18" s="50" customFormat="1" ht="18" customHeight="1" x14ac:dyDescent="0.2">
      <c r="A420" s="156"/>
      <c r="B420" s="425" t="s">
        <v>301</v>
      </c>
      <c r="C420" s="426"/>
      <c r="D420" s="427"/>
      <c r="E420" s="205">
        <f t="shared" ref="E420:J420" si="21">SUM(E418:E419)</f>
        <v>0</v>
      </c>
      <c r="F420" s="205">
        <f t="shared" si="21"/>
        <v>0</v>
      </c>
      <c r="G420" s="205">
        <f t="shared" si="21"/>
        <v>0</v>
      </c>
      <c r="H420" s="205">
        <f t="shared" si="21"/>
        <v>0</v>
      </c>
      <c r="I420" s="205">
        <f t="shared" si="21"/>
        <v>0</v>
      </c>
      <c r="J420" s="205">
        <f t="shared" si="21"/>
        <v>0</v>
      </c>
      <c r="N420" s="52"/>
      <c r="R420" s="138"/>
    </row>
    <row r="421" spans="1:18" s="50" customFormat="1" ht="18" customHeight="1" x14ac:dyDescent="0.2">
      <c r="A421" s="156"/>
      <c r="J421" s="157"/>
      <c r="O421" s="52"/>
    </row>
  </sheetData>
  <mergeCells count="406">
    <mergeCell ref="L157:L158"/>
    <mergeCell ref="L191:L192"/>
    <mergeCell ref="E175:K175"/>
    <mergeCell ref="H248:I248"/>
    <mergeCell ref="J248:K248"/>
    <mergeCell ref="B270:D270"/>
    <mergeCell ref="D142:G142"/>
    <mergeCell ref="D143:G143"/>
    <mergeCell ref="D144:G144"/>
    <mergeCell ref="D145:G145"/>
    <mergeCell ref="B157:D158"/>
    <mergeCell ref="B223:C223"/>
    <mergeCell ref="E157:K157"/>
    <mergeCell ref="H217:H219"/>
    <mergeCell ref="B144:C145"/>
    <mergeCell ref="B142:C143"/>
    <mergeCell ref="L248:M248"/>
    <mergeCell ref="B418:D418"/>
    <mergeCell ref="B419:D419"/>
    <mergeCell ref="B420:D420"/>
    <mergeCell ref="B387:D387"/>
    <mergeCell ref="H239:I239"/>
    <mergeCell ref="F240:G240"/>
    <mergeCell ref="H240:I240"/>
    <mergeCell ref="B401:C403"/>
    <mergeCell ref="D401:J401"/>
    <mergeCell ref="B410:C410"/>
    <mergeCell ref="B411:C411"/>
    <mergeCell ref="B412:C412"/>
    <mergeCell ref="B413:C413"/>
    <mergeCell ref="A329:G329"/>
    <mergeCell ref="B242:C242"/>
    <mergeCell ref="B299:E299"/>
    <mergeCell ref="B300:E300"/>
    <mergeCell ref="B266:D266"/>
    <mergeCell ref="B250:C250"/>
    <mergeCell ref="D248:E248"/>
    <mergeCell ref="F248:G248"/>
    <mergeCell ref="A321:F321"/>
    <mergeCell ref="B284:D284"/>
    <mergeCell ref="B285:D285"/>
    <mergeCell ref="B129:C129"/>
    <mergeCell ref="B186:C186"/>
    <mergeCell ref="B416:D417"/>
    <mergeCell ref="B307:C307"/>
    <mergeCell ref="B308:C308"/>
    <mergeCell ref="B309:C309"/>
    <mergeCell ref="B310:C310"/>
    <mergeCell ref="B315:C315"/>
    <mergeCell ref="B316:C316"/>
    <mergeCell ref="B317:C317"/>
    <mergeCell ref="B318:C318"/>
    <mergeCell ref="B220:C220"/>
    <mergeCell ref="B314:C314"/>
    <mergeCell ref="B305:C305"/>
    <mergeCell ref="A303:F303"/>
    <mergeCell ref="B306:C306"/>
    <mergeCell ref="D217:G217"/>
    <mergeCell ref="A245:F245"/>
    <mergeCell ref="A257:F257"/>
    <mergeCell ref="A263:F263"/>
    <mergeCell ref="B267:D267"/>
    <mergeCell ref="B268:D268"/>
    <mergeCell ref="B253:C253"/>
    <mergeCell ref="A312:F312"/>
    <mergeCell ref="B112:C112"/>
    <mergeCell ref="B117:C117"/>
    <mergeCell ref="B119:C119"/>
    <mergeCell ref="B120:C120"/>
    <mergeCell ref="B121:C121"/>
    <mergeCell ref="B122:C122"/>
    <mergeCell ref="B118:C118"/>
    <mergeCell ref="B123:C123"/>
    <mergeCell ref="B128:C128"/>
    <mergeCell ref="B24:C24"/>
    <mergeCell ref="B25:C25"/>
    <mergeCell ref="B29:E29"/>
    <mergeCell ref="B30:E30"/>
    <mergeCell ref="B31:E31"/>
    <mergeCell ref="B32:E32"/>
    <mergeCell ref="B33:E33"/>
    <mergeCell ref="B34:E34"/>
    <mergeCell ref="B35:E35"/>
    <mergeCell ref="B28:E28"/>
    <mergeCell ref="B11:E11"/>
    <mergeCell ref="B12:E12"/>
    <mergeCell ref="B13:E13"/>
    <mergeCell ref="B18:C18"/>
    <mergeCell ref="B19:C19"/>
    <mergeCell ref="B20:C20"/>
    <mergeCell ref="B21:C21"/>
    <mergeCell ref="B22:C22"/>
    <mergeCell ref="B23:C23"/>
    <mergeCell ref="B16:C17"/>
    <mergeCell ref="D16:F16"/>
    <mergeCell ref="B99:E99"/>
    <mergeCell ref="B100:E100"/>
    <mergeCell ref="B106:C107"/>
    <mergeCell ref="D106:O106"/>
    <mergeCell ref="B101:E101"/>
    <mergeCell ref="B102:E102"/>
    <mergeCell ref="D50:E50"/>
    <mergeCell ref="D51:E51"/>
    <mergeCell ref="B50:C51"/>
    <mergeCell ref="B67:E67"/>
    <mergeCell ref="B68:E68"/>
    <mergeCell ref="B69:E69"/>
    <mergeCell ref="B70:E70"/>
    <mergeCell ref="B71:E71"/>
    <mergeCell ref="B72:E72"/>
    <mergeCell ref="B73:E73"/>
    <mergeCell ref="B74:E74"/>
    <mergeCell ref="B75:E75"/>
    <mergeCell ref="B55:E55"/>
    <mergeCell ref="B56:E56"/>
    <mergeCell ref="B57:E57"/>
    <mergeCell ref="B58:E58"/>
    <mergeCell ref="B59:E59"/>
    <mergeCell ref="B60:E60"/>
    <mergeCell ref="B49:E49"/>
    <mergeCell ref="B97:E97"/>
    <mergeCell ref="B98:E98"/>
    <mergeCell ref="B85:E85"/>
    <mergeCell ref="B86:E86"/>
    <mergeCell ref="B87:E87"/>
    <mergeCell ref="B61:E61"/>
    <mergeCell ref="B62:E62"/>
    <mergeCell ref="B66:E66"/>
    <mergeCell ref="B111:C111"/>
    <mergeCell ref="A7:F7"/>
    <mergeCell ref="A104:F104"/>
    <mergeCell ref="A139:F139"/>
    <mergeCell ref="B88:E88"/>
    <mergeCell ref="B89:E89"/>
    <mergeCell ref="B90:E90"/>
    <mergeCell ref="B91:E91"/>
    <mergeCell ref="B92:E92"/>
    <mergeCell ref="B93:E93"/>
    <mergeCell ref="B94:E94"/>
    <mergeCell ref="B95:E95"/>
    <mergeCell ref="B96:E96"/>
    <mergeCell ref="B79:E79"/>
    <mergeCell ref="B80:E80"/>
    <mergeCell ref="B81:E81"/>
    <mergeCell ref="B82:E82"/>
    <mergeCell ref="B83:E83"/>
    <mergeCell ref="B84:E84"/>
    <mergeCell ref="B44:E44"/>
    <mergeCell ref="B45:E45"/>
    <mergeCell ref="B46:E46"/>
    <mergeCell ref="B47:E47"/>
    <mergeCell ref="B48:E48"/>
    <mergeCell ref="B37:E37"/>
    <mergeCell ref="B175:D176"/>
    <mergeCell ref="P106:P107"/>
    <mergeCell ref="D218:E218"/>
    <mergeCell ref="F218:G218"/>
    <mergeCell ref="B116:C116"/>
    <mergeCell ref="B130:C130"/>
    <mergeCell ref="B131:C131"/>
    <mergeCell ref="B132:C132"/>
    <mergeCell ref="B113:C113"/>
    <mergeCell ref="B114:C114"/>
    <mergeCell ref="B115:C115"/>
    <mergeCell ref="B152:E152"/>
    <mergeCell ref="J184:K184"/>
    <mergeCell ref="L184:M184"/>
    <mergeCell ref="B184:C185"/>
    <mergeCell ref="D184:E184"/>
    <mergeCell ref="F184:G184"/>
    <mergeCell ref="H184:I184"/>
    <mergeCell ref="B108:C108"/>
    <mergeCell ref="B126:C127"/>
    <mergeCell ref="D126:O126"/>
    <mergeCell ref="B109:C109"/>
    <mergeCell ref="B110:C110"/>
    <mergeCell ref="B10:E10"/>
    <mergeCell ref="B43:E43"/>
    <mergeCell ref="B54:E54"/>
    <mergeCell ref="B38:E38"/>
    <mergeCell ref="B39:E39"/>
    <mergeCell ref="B65:E65"/>
    <mergeCell ref="B78:E78"/>
    <mergeCell ref="B40:E40"/>
    <mergeCell ref="D229:E229"/>
    <mergeCell ref="B221:C221"/>
    <mergeCell ref="B222:C222"/>
    <mergeCell ref="A200:F200"/>
    <mergeCell ref="A208:F208"/>
    <mergeCell ref="A213:F213"/>
    <mergeCell ref="B217:C219"/>
    <mergeCell ref="B203:D203"/>
    <mergeCell ref="B204:D204"/>
    <mergeCell ref="B202:D202"/>
    <mergeCell ref="B210:F210"/>
    <mergeCell ref="B211:F211"/>
    <mergeCell ref="B224:C224"/>
    <mergeCell ref="B225:C225"/>
    <mergeCell ref="F229:G229"/>
    <mergeCell ref="B36:E36"/>
    <mergeCell ref="B247:C249"/>
    <mergeCell ref="B271:D271"/>
    <mergeCell ref="B272:D272"/>
    <mergeCell ref="B273:D273"/>
    <mergeCell ref="B274:D274"/>
    <mergeCell ref="B275:D275"/>
    <mergeCell ref="B276:D276"/>
    <mergeCell ref="B279:D279"/>
    <mergeCell ref="B269:D269"/>
    <mergeCell ref="B254:C254"/>
    <mergeCell ref="R150:S150"/>
    <mergeCell ref="B360:F360"/>
    <mergeCell ref="B361:F361"/>
    <mergeCell ref="B364:F365"/>
    <mergeCell ref="B342:F342"/>
    <mergeCell ref="B343:F343"/>
    <mergeCell ref="P126:P127"/>
    <mergeCell ref="B141:G141"/>
    <mergeCell ref="B150:E151"/>
    <mergeCell ref="F150:G150"/>
    <mergeCell ref="H150:I150"/>
    <mergeCell ref="J150:K150"/>
    <mergeCell ref="L150:M150"/>
    <mergeCell ref="N150:O150"/>
    <mergeCell ref="P150:Q150"/>
    <mergeCell ref="B133:C133"/>
    <mergeCell ref="B134:C134"/>
    <mergeCell ref="B135:C135"/>
    <mergeCell ref="B136:C136"/>
    <mergeCell ref="B137:C137"/>
    <mergeCell ref="A290:F290"/>
    <mergeCell ref="B278:D278"/>
    <mergeCell ref="B231:C231"/>
    <mergeCell ref="L175:L176"/>
    <mergeCell ref="P390:Q391"/>
    <mergeCell ref="D391:E391"/>
    <mergeCell ref="F391:G391"/>
    <mergeCell ref="H391:I391"/>
    <mergeCell ref="J391:K391"/>
    <mergeCell ref="L391:M391"/>
    <mergeCell ref="G331:L331"/>
    <mergeCell ref="B333:F333"/>
    <mergeCell ref="G358:N358"/>
    <mergeCell ref="B370:F370"/>
    <mergeCell ref="B346:F347"/>
    <mergeCell ref="B368:F368"/>
    <mergeCell ref="B375:F375"/>
    <mergeCell ref="B339:F339"/>
    <mergeCell ref="B371:F371"/>
    <mergeCell ref="B331:F332"/>
    <mergeCell ref="H324:H325"/>
    <mergeCell ref="I324:I325"/>
    <mergeCell ref="B297:E297"/>
    <mergeCell ref="G324:G325"/>
    <mergeCell ref="B282:D282"/>
    <mergeCell ref="B277:D277"/>
    <mergeCell ref="B323:C325"/>
    <mergeCell ref="D323:E323"/>
    <mergeCell ref="F323:J323"/>
    <mergeCell ref="B298:E298"/>
    <mergeCell ref="B286:D286"/>
    <mergeCell ref="B287:D287"/>
    <mergeCell ref="B288:D288"/>
    <mergeCell ref="B376:F376"/>
    <mergeCell ref="B380:F380"/>
    <mergeCell ref="B381:F381"/>
    <mergeCell ref="B367:F367"/>
    <mergeCell ref="F392:G392"/>
    <mergeCell ref="H392:I392"/>
    <mergeCell ref="B335:F335"/>
    <mergeCell ref="B336:F336"/>
    <mergeCell ref="B337:F337"/>
    <mergeCell ref="B338:F338"/>
    <mergeCell ref="B366:F366"/>
    <mergeCell ref="B379:F379"/>
    <mergeCell ref="B373:F373"/>
    <mergeCell ref="B374:F374"/>
    <mergeCell ref="B369:F369"/>
    <mergeCell ref="G364:J364"/>
    <mergeCell ref="B340:F340"/>
    <mergeCell ref="B341:F341"/>
    <mergeCell ref="G346:L346"/>
    <mergeCell ref="B355:F355"/>
    <mergeCell ref="B358:F359"/>
    <mergeCell ref="P395:Q395"/>
    <mergeCell ref="B394:C394"/>
    <mergeCell ref="D394:E394"/>
    <mergeCell ref="F394:G394"/>
    <mergeCell ref="H394:I394"/>
    <mergeCell ref="J394:K394"/>
    <mergeCell ref="L394:M394"/>
    <mergeCell ref="B393:C393"/>
    <mergeCell ref="D393:E393"/>
    <mergeCell ref="F393:G393"/>
    <mergeCell ref="H393:I393"/>
    <mergeCell ref="J393:K393"/>
    <mergeCell ref="L393:M393"/>
    <mergeCell ref="N393:O393"/>
    <mergeCell ref="P393:Q393"/>
    <mergeCell ref="N394:O394"/>
    <mergeCell ref="P394:Q394"/>
    <mergeCell ref="L395:M395"/>
    <mergeCell ref="N395:O395"/>
    <mergeCell ref="B395:C395"/>
    <mergeCell ref="D395:E395"/>
    <mergeCell ref="H395:I395"/>
    <mergeCell ref="J395:K395"/>
    <mergeCell ref="F395:G395"/>
    <mergeCell ref="N397:O397"/>
    <mergeCell ref="P397:Q397"/>
    <mergeCell ref="B396:C396"/>
    <mergeCell ref="D396:E396"/>
    <mergeCell ref="F396:G396"/>
    <mergeCell ref="H396:I396"/>
    <mergeCell ref="J396:K396"/>
    <mergeCell ref="L396:M396"/>
    <mergeCell ref="N396:O396"/>
    <mergeCell ref="B397:C397"/>
    <mergeCell ref="D397:E397"/>
    <mergeCell ref="F397:G397"/>
    <mergeCell ref="H397:I397"/>
    <mergeCell ref="J397:K397"/>
    <mergeCell ref="L397:M397"/>
    <mergeCell ref="V150:W150"/>
    <mergeCell ref="X150:Y150"/>
    <mergeCell ref="Z150:AA150"/>
    <mergeCell ref="E416:F416"/>
    <mergeCell ref="G416:H416"/>
    <mergeCell ref="I416:J416"/>
    <mergeCell ref="N398:O398"/>
    <mergeCell ref="P398:Q398"/>
    <mergeCell ref="L398:M398"/>
    <mergeCell ref="F228:K228"/>
    <mergeCell ref="D228:E228"/>
    <mergeCell ref="Q229:R229"/>
    <mergeCell ref="H229:I229"/>
    <mergeCell ref="J229:K229"/>
    <mergeCell ref="O240:P240"/>
    <mergeCell ref="D239:G239"/>
    <mergeCell ref="L228:M228"/>
    <mergeCell ref="L229:M229"/>
    <mergeCell ref="N247:N249"/>
    <mergeCell ref="B265:D265"/>
    <mergeCell ref="B292:E292"/>
    <mergeCell ref="B280:D280"/>
    <mergeCell ref="B281:D281"/>
    <mergeCell ref="P396:Q396"/>
    <mergeCell ref="T150:U150"/>
    <mergeCell ref="N392:O392"/>
    <mergeCell ref="P392:Q392"/>
    <mergeCell ref="B384:D386"/>
    <mergeCell ref="E384:T384"/>
    <mergeCell ref="E385:F385"/>
    <mergeCell ref="G385:H385"/>
    <mergeCell ref="I385:J385"/>
    <mergeCell ref="K385:L385"/>
    <mergeCell ref="M385:N385"/>
    <mergeCell ref="O385:P385"/>
    <mergeCell ref="Q385:R385"/>
    <mergeCell ref="S385:T385"/>
    <mergeCell ref="B390:C391"/>
    <mergeCell ref="D390:I390"/>
    <mergeCell ref="J390:O390"/>
    <mergeCell ref="B232:C232"/>
    <mergeCell ref="B233:C233"/>
    <mergeCell ref="B234:C234"/>
    <mergeCell ref="B235:C235"/>
    <mergeCell ref="J239:J241"/>
    <mergeCell ref="B239:C241"/>
    <mergeCell ref="B191:D192"/>
    <mergeCell ref="D392:E392"/>
    <mergeCell ref="B408:C409"/>
    <mergeCell ref="D408:E408"/>
    <mergeCell ref="F408:G408"/>
    <mergeCell ref="H408:I408"/>
    <mergeCell ref="J408:K408"/>
    <mergeCell ref="B398:C398"/>
    <mergeCell ref="D398:E398"/>
    <mergeCell ref="F398:G398"/>
    <mergeCell ref="H398:I398"/>
    <mergeCell ref="J398:K398"/>
    <mergeCell ref="A406:F406"/>
    <mergeCell ref="A5:K5"/>
    <mergeCell ref="N391:O391"/>
    <mergeCell ref="B392:C392"/>
    <mergeCell ref="B348:F348"/>
    <mergeCell ref="B349:F349"/>
    <mergeCell ref="B352:F353"/>
    <mergeCell ref="G352:N352"/>
    <mergeCell ref="B354:F354"/>
    <mergeCell ref="J392:K392"/>
    <mergeCell ref="B251:C251"/>
    <mergeCell ref="B252:C252"/>
    <mergeCell ref="D247:K247"/>
    <mergeCell ref="J324:J325"/>
    <mergeCell ref="B326:C326"/>
    <mergeCell ref="B327:C327"/>
    <mergeCell ref="D324:D325"/>
    <mergeCell ref="E324:E325"/>
    <mergeCell ref="F324:F325"/>
    <mergeCell ref="E191:K191"/>
    <mergeCell ref="L392:M392"/>
    <mergeCell ref="B228:C230"/>
    <mergeCell ref="D240:E240"/>
    <mergeCell ref="B372:F372"/>
    <mergeCell ref="B334:F334"/>
  </mergeCells>
  <phoneticPr fontId="14" type="noConversion"/>
  <conditionalFormatting sqref="P106:P107">
    <cfRule type="expression" dxfId="37" priority="54">
      <formula>$P$124&gt;0</formula>
    </cfRule>
  </conditionalFormatting>
  <conditionalFormatting sqref="P108:P123 P128:P137 L177:L179">
    <cfRule type="cellIs" dxfId="36" priority="53" operator="greaterThan">
      <formula>0</formula>
    </cfRule>
  </conditionalFormatting>
  <conditionalFormatting sqref="H109:N110 H114:N123 J113:N113 I108:N108">
    <cfRule type="cellIs" dxfId="35" priority="52" operator="equal">
      <formula>0</formula>
    </cfRule>
  </conditionalFormatting>
  <conditionalFormatting sqref="H144:I145">
    <cfRule type="cellIs" dxfId="34" priority="51" operator="equal">
      <formula>0</formula>
    </cfRule>
  </conditionalFormatting>
  <conditionalFormatting sqref="F152:G152">
    <cfRule type="cellIs" dxfId="33" priority="50" operator="equal">
      <formula>0</formula>
    </cfRule>
  </conditionalFormatting>
  <conditionalFormatting sqref="L159:L172">
    <cfRule type="cellIs" dxfId="32" priority="48" operator="greaterThan">
      <formula>0</formula>
    </cfRule>
  </conditionalFormatting>
  <conditionalFormatting sqref="F108">
    <cfRule type="cellIs" dxfId="31" priority="46" operator="equal">
      <formula>0</formula>
    </cfRule>
  </conditionalFormatting>
  <conditionalFormatting sqref="G108">
    <cfRule type="cellIs" dxfId="30" priority="45" operator="equal">
      <formula>0</formula>
    </cfRule>
  </conditionalFormatting>
  <conditionalFormatting sqref="F128">
    <cfRule type="cellIs" dxfId="29" priority="30" operator="equal">
      <formula>0</formula>
    </cfRule>
  </conditionalFormatting>
  <conditionalFormatting sqref="G109:N109">
    <cfRule type="cellIs" dxfId="28" priority="44" operator="equal">
      <formula>0</formula>
    </cfRule>
  </conditionalFormatting>
  <conditionalFormatting sqref="H110:N110">
    <cfRule type="cellIs" dxfId="27" priority="43" operator="equal">
      <formula>0</formula>
    </cfRule>
  </conditionalFormatting>
  <conditionalFormatting sqref="H111">
    <cfRule type="cellIs" dxfId="26" priority="41" operator="equal">
      <formula>0</formula>
    </cfRule>
  </conditionalFormatting>
  <conditionalFormatting sqref="I111">
    <cfRule type="cellIs" dxfId="25" priority="40" operator="equal">
      <formula>0</formula>
    </cfRule>
  </conditionalFormatting>
  <conditionalFormatting sqref="J111">
    <cfRule type="cellIs" dxfId="24" priority="39" operator="equal">
      <formula>0</formula>
    </cfRule>
  </conditionalFormatting>
  <conditionalFormatting sqref="K111">
    <cfRule type="cellIs" dxfId="23" priority="38" operator="equal">
      <formula>0</formula>
    </cfRule>
  </conditionalFormatting>
  <conditionalFormatting sqref="L111">
    <cfRule type="cellIs" dxfId="22" priority="37" operator="equal">
      <formula>0</formula>
    </cfRule>
  </conditionalFormatting>
  <conditionalFormatting sqref="M111">
    <cfRule type="cellIs" dxfId="21" priority="36" operator="equal">
      <formula>0</formula>
    </cfRule>
  </conditionalFormatting>
  <conditionalFormatting sqref="N111">
    <cfRule type="cellIs" dxfId="20" priority="35" operator="equal">
      <formula>0</formula>
    </cfRule>
  </conditionalFormatting>
  <conditionalFormatting sqref="H108:N108">
    <cfRule type="cellIs" dxfId="19" priority="34" operator="equal">
      <formula>0</formula>
    </cfRule>
  </conditionalFormatting>
  <conditionalFormatting sqref="P126:P127">
    <cfRule type="expression" dxfId="18" priority="33">
      <formula>$P$124&gt;0</formula>
    </cfRule>
  </conditionalFormatting>
  <conditionalFormatting sqref="H129:N130 E137:N137 H134:N136 J133:N133 I128:N128">
    <cfRule type="cellIs" dxfId="17" priority="31" operator="equal">
      <formula>0</formula>
    </cfRule>
  </conditionalFormatting>
  <conditionalFormatting sqref="G128">
    <cfRule type="cellIs" dxfId="16" priority="29" operator="equal">
      <formula>0</formula>
    </cfRule>
  </conditionalFormatting>
  <conditionalFormatting sqref="G129:N129">
    <cfRule type="cellIs" dxfId="15" priority="28" operator="equal">
      <formula>0</formula>
    </cfRule>
  </conditionalFormatting>
  <conditionalFormatting sqref="H130:N130">
    <cfRule type="cellIs" dxfId="14" priority="27" operator="equal">
      <formula>0</formula>
    </cfRule>
  </conditionalFormatting>
  <conditionalFormatting sqref="H131">
    <cfRule type="cellIs" dxfId="13" priority="25" operator="equal">
      <formula>0</formula>
    </cfRule>
  </conditionalFormatting>
  <conditionalFormatting sqref="I131">
    <cfRule type="cellIs" dxfId="12" priority="24" operator="equal">
      <formula>0</formula>
    </cfRule>
  </conditionalFormatting>
  <conditionalFormatting sqref="J131">
    <cfRule type="cellIs" dxfId="11" priority="23" operator="equal">
      <formula>0</formula>
    </cfRule>
  </conditionalFormatting>
  <conditionalFormatting sqref="K131">
    <cfRule type="cellIs" dxfId="10" priority="22" operator="equal">
      <formula>0</formula>
    </cfRule>
  </conditionalFormatting>
  <conditionalFormatting sqref="L131">
    <cfRule type="cellIs" dxfId="9" priority="21" operator="equal">
      <formula>0</formula>
    </cfRule>
  </conditionalFormatting>
  <conditionalFormatting sqref="M131">
    <cfRule type="cellIs" dxfId="8" priority="20" operator="equal">
      <formula>0</formula>
    </cfRule>
  </conditionalFormatting>
  <conditionalFormatting sqref="N131">
    <cfRule type="cellIs" dxfId="7" priority="19" operator="equal">
      <formula>0</formula>
    </cfRule>
  </conditionalFormatting>
  <conditionalFormatting sqref="H128:N128">
    <cfRule type="cellIs" dxfId="6" priority="18" operator="equal">
      <formula>0</formula>
    </cfRule>
  </conditionalFormatting>
  <conditionalFormatting sqref="L175:L176 L157">
    <cfRule type="expression" dxfId="5" priority="15">
      <formula>#REF!&gt;0</formula>
    </cfRule>
  </conditionalFormatting>
  <conditionalFormatting sqref="L166:L172">
    <cfRule type="cellIs" dxfId="4" priority="5" operator="greaterThan">
      <formula>0</formula>
    </cfRule>
  </conditionalFormatting>
  <conditionalFormatting sqref="L191">
    <cfRule type="expression" dxfId="3" priority="4">
      <formula>#REF!&gt;0</formula>
    </cfRule>
  </conditionalFormatting>
  <conditionalFormatting sqref="L180:L181">
    <cfRule type="cellIs" dxfId="2" priority="3" operator="greaterThan">
      <formula>0</formula>
    </cfRule>
  </conditionalFormatting>
  <conditionalFormatting sqref="L180:L181">
    <cfRule type="cellIs" dxfId="1" priority="2" operator="greaterThan">
      <formula>0</formula>
    </cfRule>
  </conditionalFormatting>
  <conditionalFormatting sqref="L193">
    <cfRule type="cellIs" dxfId="0" priority="1" operator="greaterThan">
      <formula>0</formula>
    </cfRule>
  </conditionalFormatting>
  <pageMargins left="0" right="0" top="0" bottom="0" header="0.31496062992125984" footer="0.31496062992125984"/>
  <pageSetup paperSize="9" scale="84"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B4:G22"/>
  <sheetViews>
    <sheetView topLeftCell="A5" workbookViewId="0">
      <selection activeCell="G20" sqref="G20:G22"/>
    </sheetView>
  </sheetViews>
  <sheetFormatPr baseColWidth="10" defaultRowHeight="12.75" x14ac:dyDescent="0.2"/>
  <cols>
    <col min="2" max="2" width="11.85546875" customWidth="1"/>
    <col min="3" max="3" width="10.42578125" customWidth="1"/>
    <col min="4" max="4" width="25.85546875" customWidth="1"/>
    <col min="5" max="5" width="65.85546875" customWidth="1"/>
    <col min="7" max="7" width="29.7109375" customWidth="1"/>
  </cols>
  <sheetData>
    <row r="4" spans="2:7" x14ac:dyDescent="0.2">
      <c r="B4" t="s">
        <v>455</v>
      </c>
    </row>
    <row r="8" spans="2:7" ht="51" x14ac:dyDescent="0.2">
      <c r="D8" s="34" t="s">
        <v>458</v>
      </c>
      <c r="E8" s="37" t="s">
        <v>459</v>
      </c>
      <c r="G8" s="34" t="s">
        <v>483</v>
      </c>
    </row>
    <row r="9" spans="2:7" ht="38.25" x14ac:dyDescent="0.2">
      <c r="D9" s="34" t="s">
        <v>460</v>
      </c>
      <c r="E9" s="36" t="s">
        <v>461</v>
      </c>
      <c r="G9" s="34" t="s">
        <v>484</v>
      </c>
    </row>
    <row r="10" spans="2:7" ht="25.5" x14ac:dyDescent="0.2">
      <c r="D10" s="34" t="s">
        <v>462</v>
      </c>
      <c r="E10" s="37" t="s">
        <v>463</v>
      </c>
      <c r="G10" s="34" t="s">
        <v>485</v>
      </c>
    </row>
    <row r="11" spans="2:7" x14ac:dyDescent="0.2">
      <c r="D11" s="34" t="s">
        <v>464</v>
      </c>
      <c r="E11" s="36" t="s">
        <v>465</v>
      </c>
    </row>
    <row r="12" spans="2:7" x14ac:dyDescent="0.2">
      <c r="D12" s="34" t="s">
        <v>466</v>
      </c>
      <c r="E12" s="35" t="s">
        <v>456</v>
      </c>
    </row>
    <row r="13" spans="2:7" x14ac:dyDescent="0.2">
      <c r="D13" s="34" t="s">
        <v>467</v>
      </c>
      <c r="E13" s="36" t="s">
        <v>433</v>
      </c>
    </row>
    <row r="14" spans="2:7" x14ac:dyDescent="0.2">
      <c r="B14" s="33"/>
      <c r="D14" s="34" t="s">
        <v>468</v>
      </c>
      <c r="E14" s="35" t="s">
        <v>457</v>
      </c>
    </row>
    <row r="15" spans="2:7" x14ac:dyDescent="0.2">
      <c r="D15" s="34" t="s">
        <v>469</v>
      </c>
      <c r="E15" s="37" t="s">
        <v>470</v>
      </c>
    </row>
    <row r="16" spans="2:7" x14ac:dyDescent="0.2">
      <c r="D16" s="34" t="s">
        <v>471</v>
      </c>
      <c r="E16" s="37" t="s">
        <v>472</v>
      </c>
    </row>
    <row r="17" spans="4:5" x14ac:dyDescent="0.2">
      <c r="D17" s="34" t="s">
        <v>473</v>
      </c>
      <c r="E17" s="36" t="s">
        <v>431</v>
      </c>
    </row>
    <row r="18" spans="4:5" x14ac:dyDescent="0.2">
      <c r="D18" s="34" t="s">
        <v>474</v>
      </c>
      <c r="E18" s="35" t="s">
        <v>475</v>
      </c>
    </row>
    <row r="19" spans="4:5" ht="18" customHeight="1" x14ac:dyDescent="0.2">
      <c r="D19" s="34" t="s">
        <v>476</v>
      </c>
      <c r="E19" s="35" t="s">
        <v>477</v>
      </c>
    </row>
    <row r="20" spans="4:5" x14ac:dyDescent="0.2">
      <c r="D20" s="34" t="s">
        <v>478</v>
      </c>
      <c r="E20" s="35" t="s">
        <v>479</v>
      </c>
    </row>
    <row r="21" spans="4:5" x14ac:dyDescent="0.2">
      <c r="D21" s="34" t="s">
        <v>480</v>
      </c>
      <c r="E21" s="35" t="s">
        <v>434</v>
      </c>
    </row>
    <row r="22" spans="4:5" x14ac:dyDescent="0.2">
      <c r="D22" s="34" t="s">
        <v>481</v>
      </c>
      <c r="E22" s="35" t="s">
        <v>482</v>
      </c>
    </row>
  </sheetData>
  <sortState xmlns:xlrd2="http://schemas.microsoft.com/office/spreadsheetml/2017/richdata2" ref="B8:C19">
    <sortCondition ref="B8:B19"/>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SUPLEMENTACION</vt:lpstr>
      <vt:lpstr>Niño</vt:lpstr>
      <vt:lpstr>Hoja1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DIRESA</dc:creator>
  <cp:lastModifiedBy>DIRESA</cp:lastModifiedBy>
  <dcterms:created xsi:type="dcterms:W3CDTF">2019-06-21T20:39:04Z</dcterms:created>
  <dcterms:modified xsi:type="dcterms:W3CDTF">2025-03-12T18:04:04Z</dcterms:modified>
</cp:coreProperties>
</file>