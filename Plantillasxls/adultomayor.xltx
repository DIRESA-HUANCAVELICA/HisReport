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775" yWindow="-15" windowWidth="12120" windowHeight="4545"/>
  </bookViews>
  <sheets>
    <sheet name="Morbilidad" sheetId="1" r:id="rId1"/>
    <sheet name="Sintaxis" sheetId="6" r:id="rId2"/>
  </sheets>
  <definedNames>
    <definedName name="_xlnm.Print_Area" localSheetId="0">Morbilidad!$B$1:$F$7</definedName>
    <definedName name="_xlnm.Print_Area" localSheetId="1">Sintaxis!$B$1:$F$7</definedName>
  </definedNames>
  <calcPr calcId="152511"/>
</workbook>
</file>

<file path=xl/calcChain.xml><?xml version="1.0" encoding="utf-8"?>
<calcChain xmlns="http://schemas.openxmlformats.org/spreadsheetml/2006/main">
  <c r="K90" i="1" l="1"/>
  <c r="I90" i="1"/>
  <c r="G90" i="1"/>
  <c r="E90" i="1"/>
  <c r="K84" i="6"/>
  <c r="I84" i="6"/>
  <c r="E84" i="6" s="1"/>
  <c r="G84" i="6"/>
  <c r="K81" i="6"/>
  <c r="I81" i="6"/>
  <c r="E81" i="6" s="1"/>
  <c r="G81" i="6"/>
  <c r="K78" i="6"/>
  <c r="I78" i="6"/>
  <c r="E78" i="6" s="1"/>
  <c r="G78" i="6"/>
  <c r="K75" i="6"/>
  <c r="E75" i="6" s="1"/>
  <c r="I75" i="6"/>
  <c r="G75" i="6"/>
  <c r="K71" i="6"/>
  <c r="E71" i="6" s="1"/>
  <c r="I71" i="6"/>
  <c r="G71" i="6"/>
  <c r="J64" i="6"/>
  <c r="D64" i="6" s="1"/>
  <c r="H64" i="6"/>
  <c r="F64" i="6"/>
  <c r="J61" i="6"/>
  <c r="D61" i="6" s="1"/>
  <c r="H61" i="6"/>
  <c r="F61" i="6"/>
  <c r="G71" i="1"/>
  <c r="E71" i="1" s="1"/>
  <c r="K84" i="1"/>
  <c r="I84" i="1"/>
  <c r="E84" i="1" s="1"/>
  <c r="G84" i="1"/>
  <c r="K81" i="1"/>
  <c r="I81" i="1"/>
  <c r="E81" i="1" s="1"/>
  <c r="G81" i="1"/>
  <c r="K78" i="1"/>
  <c r="I78" i="1"/>
  <c r="E78" i="1" s="1"/>
  <c r="G78" i="1"/>
  <c r="K75" i="1"/>
  <c r="I75" i="1"/>
  <c r="E75" i="1" s="1"/>
  <c r="G75" i="1"/>
  <c r="K71" i="1"/>
  <c r="I71" i="1"/>
  <c r="J64" i="1"/>
  <c r="H64" i="1"/>
  <c r="F64" i="1"/>
  <c r="D64" i="1" s="1"/>
  <c r="J61" i="1"/>
  <c r="H61" i="1"/>
  <c r="F61" i="1"/>
  <c r="D61" i="1" s="1"/>
</calcChain>
</file>

<file path=xl/sharedStrings.xml><?xml version="1.0" encoding="utf-8"?>
<sst xmlns="http://schemas.openxmlformats.org/spreadsheetml/2006/main" count="742" uniqueCount="612">
  <si>
    <t>TOTAL</t>
  </si>
  <si>
    <t>Obesidad</t>
  </si>
  <si>
    <t>Total</t>
  </si>
  <si>
    <t>Normal</t>
  </si>
  <si>
    <t>Delgadez</t>
  </si>
  <si>
    <t xml:space="preserve">Sobrepeso </t>
  </si>
  <si>
    <t>Violencia Intrafamiliar</t>
  </si>
  <si>
    <t>Alcohol y drogas</t>
  </si>
  <si>
    <t>Clasificación</t>
  </si>
  <si>
    <t>Persona Adulta Mayor Saludable</t>
  </si>
  <si>
    <t>Transtornos Depresivos</t>
  </si>
  <si>
    <t>NIVEL:</t>
  </si>
  <si>
    <t>DESDE:</t>
  </si>
  <si>
    <t>HASTA:</t>
  </si>
  <si>
    <t>REPORTE :  ETAPA  DE  VIDA  ADULTO MAYOR</t>
  </si>
  <si>
    <t>DIRECCION DE ESTADISTICA E INFORMATICA</t>
  </si>
  <si>
    <t>De 60 a 69 años</t>
  </si>
  <si>
    <t>De 70 a 79 años</t>
  </si>
  <si>
    <t>De 80 años a más</t>
  </si>
  <si>
    <t>Masc</t>
  </si>
  <si>
    <t>Fem</t>
  </si>
  <si>
    <t>A: VALORACIÓN CLÍNICA DEL ADULTO MAYOR (VACAM)</t>
  </si>
  <si>
    <t>(TD='D' AND LC='AS' AND DX='Z008') AND SX='M' AND (ED&gt;=160)</t>
  </si>
  <si>
    <t>(TD='D' AND LC='AS' AND DX='Z008') AND SX='F' AND (ED&gt;=160)</t>
  </si>
  <si>
    <t>(TD='D' AND LC='AS' AND DX='Z008') AND SX='M' AND (ED&gt;=160 AND ED&lt;=169)</t>
  </si>
  <si>
    <t>(TD='D' AND LC='AS' AND DX='Z008') AND SX='F' AND (ED&gt;=160 AND ED&lt;=169)</t>
  </si>
  <si>
    <t>(TD='D' AND LC='AS' AND DX='Z008') AND SX='M' AND (ED&gt;=170 AND ED&lt;=179)</t>
  </si>
  <si>
    <t>(TD='D' AND LC='AS' AND DX='Z008') AND SX='F' AND (ED&gt;=170 AND ED&lt;=179)</t>
  </si>
  <si>
    <t>(TD='D' AND LC='AS' AND DX='Z008') AND SX='M' AND (ED&gt;=180)</t>
  </si>
  <si>
    <t>(TD='D' AND LC='AS' AND DX='Z008') AND SX='F' AND (ED&gt;=180)</t>
  </si>
  <si>
    <t>Persona Adulta Mayor Enferma</t>
  </si>
  <si>
    <t>(TD='D' AND LC='E' AND DX='Z008') AND SX='M' AND (ED&gt;=160)</t>
  </si>
  <si>
    <t>(TD='D' AND LC='E' AND DX='Z008') AND SX='F' AND (ED&gt;=160)</t>
  </si>
  <si>
    <t>(TD='D' AND LC='E' AND DX='Z008') AND SX='M' AND (ED&gt;=160 AND ED&lt;=169)</t>
  </si>
  <si>
    <t>(TD='D' AND LC='E' AND DX='Z008') AND SX='F' AND (ED&gt;=160 AND ED&lt;=169)</t>
  </si>
  <si>
    <t>(TD='D' AND LC='E' AND DX='Z008') AND SX='M' AND (ED&gt;=170 AND ED&lt;=179)</t>
  </si>
  <si>
    <t>(TD='D' AND LC='E' AND DX='Z008') AND SX='F' AND (ED&gt;=170 AND ED&lt;=179)</t>
  </si>
  <si>
    <t>(TD='D' AND LC='E' AND DX='Z008') AND SX='M' AND (ED&gt;=180)</t>
  </si>
  <si>
    <t>(TD='D' AND LC='E' AND DX='Z008') AND SX='F' AND (ED&gt;=180)</t>
  </si>
  <si>
    <t>Persona Adulta Mayor Fragil</t>
  </si>
  <si>
    <t>(TD='D' AND LC='AF' AND DX='Z008') AND SX='M' AND (ED&gt;=160)</t>
  </si>
  <si>
    <t>(TD='D' AND LC='AF' AND DX='Z008') AND SX='F' AND (ED&gt;=160)</t>
  </si>
  <si>
    <t>(TD='D' AND LC='AF' AND DX='Z008') AND SX='M' AND (ED&gt;=160 AND ED&lt;=169)</t>
  </si>
  <si>
    <t>(TD='D' AND LC='AF' AND DX='Z008') AND SX='F' AND (ED&gt;=160 AND ED&lt;=169)</t>
  </si>
  <si>
    <t>(TD='D' AND LC='AF' AND DX='Z008') AND SX='M' AND (ED&gt;=170 AND ED&lt;=179)</t>
  </si>
  <si>
    <t>(TD='D' AND LC='AF' AND DX='Z008') AND SX='F' AND (ED&gt;=170 AND ED&lt;=179)</t>
  </si>
  <si>
    <t>(TD='D' AND LC='AF' AND DX='Z008') AND SX='M' AND (ED&gt;=180)</t>
  </si>
  <si>
    <t>(TD='D' AND LC='AF' AND DX='Z008') AND SX='F' AND (ED&gt;=180)</t>
  </si>
  <si>
    <t>Persona Adulta Mayor Geriatrico complejo</t>
  </si>
  <si>
    <t>(TD='D' AND LC='GC' AND DX='Z008') AND SX='M' AND (ED&gt;=160)</t>
  </si>
  <si>
    <t>(TD='D' AND LC='GC' AND DX='Z008') AND SX='F' AND (ED&gt;=160)</t>
  </si>
  <si>
    <t>(TD='D' AND LC='GC' AND DX='Z008') AND SX='M' AND (ED&gt;=160 AND ED&lt;=169)</t>
  </si>
  <si>
    <t>(TD='D' AND LC='GC' AND DX='Z008') AND SX='F' AND (ED&gt;=160 AND ED&lt;=169)</t>
  </si>
  <si>
    <t>(TD='D' AND LC='GC' AND DX='Z008') AND SX='M' AND (ED&gt;=170 AND ED&lt;=179)</t>
  </si>
  <si>
    <t>(TD='D' AND LC='GC' AND DX='Z008') AND SX='F' AND (ED&gt;=170 AND ED&lt;=179)</t>
  </si>
  <si>
    <t>(TD='D' AND LC='GC' AND DX='Z008') AND SX='M' AND (ED&gt;=180)</t>
  </si>
  <si>
    <t>(TD='D' AND LC='GC' AND DX='Z008') AND SX='F' AND (ED&gt;=180)</t>
  </si>
  <si>
    <t>B: PLAN DE ATENCIÓN</t>
  </si>
  <si>
    <t>Plan de Atencion Integral Elaborado</t>
  </si>
  <si>
    <t>(TD='D' AND LC='1' AND DX='C8002') AND SX='M' AND (ED&gt;=160)</t>
  </si>
  <si>
    <t>(TD='D' AND LC='1' AND DX='C8002') AND SX='F' AND (ED&gt;=160)</t>
  </si>
  <si>
    <t>(TD='D' AND LC='1' AND DX='C8002') AND SX='M' AND (ED&gt;=160 AND ED&lt;=169)</t>
  </si>
  <si>
    <t>(TD='D' AND LC='1' AND DX='C8002') AND SX='F' AND (ED&gt;=160 AND ED&lt;=169)</t>
  </si>
  <si>
    <t>(TD='D' AND LC='1' AND DX='C8002') AND SX='M' AND (ED&gt;=170 AND ED&lt;=179)</t>
  </si>
  <si>
    <t>(TD='D' AND LC='1' AND DX='C8002') AND SX='F' AND (ED&gt;=170 AND ED&lt;=179)</t>
  </si>
  <si>
    <t>(TD='D' AND LC='1' AND DX='C8002') AND SX='M' AND (ED&gt;=180)</t>
  </si>
  <si>
    <t>(TD='D' AND LC='1' AND DX='C8002') AND SX='F' AND (ED&gt;=180)</t>
  </si>
  <si>
    <t>Plan de Atencion Integral Ejecutado</t>
  </si>
  <si>
    <t>(TD='D' AND LC='TA' AND DX='C8002') AND SX='M' AND (ED&gt;=160)</t>
  </si>
  <si>
    <t>(TD='D' AND LC='TA' AND DX='C8002') AND SX='F' AND (ED&gt;=160)</t>
  </si>
  <si>
    <t>(TD='D' AND LC='TA' AND DX='C8002') AND SX='M' AND (ED&gt;=160 AND ED&lt;=169)</t>
  </si>
  <si>
    <t>(TD='D' AND LC='TA' AND DX='C8002') AND SX='F' AND (ED&gt;=160 AND ED&lt;=169)</t>
  </si>
  <si>
    <t>(TD='D' AND LC='TA' AND DX='C8002') AND SX='M' AND (ED&gt;=170 AND ED&lt;=179)</t>
  </si>
  <si>
    <t>(TD='D' AND LC='TA' AND DX='C8002') AND SX='F' AND (ED&gt;=170 AND ED&lt;=179)</t>
  </si>
  <si>
    <t>(TD='D' AND LC='TA' AND DX='C8002') AND SX='M' AND (ED&gt;=180)</t>
  </si>
  <si>
    <t>(TD='D' AND LC='TA' AND DX='C8002') AND SX='F' AND (ED&gt;=180)</t>
  </si>
  <si>
    <t>C: ENTREVISTA DE TAMIZAJE EN SALUD MENTAL</t>
  </si>
  <si>
    <t>Tamizados</t>
  </si>
  <si>
    <t>(TD='D' AND LC='VIF' AND DX='U140') AND SX='M' AND (ED&gt;=160)</t>
  </si>
  <si>
    <t>(TD='D' AND LC='VIF' AND DX='U140') AND SX='F' AND (ED&gt;=160)</t>
  </si>
  <si>
    <t>(TD='D' AND LC='VIF' AND DX='U140') AND SX='M' AND (ED&gt;=160 AND ED&lt;=169)</t>
  </si>
  <si>
    <t>(TD='D' AND LC='VIF' AND DX='U140') AND SX='F' AND (ED&gt;=160 AND ED&lt;=169)</t>
  </si>
  <si>
    <t>(TD='D' AND LC='VIF' AND DX='U140') AND SX='M' AND (ED&gt;=170 AND ED&lt;=179)</t>
  </si>
  <si>
    <t>(TD='D' AND LC='VIF' AND DX='U140') AND SX='F' AND (ED&gt;=170 AND ED&lt;=179)</t>
  </si>
  <si>
    <t>(TD='D' AND LC='VIF' AND DX='U140') AND SX='M' AND (ED&gt;=180)</t>
  </si>
  <si>
    <t>(TD='D' AND LC='VIF' AND DX='U140') AND SX='F' AND (ED&gt;=180)</t>
  </si>
  <si>
    <t>(TD='D' AND LC='TD' AND DX='U140') AND SX='M' AND (ED&gt;=160)</t>
  </si>
  <si>
    <t>(TD='D' AND LC='TD' AND DX='U140') AND SX='F' AND (ED&gt;=160)</t>
  </si>
  <si>
    <t>(TD='D' AND LC='TD' AND DX='U140') AND SX='M' AND (ED&gt;=160 AND ED&lt;=169)</t>
  </si>
  <si>
    <t>(TD='D' AND LC='TD' AND DX='U140') AND SX='F' AND (ED&gt;=160 AND ED&lt;=169)</t>
  </si>
  <si>
    <t>(TD='D' AND LC='TD' AND DX='U140') AND SX='M' AND (ED&gt;=170 AND ED&lt;=179)</t>
  </si>
  <si>
    <t>(TD='D' AND LC='TD' AND DX='U140') AND SX='F' AND (ED&gt;=170 AND ED&lt;=179)</t>
  </si>
  <si>
    <t>(TD='D' AND LC='TD' AND DX='U140') AND SX='M' AND (ED&gt;=180)</t>
  </si>
  <si>
    <t>(TD='D' AND LC='TD' AND DX='U140') AND SX='F' AND (ED&gt;=180)</t>
  </si>
  <si>
    <t>(TD='D' AND LC='AD' AND DX='U140') AND SX='M' AND (ED&gt;=160)</t>
  </si>
  <si>
    <t>(TD='D' AND LC='AD' AND DX='U140') AND SX='F' AND (ED&gt;=160)</t>
  </si>
  <si>
    <t>(TD='D' AND LC='AD' AND DX='U140') AND SX='M' AND (ED&gt;=160 AND ED&lt;=169)</t>
  </si>
  <si>
    <t>(TD='D' AND LC='AD' AND DX='U140') AND SX='F' AND (ED&gt;=160 AND ED&lt;=169)</t>
  </si>
  <si>
    <t>(TD='D' AND LC='AD' AND DX='U140') AND SX='M' AND (ED&gt;=170 AND ED&lt;=179)</t>
  </si>
  <si>
    <t>(TD='D' AND LC='AD' AND DX='U140') AND SX='F' AND (ED&gt;=170 AND ED&lt;=179)</t>
  </si>
  <si>
    <t>(TD='D' AND LC='AD' AND DX='U140') AND SX='M' AND (ED&gt;=180)</t>
  </si>
  <si>
    <t>(TD='D' AND LC='AD' AND DX='U140') AND SX='F' AND (ED&gt;=180)</t>
  </si>
  <si>
    <t>Episodio Psicótico</t>
  </si>
  <si>
    <t>(TD='D' AND LC='EP' AND DX='U140') AND SX='M' AND (ED&gt;=160)</t>
  </si>
  <si>
    <t>(TD='D' AND LC='EP' AND DX='U140') AND SX='F' AND (ED&gt;=160)</t>
  </si>
  <si>
    <t>(TD='D' AND LC='EP' AND DX='U140') AND SX='M' AND (ED&gt;=160 AND ED&lt;=169)</t>
  </si>
  <si>
    <t>(TD='D' AND LC='EP' AND DX='U140') AND SX='F' AND (ED&gt;=160 AND ED&lt;=169)</t>
  </si>
  <si>
    <t>(TD='D' AND LC='EP' AND DX='U140') AND SX='M' AND (ED&gt;=170 AND ED&lt;=179)</t>
  </si>
  <si>
    <t>(TD='D' AND LC='EP' AND DX='U140') AND SX='F' AND (ED&gt;=170 AND ED&lt;=179)</t>
  </si>
  <si>
    <t>(TD='D' AND LC='EP' AND DX='U140') AND SX='M' AND (ED&gt;=180)</t>
  </si>
  <si>
    <t>(TD='D' AND LC='EP' AND DX='U140') AND SX='F' AND (ED&gt;=180)</t>
  </si>
  <si>
    <t>Tamizaje en Víctimas de Violencia Política</t>
  </si>
  <si>
    <t>(TD='D' AND LC IN('VIF','TD','AD','EP') AND DX='U140') AND SX='M' AND (ED&gt;=160) + DX='Z654'</t>
  </si>
  <si>
    <t>(TD='D' AND LC IN('VIF','TD','AD','EP') AND DX='U140') AND SX='F' AND (ED&gt;=160) + DX='Z654'</t>
  </si>
  <si>
    <t>(TD='D' AND LC IN('VIF','TD','AD','EP') AND DX='U140') AND SX='M' AND (ED&gt;=160 AND ED&lt;=169) + DX='Z654'</t>
  </si>
  <si>
    <t>(TD='D' AND LC IN('VIF','TD','AD','EP') AND DX='U140') AND SX='F' AND (ED&gt;=160 AND ED&lt;=169) + DX='Z654'</t>
  </si>
  <si>
    <t>(TD='D' AND LC IN('VIF','TD','AD','EP') AND DX='U140') AND SX='M' AND (ED&gt;=170 AND ED&lt;=179) + DX='Z654'</t>
  </si>
  <si>
    <t>(TD='D' AND LC IN('VIF','TD','AD','EP') AND DX='U140') AND SX='F' AND (ED&gt;=170 AND ED&lt;=179) + DX='Z654'</t>
  </si>
  <si>
    <t>(TD='D' AND LC IN('VIF','TD','AD','EP') AND DX='U140') AND SX='M' AND (ED&gt;=180) + DX='Z654'</t>
  </si>
  <si>
    <t>(TD='D' AND LC IN('VIF','TD','AD','EP') AND DX='U140') AND SX='F' AND (ED&gt;=180) + DX='Z654'</t>
  </si>
  <si>
    <t>Positivos</t>
  </si>
  <si>
    <t>(TD='D' AND LC='VIF' AND DX='U140') AND SX='M' AND (ED&gt;=160) + DX='R456'</t>
  </si>
  <si>
    <t>(TD='D' AND LC='VIF' AND DX='U140') AND SX='F' AND (ED&gt;=160) + DX='R456'</t>
  </si>
  <si>
    <t>(TD='D' AND LC='VIF' AND DX='U140') AND SX='M' AND (ED&gt;=160 AND ED&lt;=169) + DX='R456'</t>
  </si>
  <si>
    <t>(TD='D' AND LC='VIF' AND DX='U140') AND SX='F' AND (ED&gt;=160 AND ED&lt;=169) + DX='R456'</t>
  </si>
  <si>
    <t>(TD='D' AND LC='VIF' AND DX='U140') AND SX='M' AND (ED&gt;=170 AND ED&lt;=179) + DX='R456'</t>
  </si>
  <si>
    <t>(TD='D' AND LC='VIF' AND DX='U140') AND SX='F' AND (ED&gt;=170 AND ED&lt;=179) + DX='R456'</t>
  </si>
  <si>
    <t>(TD='D' AND LC='VIF' AND DX='U140') AND SX='M' AND (ED&gt;=180) + DX='R456'</t>
  </si>
  <si>
    <t>(TD='D' AND LC='VIF' AND DX='U140') AND SX='F' AND (ED&gt;=180) + DX='R456'</t>
  </si>
  <si>
    <t>(TD='D' AND LC='TD' AND DX='U140') AND SX='M' AND (ED&gt;=160) + DX='Z133'</t>
  </si>
  <si>
    <t>(TD='D' AND LC='TD' AND DX='U140') AND SX='F' AND (ED&gt;=160) + DX='Z133'</t>
  </si>
  <si>
    <t>(TD='D' AND LC='TD' AND DX='U140') AND SX='M' AND (ED&gt;=160 AND ED&lt;=169) + DX='Z133'</t>
  </si>
  <si>
    <t>(TD='D' AND LC='TD' AND DX='U140') AND SX='F' AND (ED&gt;=160 AND ED&lt;=169) + DX='Z133'</t>
  </si>
  <si>
    <t>(TD='D' AND LC='TD' AND DX='U140') AND SX='M' AND (ED&gt;=170 AND ED&lt;=179) + DX='Z133'</t>
  </si>
  <si>
    <t>(TD='D' AND LC='TD' AND DX='U140') AND SX='F' AND (ED&gt;=170 AND ED&lt;=179) + DX='Z133'</t>
  </si>
  <si>
    <t>(TD='D' AND LC='TD' AND DX='U140') AND SX='M' AND (ED&gt;=180) + DX='Z133'</t>
  </si>
  <si>
    <t>(TD='D' AND LC='TD' AND DX='U140') AND SX='F' AND (ED&gt;=180) + DX='Z133'</t>
  </si>
  <si>
    <t>Problemas Relacionados con el Uso de Tabaco</t>
  </si>
  <si>
    <t>(TD='D' AND LC='AD' AND DX='U140') AND SX='M' AND (ED&gt;=160) + DX='Z720'</t>
  </si>
  <si>
    <t>(TD='D' AND LC='AD' AND DX='U140') AND SX='F' AND (ED&gt;=160) + DX='Z720'</t>
  </si>
  <si>
    <t>(TD='D' AND LC='AD' AND DX='U140') AND SX='M' AND (ED&gt;=160 AND ED&lt;=169) + DX='Z720'</t>
  </si>
  <si>
    <t>(TD='D' AND LC='AD' AND DX='U140') AND SX='F' AND (ED&gt;=160 AND ED&lt;=169) + DX='Z720'</t>
  </si>
  <si>
    <t>(TD='D' AND LC='AD' AND DX='U140') AND SX='M' AND (ED&gt;=170 AND ED&lt;=179) + DX='Z720'</t>
  </si>
  <si>
    <t>(TD='D' AND LC='AD' AND DX='U140') AND SX='F' AND (ED&gt;=170 AND ED&lt;=179) + DX='Z720'</t>
  </si>
  <si>
    <t>(TD='D' AND LC='AD' AND DX='U140') AND SX='M' AND (ED&gt;=180) + DX='Z720'</t>
  </si>
  <si>
    <t>(TD='D' AND LC='AD' AND DX='U140') AND SX='F' AND (ED&gt;=180) + DX='Z720'</t>
  </si>
  <si>
    <t>Problemas Sociales Relacionados con el Uso de Alcohol</t>
  </si>
  <si>
    <t>(TD='D' AND LC='AD' AND DX='U140') AND SX='M' AND (ED&gt;=160) + DX='Z721'</t>
  </si>
  <si>
    <t>(TD='D' AND LC='AD' AND DX='U140') AND SX='F' AND (ED&gt;=160) + DX='Z721'</t>
  </si>
  <si>
    <t>(TD='D' AND LC='AD' AND DX='U140') AND SX='M' AND (ED&gt;=160 AND ED&lt;=169) + DX='Z721'</t>
  </si>
  <si>
    <t>(TD='D' AND LC='AD' AND DX='U140') AND SX='F' AND (ED&gt;=160 AND ED&lt;=169) + DX='Z721'</t>
  </si>
  <si>
    <t>(TD='D' AND LC='AD' AND DX='U140') AND SX='M' AND (ED&gt;=170 AND ED&lt;=179) + DX='Z721'</t>
  </si>
  <si>
    <t>(TD='D' AND LC='AD' AND DX='U140') AND SX='F' AND (ED&gt;=170 AND ED&lt;=179) + DX='Z721'</t>
  </si>
  <si>
    <t>(TD='D' AND LC='AD' AND DX='U140') AND SX='M' AND (ED&gt;=180) + DX='Z721'</t>
  </si>
  <si>
    <t>(TD='D' AND LC='AD' AND DX='U140') AND SX='F' AND (ED&gt;=180) + DX='Z721'</t>
  </si>
  <si>
    <t>Problemas Sociales Relacionados con el Uso de drogas</t>
  </si>
  <si>
    <t>(TD='D' AND LC='AD' AND DX='U140') AND SX='M' AND (ED&gt;=160) + DX='Z722'</t>
  </si>
  <si>
    <t>(TD='D' AND LC='AD' AND DX='U140') AND SX='F' AND (ED&gt;=160) + DX='Z722'</t>
  </si>
  <si>
    <t>(TD='D' AND LC='AD' AND DX='U140') AND SX='M' AND (ED&gt;=160 AND ED&lt;=169) + DX='Z722'</t>
  </si>
  <si>
    <t>(TD='D' AND LC='AD' AND DX='U140') AND SX='F' AND (ED&gt;=160 AND ED&lt;=169) + DX='Z722'</t>
  </si>
  <si>
    <t>(TD='D' AND LC='AD' AND DX='U140') AND SX='M' AND (ED&gt;=170 AND ED&lt;=179) + DX='Z722'</t>
  </si>
  <si>
    <t>(TD='D' AND LC='AD' AND DX='U140') AND SX='F' AND (ED&gt;=170 AND ED&lt;=179) + DX='Z722'</t>
  </si>
  <si>
    <t>(TD='D' AND LC='AD' AND DX='U140') AND SX='M' AND (ED&gt;=180) + DX='Z722'</t>
  </si>
  <si>
    <t>(TD='D' AND LC='AD' AND DX='U140') AND SX='F' AND (ED&gt;=180) + DX='Z722'</t>
  </si>
  <si>
    <t>(TD='D' AND LC='EP' AND DX='U140') AND SX='M' AND (ED&gt;=160) + DX='Z133'</t>
  </si>
  <si>
    <t>(TD='D' AND LC='EP' AND DX='U140') AND SX='F' AND (ED&gt;=160) + DX='Z133'</t>
  </si>
  <si>
    <t>(TD='D' AND LC='EP' AND DX='U140') AND SX='M' AND (ED&gt;=160 AND ED&lt;=169) + DX='Z133'</t>
  </si>
  <si>
    <t>(TD='D' AND LC='EP' AND DX='U140') AND SX='F' AND (ED&gt;=160 AND ED&lt;=169) + DX='Z133'</t>
  </si>
  <si>
    <t>(TD='D' AND LC='EP' AND DX='U140') AND SX='M' AND (ED&gt;=170 AND ED&lt;=179) + DX='Z133'</t>
  </si>
  <si>
    <t>(TD='D' AND LC='EP' AND DX='U140') AND SX='F' AND (ED&gt;=170 AND ED&lt;=179) + DX='Z133'</t>
  </si>
  <si>
    <t>(TD='D' AND LC='EP' AND DX='U140') AND SX='M' AND (ED&gt;=180) + DX='Z133'</t>
  </si>
  <si>
    <t>(TD='D' AND LC='EP' AND DX='U140') AND SX='F' AND (ED&gt;=180) + DX='Z133'</t>
  </si>
  <si>
    <t>Tamizaje Positivo en Víctimas de Violencia Política</t>
  </si>
  <si>
    <t>(TD='D' AND LC IN('VIF','TD','AD','EP') AND DX='U140') AND SX='M' AND (ED&gt;=160) + DX IN('R456','Z133','Z720','Z721','Z722') + DX='Z654'</t>
  </si>
  <si>
    <t>(TD='D' AND LC IN('VIF','TD','AD','EP') AND DX='U140') AND SX='F' AND (ED&gt;=160) + DX IN('R456','Z133','Z720','Z721','Z722') + DX='Z654'</t>
  </si>
  <si>
    <t>(TD='D' AND LC IN('VIF','TD','AD','EP') AND DX='U140') AND SX='M' AND (ED&gt;=160 AND ED&lt;=169) + DX IN('R456','Z133','Z720','Z721','Z722') + DX='Z654'</t>
  </si>
  <si>
    <t>(TD='D' AND LC IN('VIF','TD','AD','EP') AND DX='U140') AND SX='F' AND (ED&gt;=160 AND ED&lt;=169) + DX IN('R456','Z133','Z720','Z721','Z722') + DX='Z654'</t>
  </si>
  <si>
    <t>(TD='D' AND LC IN('VIF','TD','AD','EP') AND DX='U140') AND SX='M' AND (ED&gt;=170 AND ED&lt;=179) + DX IN('R456','Z133','Z720','Z721','Z722') + DX='Z654'</t>
  </si>
  <si>
    <t>(TD='D' AND LC IN('VIF','TD','AD','EP') AND DX='U140') AND SX='F' AND (ED&gt;=170 AND ED&lt;=179) + DX IN('R456','Z133','Z720','Z721','Z722') + DX='Z654'</t>
  </si>
  <si>
    <t>(TD='D' AND LC IN('VIF','TD','AD','EP') AND DX='U140') AND SX='M' AND (ED&gt;=180) + DX IN('R456','Z133','Z720','Z721','Z722') + DX='Z654'</t>
  </si>
  <si>
    <t>(TD='D' AND LC IN('VIF','TD','AD','EP') AND DX='U140') AND SX='F' AND (ED&gt;=180) + DX IN('R456','Z133','Z720','Z721','Z722') + DX='Z654'</t>
  </si>
  <si>
    <t>D: CLASIFICACIÓN DEL ESTADO NUTRICIONAL DEL ADULTO MAYOR</t>
  </si>
  <si>
    <t>Índice de Masa Corporal</t>
  </si>
  <si>
    <t>IMC</t>
  </si>
  <si>
    <t>(TD='D' AND LC='IMC' AND DX='E46X') AND SX='M' AND (ED&gt;=160)</t>
  </si>
  <si>
    <t>(TD='D' AND LC='IMC' AND DX='E46X') AND SX='F' AND (ED&gt;=160)</t>
  </si>
  <si>
    <t>(TD='D' AND LC='IMC' AND DX='E46X') AND SX='M' AND (ED&gt;=160 AND ED&lt;=169)</t>
  </si>
  <si>
    <t>(TD='D' AND LC='IMC' AND DX='E46X') AND SX='F' AND (ED&gt;=160 AND ED&lt;=169)</t>
  </si>
  <si>
    <t>(TD='D' AND LC='IMC' AND DX='E46X') AND SX='M' AND (ED&gt;=170 AND ED&lt;=179)</t>
  </si>
  <si>
    <t>(TD='D' AND LC='IMC' AND DX='E46X') AND SX='F' AND (ED&gt;=170 AND ED&lt;=179)</t>
  </si>
  <si>
    <t>(TD='D' AND LC='IMC' AND DX='E46X') AND SX='M' AND (ED&gt;=180)</t>
  </si>
  <si>
    <t>(TD='D' AND LC='IMC' AND DX='E46X') AND SX='F' AND (ED&gt;=180)</t>
  </si>
  <si>
    <t>(TD='D' AND LC='IMC' AND DX='Z006') AND SX='M' AND (ED&gt;=160)</t>
  </si>
  <si>
    <t>(TD='D' AND LC='IMC' AND DX='Z006') AND SX='F' AND (ED&gt;=160)</t>
  </si>
  <si>
    <t>(TD='D' AND LC='IMC' AND DX='Z006') AND SX='M' AND (ED&gt;=160 AND ED&lt;=169)</t>
  </si>
  <si>
    <t>(TD='D' AND LC='IMC' AND DX='Z006') AND SX='F' AND (ED&gt;=160 AND ED&lt;=169)</t>
  </si>
  <si>
    <t>(TD='D' AND LC='IMC' AND DX='Z006') AND SX='M' AND (ED&gt;=170 AND ED&lt;=179)</t>
  </si>
  <si>
    <t>(TD='D' AND LC='IMC' AND DX='Z006') AND SX='F' AND (ED&gt;=170 AND ED&lt;=179)</t>
  </si>
  <si>
    <t>(TD='D' AND LC='IMC' AND DX='Z006') AND SX='M' AND (ED&gt;=180)</t>
  </si>
  <si>
    <t>(TD='D' AND LC='IMC' AND DX='Z006') AND SX='F' AND (ED&gt;=180)</t>
  </si>
  <si>
    <t>(TD='D' AND LC='IMC' AND DX='E660') AND SX='M' AND (ED&gt;=160)</t>
  </si>
  <si>
    <t>(TD='D' AND LC='IMC' AND DX='E660') AND SX='F' AND (ED&gt;=160)</t>
  </si>
  <si>
    <t>(TD='D' AND LC='IMC' AND DX='E660') AND SX='M' AND (ED&gt;=160 AND ED&lt;=169)</t>
  </si>
  <si>
    <t>(TD='D' AND LC='IMC' AND DX='E660') AND SX='F' AND (ED&gt;=160 AND ED&lt;=169)</t>
  </si>
  <si>
    <t>(TD='D' AND LC='IMC' AND DX='E660') AND SX='M' AND (ED&gt;=170 AND ED&lt;=179)</t>
  </si>
  <si>
    <t>(TD='D' AND LC='IMC' AND DX='E660') AND SX='F' AND (ED&gt;=170 AND ED&lt;=179)</t>
  </si>
  <si>
    <t>(TD='D' AND LC='IMC' AND DX='E660') AND SX='M' AND (ED&gt;=180)</t>
  </si>
  <si>
    <t>(TD='D' AND LC='IMC' AND DX='E660') AND SX='F' AND (ED&gt;=180)</t>
  </si>
  <si>
    <t>(TD='D' AND LC='IMC' AND DX='E669') AND SX='M' AND (ED&gt;=160)</t>
  </si>
  <si>
    <t>(TD='D' AND LC='IMC' AND DX='E669') AND SX='F' AND (ED&gt;=160)</t>
  </si>
  <si>
    <t>(TD='D' AND LC='IMC' AND DX='E669') AND SX='M' AND (ED&gt;=160 AND ED&lt;=169)</t>
  </si>
  <si>
    <t>(TD='D' AND LC='IMC' AND DX='E669') AND SX='F' AND (ED&gt;=160 AND ED&lt;=169)</t>
  </si>
  <si>
    <t>(TD='D' AND LC='IMC' AND DX='E669') AND SX='M' AND (ED&gt;=170 AND ED&lt;=179)</t>
  </si>
  <si>
    <t>(TD='D' AND LC='IMC' AND DX='E669') AND SX='F' AND (ED&gt;=170 AND ED&lt;=179)</t>
  </si>
  <si>
    <t>(TD='D' AND LC='IMC' AND DX='E669') AND SX='M' AND (ED&gt;=180)</t>
  </si>
  <si>
    <t>(TD='D' AND LC='IMC' AND DX='E669') AND SX='F' AND (ED&gt;=180)</t>
  </si>
  <si>
    <t>Evaluación del Perímetro Abdominal</t>
  </si>
  <si>
    <t>PAB</t>
  </si>
  <si>
    <t>Riesgo Bajo</t>
  </si>
  <si>
    <t>(TD='D' AND LC='RSM' AND DX='U8170') AND SX='M' AND (ED&gt;=160)</t>
  </si>
  <si>
    <t>(TD='D' AND LC='RSM' AND DX='U8170') AND SX='F' AND (ED&gt;=160)</t>
  </si>
  <si>
    <t>(TD='D' AND LC='RSM' AND DX='U8170') AND SX='M' AND (ED&gt;=160 AND ED&lt;=169)</t>
  </si>
  <si>
    <t>(TD='D' AND LC='RSM' AND DX='U8170') AND SX='F' AND (ED&gt;=160 AND ED&lt;=169)</t>
  </si>
  <si>
    <t>(TD='D' AND LC='RSM' AND DX='U8170') AND SX='M' AND (ED&gt;=170 AND ED&lt;=179)</t>
  </si>
  <si>
    <t>(TD='D' AND LC='RSM' AND DX='U8170') AND SX='F' AND (ED&gt;=170 AND ED&lt;=179)</t>
  </si>
  <si>
    <t>(TD='D' AND LC='RSM' AND DX='U8170') AND SX='M' AND (ED&gt;=180)</t>
  </si>
  <si>
    <t>(TD='D' AND LC='RSM' AND DX='U8170') AND SX='F' AND (ED&gt;=180)</t>
  </si>
  <si>
    <t>Riesgo Alto</t>
  </si>
  <si>
    <t>(TD='D' AND LC='RSA' AND DX='U8170') AND SX='M' AND (ED&gt;=160)</t>
  </si>
  <si>
    <t>(TD='D' AND LC='RSA' AND DX='U8170') AND SX='F' AND (ED&gt;=160)</t>
  </si>
  <si>
    <t>(TD='D' AND LC='RSA' AND DX='U8170') AND SX='M' AND (ED&gt;=160 AND ED&lt;=169)</t>
  </si>
  <si>
    <t>(TD='D' AND LC='RSA' AND DX='U8170') AND SX='F' AND (ED&gt;=160 AND ED&lt;=169)</t>
  </si>
  <si>
    <t>(TD='D' AND LC='RSA' AND DX='U8170') AND SX='M' AND (ED&gt;=170 AND ED&lt;=179)</t>
  </si>
  <si>
    <t>(TD='D' AND LC='RSA' AND DX='U8170') AND SX='F' AND (ED&gt;=170 AND ED&lt;=179)</t>
  </si>
  <si>
    <t>(TD='D' AND LC='RSA' AND DX='U8170') AND SX='M' AND (ED&gt;=180)</t>
  </si>
  <si>
    <t>(TD='D' AND LC='RSA' AND DX='U8170') AND SX='F' AND (ED&gt;=180)</t>
  </si>
  <si>
    <t>Riesgo Muy Alto</t>
  </si>
  <si>
    <t>(TD='D' AND LC='RMA' AND DX='U8170') AND SX='M' AND (ED&gt;=160)</t>
  </si>
  <si>
    <t>(TD='D' AND LC='RMA' AND DX='U8170') AND SX='F' AND (ED&gt;=160)</t>
  </si>
  <si>
    <t>(TD='D' AND LC='RMA' AND DX='U8170') AND SX='M' AND (ED&gt;=160 AND ED&lt;=169)</t>
  </si>
  <si>
    <t>(TD='D' AND LC='RMA' AND DX='U8170') AND SX='F' AND (ED&gt;=160 AND ED&lt;=169)</t>
  </si>
  <si>
    <t>(TD='D' AND LC='RMA' AND DX='U8170') AND SX='M' AND (ED&gt;=170 AND ED&lt;=179)</t>
  </si>
  <si>
    <t>(TD='D' AND LC='RMA' AND DX='U8170') AND SX='F' AND (ED&gt;=170 AND ED&lt;=179)</t>
  </si>
  <si>
    <t>(TD='D' AND LC='RMA' AND DX='U8170') AND SX='M' AND (ED&gt;=180)</t>
  </si>
  <si>
    <t>(TD='D' AND LC='RMA' AND DX='U8170') AND SX='F' AND (ED&gt;=180)</t>
  </si>
  <si>
    <t>Mini Valoración Nutricional</t>
  </si>
  <si>
    <t>MVN</t>
  </si>
  <si>
    <t>Bien Nutridos</t>
  </si>
  <si>
    <t>(TD='D' AND LC='MVN' AND DX='Z006') AND SX='M' AND (ED&gt;=160)</t>
  </si>
  <si>
    <t>(TD='D' AND LC='MVN' AND DX='Z006') AND SX='F' AND (ED&gt;=160)</t>
  </si>
  <si>
    <t>(TD='D' AND LC='MVN' AND DX='Z006') AND SX='M' AND (ED&gt;=160 AND ED&lt;=169)</t>
  </si>
  <si>
    <t>(TD='D' AND LC='MVN' AND DX='Z006') AND SX='F' AND (ED&gt;=160 AND ED&lt;=169)</t>
  </si>
  <si>
    <t>(TD='D' AND LC='MVN' AND DX='Z006') AND SX='M' AND (ED&gt;=170 AND ED&lt;=179)</t>
  </si>
  <si>
    <t>(TD='D' AND LC='MVN' AND DX='Z006') AND SX='F' AND (ED&gt;=170 AND ED&lt;=179)</t>
  </si>
  <si>
    <t>(TD='D' AND LC='MVN' AND DX='Z006') AND SX='M' AND (ED&gt;=180)</t>
  </si>
  <si>
    <t>(TD='D' AND LC='MVN' AND DX='Z006') AND SX='F' AND (ED&gt;=180)</t>
  </si>
  <si>
    <t>Riesgo de Desnutrición</t>
  </si>
  <si>
    <t>(TD='D' AND LC='MVN' AND DX='Z274') AND SX='M' AND (ED&gt;=160)</t>
  </si>
  <si>
    <t>(TD='D' AND LC='MVN' AND DX='Z274') AND SX='F' AND (ED&gt;=160)</t>
  </si>
  <si>
    <t>(TD='D' AND LC='MVN' AND DX='Z274') AND SX='M' AND (ED&gt;=160 AND ED&lt;=169)</t>
  </si>
  <si>
    <t>(TD='D' AND LC='MVN' AND DX='Z274') AND SX='F' AND (ED&gt;=160 AND ED&lt;=169)</t>
  </si>
  <si>
    <t>(TD='D' AND LC='MVN' AND DX='Z274') AND SX='M' AND (ED&gt;=170 AND ED&lt;=179)</t>
  </si>
  <si>
    <t>(TD='D' AND LC='MVN' AND DX='Z274') AND SX='F' AND (ED&gt;=170 AND ED&lt;=179)</t>
  </si>
  <si>
    <t>(TD='D' AND LC='MVN' AND DX='Z274') AND SX='M' AND (ED&gt;=180)</t>
  </si>
  <si>
    <t>(TD='D' AND LC='MVN' AND DX='Z274') AND SX='F' AND (ED&gt;=180)</t>
  </si>
  <si>
    <t>Desnutrido</t>
  </si>
  <si>
    <t>(TD='D' AND LC='MVN' AND DX='E649') AND SX='M' AND (ED&gt;=160)</t>
  </si>
  <si>
    <t>(TD='D' AND LC='MVN' AND DX='E649') AND SX='F' AND (ED&gt;=160)</t>
  </si>
  <si>
    <t>(TD='D' AND LC='MVN' AND DX='E649') AND SX='M' AND (ED&gt;=160 AND ED&lt;=169)</t>
  </si>
  <si>
    <t>(TD='D' AND LC='MVN' AND DX='E649') AND SX='F' AND (ED&gt;=160 AND ED&lt;=169)</t>
  </si>
  <si>
    <t>(TD='D' AND LC='MVN' AND DX='E649') AND SX='M' AND (ED&gt;=170 AND ED&lt;=179)</t>
  </si>
  <si>
    <t>(TD='D' AND LC='MVN' AND DX='E649') AND SX='F' AND (ED&gt;=170 AND ED&lt;=179)</t>
  </si>
  <si>
    <t>(TD='D' AND LC='MVN' AND DX='E649') AND SX='M' AND (ED&gt;=180)</t>
  </si>
  <si>
    <t>(TD='D' AND LC='MVN' AND DX='E649') AND SX='F' AND (ED&gt;=180)</t>
  </si>
  <si>
    <t>Atención en Nutrición</t>
  </si>
  <si>
    <t>1º Atención</t>
  </si>
  <si>
    <t>(TD='D' AND LC='1' AND DX=='99209') AND SX='M' AND (ED&gt;=160)</t>
  </si>
  <si>
    <t>(TD='D' AND LC='1' AND DX=='99209') AND SX='F' AND (ED&gt;=160)</t>
  </si>
  <si>
    <t>(TD='D' AND LC='1' AND DX=='99209') AND SX='M' AND (ED&gt;=160 AND ED&lt;=169)</t>
  </si>
  <si>
    <t>(TD='D' AND LC='1' AND DX=='99209') AND SX='F' AND (ED&gt;=160 AND ED&lt;=169)</t>
  </si>
  <si>
    <t>(TD='D' AND LC='1' AND DX=='99209') AND SX='M' AND (ED&gt;=170 AND ED&lt;=179)</t>
  </si>
  <si>
    <t>(TD='D' AND LC='1' AND DX=='99209') AND SX='F' AND (ED&gt;=170 AND ED&lt;=179)</t>
  </si>
  <si>
    <t>(TD='D' AND LC='1' AND DX=='99209') AND SX='M' AND (ED&gt;=180)</t>
  </si>
  <si>
    <t>(TD='D' AND LC='1' AND DX=='99209') AND SX='F' AND (ED&gt;=180)</t>
  </si>
  <si>
    <t>2º Atención</t>
  </si>
  <si>
    <t>(TD='D' AND LC='2' AND DX=='99209') AND SX='M' AND (ED&gt;=160)</t>
  </si>
  <si>
    <t>(TD='D' AND LC='2' AND DX=='99209') AND SX='F' AND (ED&gt;=160)</t>
  </si>
  <si>
    <t>(TD='D' AND LC='2' AND DX=='99209') AND SX='M' AND (ED&gt;=160 AND ED&lt;=169)</t>
  </si>
  <si>
    <t>(TD='D' AND LC='2' AND DX=='99209') AND SX='F' AND (ED&gt;=160 AND ED&lt;=169)</t>
  </si>
  <si>
    <t>(TD='D' AND LC='2' AND DX=='99209') AND SX='M' AND (ED&gt;=170 AND ED&lt;=179)</t>
  </si>
  <si>
    <t>(TD='D' AND LC='2' AND DX=='99209') AND SX='F' AND (ED&gt;=170 AND ED&lt;=179)</t>
  </si>
  <si>
    <t>(TD='D' AND LC='2' AND DX=='99209') AND SX='M' AND (ED&gt;=180)</t>
  </si>
  <si>
    <t>(TD='D' AND LC='2' AND DX=='99209') AND SX='F' AND (ED&gt;=180)</t>
  </si>
  <si>
    <t>3º Atención</t>
  </si>
  <si>
    <t>(TD='D' AND LC='3' AND DX=='99209') AND SX='M' AND (ED&gt;=160)</t>
  </si>
  <si>
    <t>(TD='D' AND LC='3' AND DX=='99209') AND SX='F' AND (ED&gt;=160)</t>
  </si>
  <si>
    <t>(TD='D' AND LC='3' AND DX=='99209') AND SX='M' AND (ED&gt;=160 AND ED&lt;=169)</t>
  </si>
  <si>
    <t>(TD='D' AND LC='3' AND DX=='99209') AND SX='F' AND (ED&gt;=160 AND ED&lt;=169)</t>
  </si>
  <si>
    <t>(TD='D' AND LC='3' AND DX=='99209') AND SX='M' AND (ED&gt;=170 AND ED&lt;=179)</t>
  </si>
  <si>
    <t>(TD='D' AND LC='3' AND DX=='99209') AND SX='F' AND (ED&gt;=170 AND ED&lt;=179)</t>
  </si>
  <si>
    <t>(TD='D' AND LC='3' AND DX=='99209') AND SX='M' AND (ED&gt;=180)</t>
  </si>
  <si>
    <t>(TD='D' AND LC='3' AND DX=='99209') AND SX='F' AND (ED&gt;=180)</t>
  </si>
  <si>
    <t>4º a + Atenciones</t>
  </si>
  <si>
    <t>(TD='D' AND VAL(LC)&gt;=4 AND DX=='99209') AND SX='M' AND (ED&gt;=160)</t>
  </si>
  <si>
    <t>(TD='D' AND VAL(LC)&gt;=4 AND DX=='99209') AND SX='F' AND (ED&gt;=160)</t>
  </si>
  <si>
    <t>(TD='D' AND VAL(LC)&gt;=4 AND DX=='99209') AND SX='M' AND (ED&gt;=160 AND ED&lt;=169)</t>
  </si>
  <si>
    <t>(TD='D' AND VAL(LC)&gt;=4 AND DX=='99209') AND SX='F' AND (ED&gt;=160 AND ED&lt;=169)</t>
  </si>
  <si>
    <t>(TD='D' AND VAL(LC)&gt;=4 AND DX=='99209') AND SX='M' AND (ED&gt;=170 AND ED&lt;=179)</t>
  </si>
  <si>
    <t>(TD='D' AND VAL(LC)&gt;=4 AND DX=='99209') AND SX='F' AND (ED&gt;=170 AND ED&lt;=179)</t>
  </si>
  <si>
    <t>(TD='D' AND VAL(LC)&gt;=4 AND DX=='99209') AND SX='M' AND (ED&gt;=180)</t>
  </si>
  <si>
    <t>(TD='D' AND VAL(LC)&gt;=4 AND DX=='99209') AND SX='F' AND (ED&gt;=180)</t>
  </si>
  <si>
    <t>Indicación Nutricional</t>
  </si>
  <si>
    <t>Recomendación Nutricional</t>
  </si>
  <si>
    <t>(TD='D' AND DX=='99209') AND SX='M' AND (ED&gt;=160) + LC='RN'</t>
  </si>
  <si>
    <t>(TD='D' AND DX=='99209') AND SX='F' AND (ED&gt;=160) + LC='RN'</t>
  </si>
  <si>
    <t>(TD='D' AND DX=='99209') AND SX='M' AND (ED&gt;=160 AND ED&lt;=169) + LC='RN'</t>
  </si>
  <si>
    <t>(TD='D' AND DX=='99209') AND SX='F' AND (ED&gt;=160 AND ED&lt;=169) + LC='RN'</t>
  </si>
  <si>
    <t>(TD='D' AND DX=='99209') AND SX='M' AND (ED&gt;=170 AND ED&lt;=179) + LC='RN'</t>
  </si>
  <si>
    <t>(TD='D' AND DX=='99209') AND SX='F' AND (ED&gt;=170 AND ED&lt;=179) + LC='RN'</t>
  </si>
  <si>
    <t>(TD='D' AND DX=='99209') AND SX='M' AND (ED&gt;=180) + LC='RN'</t>
  </si>
  <si>
    <t>(TD='D' AND DX=='99209') AND SX='F' AND (ED&gt;=180) + LC='RN'</t>
  </si>
  <si>
    <t>Prescripción Nutrioterapéutica</t>
  </si>
  <si>
    <t>(TD='D' AND DX=='99209') AND SX='M' AND (ED&gt;=160) + LC='PN'</t>
  </si>
  <si>
    <t>(TD='D' AND DX=='99209') AND SX='F' AND (ED&gt;=160) + LC='PN'</t>
  </si>
  <si>
    <t>(TD='D' AND DX=='99209') AND SX='M' AND (ED&gt;=160 AND ED&lt;=169) + LC='PN'</t>
  </si>
  <si>
    <t>(TD='D' AND DX=='99209') AND SX='F' AND (ED&gt;=160 AND ED&lt;=169) + LC='PN'</t>
  </si>
  <si>
    <t>(TD='D' AND DX=='99209') AND SX='M' AND (ED&gt;=170 AND ED&lt;=179) + LC='PN'</t>
  </si>
  <si>
    <t>(TD='D' AND DX=='99209') AND SX='F' AND (ED&gt;=170 AND ED&lt;=179) + LC='PN'</t>
  </si>
  <si>
    <t>(TD='D' AND DX=='99209') AND SX='M' AND (ED&gt;=180) + LC='PN'</t>
  </si>
  <si>
    <t>(TD='D' AND DX=='99209') AND SX='F' AND (ED&gt;=180) + LC='PN'</t>
  </si>
  <si>
    <t>Recomendación Dietética</t>
  </si>
  <si>
    <t>(TD='D' AND DX=='99209') AND SX='M' AND (ED&gt;=160) + LC='RD'</t>
  </si>
  <si>
    <t>(TD='D' AND DX=='99209') AND SX='F' AND (ED&gt;=160) + LC='RD'</t>
  </si>
  <si>
    <t>(TD='D' AND DX=='99209') AND SX='M' AND (ED&gt;=160 AND ED&lt;=169) + LC='RD'</t>
  </si>
  <si>
    <t>(TD='D' AND DX=='99209') AND SX='F' AND (ED&gt;=160 AND ED&lt;=169) + LC='RD'</t>
  </si>
  <si>
    <t>(TD='D' AND DX=='99209') AND SX='M' AND (ED&gt;=170 AND ED&lt;=179) + LC='RD'</t>
  </si>
  <si>
    <t>(TD='D' AND DX=='99209') AND SX='F' AND (ED&gt;=170 AND ED&lt;=179) + LC='RD'</t>
  </si>
  <si>
    <t>(TD='D' AND DX=='99209') AND SX='M' AND (ED&gt;=180) + LC='RD'</t>
  </si>
  <si>
    <t>(TD='D' AND DX=='99209') AND SX='F' AND (ED&gt;=180) + LC='RD'</t>
  </si>
  <si>
    <t>Prescripción Dietoterapéutica</t>
  </si>
  <si>
    <t>(TD='D' AND DX=='99209') AND SX='M' AND (ED&gt;=160) + LC='PD'</t>
  </si>
  <si>
    <t>(TD='D' AND DX=='99209') AND SX='F' AND (ED&gt;=160) + LC='PD'</t>
  </si>
  <si>
    <t>(TD='D' AND DX=='99209') AND SX='M' AND (ED&gt;=160 AND ED&lt;=169) + LC='PD'</t>
  </si>
  <si>
    <t>(TD='D' AND DX=='99209') AND SX='F' AND (ED&gt;=160 AND ED&lt;=169) + LC='PD'</t>
  </si>
  <si>
    <t>(TD='D' AND DX=='99209') AND SX='M' AND (ED&gt;=170 AND ED&lt;=179) + LC='PD'</t>
  </si>
  <si>
    <t>(TD='D' AND DX=='99209') AND SX='F' AND (ED&gt;=170 AND ED&lt;=179) + LC='PD'</t>
  </si>
  <si>
    <t>(TD='D' AND DX=='99209') AND SX='M' AND (ED&gt;=180) + LC='PD'</t>
  </si>
  <si>
    <t>(TD='D' AND DX=='99209') AND SX='F' AND (ED&gt;=180) + LC='PD'</t>
  </si>
  <si>
    <t>E: CONSEJERÍAS</t>
  </si>
  <si>
    <t>Nutricionales</t>
  </si>
  <si>
    <t>(TD='D' AND DX=='99403') AND SX='M' AND (ED&gt;=160)</t>
  </si>
  <si>
    <t>(TD='D' AND DX=='99403') AND SX='F' AND (ED&gt;=160)</t>
  </si>
  <si>
    <t>(TD='D' AND DX=='99403') AND SX='M' AND (ED&gt;=160 AND ED&lt;=169)</t>
  </si>
  <si>
    <t>(TD='D' AND DX=='99403') AND SX='F' AND (ED&gt;=160 AND ED&lt;=169)</t>
  </si>
  <si>
    <t>(TD='D' AND DX=='99403') AND SX='M' AND (ED&gt;=170 AND ED&lt;=179)</t>
  </si>
  <si>
    <t>(TD='D' AND DX=='99403') AND SX='F' AND (ED&gt;=170 AND ED&lt;=179)</t>
  </si>
  <si>
    <t>(TD='D' AND DX=='99403') AND SX='M' AND (ED&gt;=180)</t>
  </si>
  <si>
    <t>(TD='D' AND DX=='99403') AND SX='F' AND (ED&gt;=180)</t>
  </si>
  <si>
    <t>Integrales</t>
  </si>
  <si>
    <t>(TD='D' AND DX=='99401') AND SX='M' AND (ED&gt;=160)+ !DX='99402.05'</t>
  </si>
  <si>
    <t>(TD='D' AND DX=='99401') AND SX='F' AND (ED&gt;=160)+ !DX='99402.05'</t>
  </si>
  <si>
    <t>(TD='D' AND DX=='99401') AND SX='M' AND (ED&gt;=160 AND ED&lt;=169)+ !DX='99402.05'</t>
  </si>
  <si>
    <t>(TD='D' AND DX=='99401') AND SX='F' AND (ED&gt;=160 AND ED&lt;=169)+ !DX='99402.05'</t>
  </si>
  <si>
    <t>(TD='D' AND DX=='99401') AND SX='M' AND (ED&gt;=170 AND ED&lt;=179)+ !DX='99402.05'</t>
  </si>
  <si>
    <t>(TD='D' AND DX=='99401') AND SX='F' AND (ED&gt;=170 AND ED&lt;=179)+ !DX='99402.05'</t>
  </si>
  <si>
    <t>(TD='D' AND DX=='99401') AND SX='M' AND (ED&gt;=180)+ !DX='99402.05'</t>
  </si>
  <si>
    <t>(TD='D' AND DX=='99401') AND SX='F' AND (ED&gt;=180)+ !DX='99402.05'</t>
  </si>
  <si>
    <t>Salud Mental</t>
  </si>
  <si>
    <t>(TD='D' AND DX=='99404') AND SX='M' AND (ED&gt;=160)</t>
  </si>
  <si>
    <t>(TD='D' AND DX=='99404') AND SX='F' AND (ED&gt;=160)</t>
  </si>
  <si>
    <t>(TD='D' AND DX=='99404') AND SX='M' AND (ED&gt;=160 AND ED&lt;=169)</t>
  </si>
  <si>
    <t>(TD='D' AND DX=='99404') AND SX='F' AND (ED&gt;=160 AND ED&lt;=169)</t>
  </si>
  <si>
    <t>(TD='D' AND DX=='99404') AND SX='M' AND (ED&gt;=170 AND ED&lt;=179)</t>
  </si>
  <si>
    <t>(TD='D' AND DX=='99404') AND SX='F' AND (ED&gt;=170 AND ED&lt;=179)</t>
  </si>
  <si>
    <t>(TD='D' AND DX=='99404') AND SX='M' AND (ED&gt;=180)</t>
  </si>
  <si>
    <t>(TD='D' AND DX=='99404') AND SX='F' AND (ED&gt;=180)</t>
  </si>
  <si>
    <t>Prevención de Cáncer</t>
  </si>
  <si>
    <t>(TD='D' AND DX=='99402.05') AND SX='M' AND (ED&gt;=160)</t>
  </si>
  <si>
    <t>(TD='D' AND DX=='99402.05') AND SX='F' AND (ED&gt;=160)</t>
  </si>
  <si>
    <t>(TD='D' AND DX=='99402.05') AND SX='M' AND (ED&gt;=160 AND ED&lt;=169)</t>
  </si>
  <si>
    <t>(TD='D' AND DX=='99402.05') AND SX='F' AND (ED&gt;=160 AND ED&lt;=169)</t>
  </si>
  <si>
    <t>(TD='D' AND DX=='99402.05') AND SX='M' AND (ED&gt;=170 AND ED&lt;=179)</t>
  </si>
  <si>
    <t>(TD='D' AND DX=='99402.05') AND SX='F' AND (ED&gt;=170 AND ED&lt;=179)</t>
  </si>
  <si>
    <t>(TD='D' AND DX=='99402.05') AND SX='M' AND (ED&gt;=180)</t>
  </si>
  <si>
    <t>(TD='D' AND DX=='99402.05') AND SX='F' AND (ED&gt;=180)</t>
  </si>
  <si>
    <t>F: TAMIZAJE DE CÁNCER</t>
  </si>
  <si>
    <t>Hombre</t>
  </si>
  <si>
    <t>Examen para Tumor de Prostata</t>
  </si>
  <si>
    <t>- Evaluación Normal</t>
  </si>
  <si>
    <t>(TD='D' AND LC='N' AND DX='Z125') AND SX='M' AND (ED&gt;=160)</t>
  </si>
  <si>
    <t>(TD='D' AND LC='N' AND DX='Z125') AND SX='F' AND (ED&gt;=160)</t>
  </si>
  <si>
    <t>(TD='D' AND LC='N' AND DX='Z125') AND SX='M' AND (ED&gt;=160 AND ED&lt;=169)</t>
  </si>
  <si>
    <t>(TD='D' AND LC='N' AND DX='Z125') AND SX='F' AND (ED&gt;=160 AND ED&lt;=169)</t>
  </si>
  <si>
    <t>(TD='D' AND LC='N' AND DX='Z125') AND SX='M' AND (ED&gt;=170 AND ED&lt;=179)</t>
  </si>
  <si>
    <t>(TD='D' AND LC='N' AND DX='Z125') AND SX='F' AND (ED&gt;=170 AND ED&lt;=179)</t>
  </si>
  <si>
    <t>(TD='D' AND LC='N' AND DX='Z125') AND SX='M' AND (ED&gt;=180)</t>
  </si>
  <si>
    <t>(TD='D' AND LC='N' AND DX='Z125') AND SX='F' AND (ED&gt;=180)</t>
  </si>
  <si>
    <t>- Evaluación Anormal</t>
  </si>
  <si>
    <t>(TD='D' AND LC='A' AND DX='Z125') AND SX='M' AND (ED&gt;=160)</t>
  </si>
  <si>
    <t>(TD='D' AND LC='A' AND DX='Z125') AND SX='F' AND (ED&gt;=160)</t>
  </si>
  <si>
    <t>(TD='D' AND LC='A' AND DX='Z125') AND SX='M' AND (ED&gt;=160 AND ED&lt;=169)</t>
  </si>
  <si>
    <t>(TD='D' AND LC='A' AND DX='Z125') AND SX='F' AND (ED&gt;=160 AND ED&lt;=169)</t>
  </si>
  <si>
    <t>(TD='D' AND LC='A' AND DX='Z125') AND SX='M' AND (ED&gt;=170 AND ED&lt;=179)</t>
  </si>
  <si>
    <t>(TD='D' AND LC='A' AND DX='Z125') AND SX='F' AND (ED&gt;=170 AND ED&lt;=179)</t>
  </si>
  <si>
    <t>(TD='D' AND LC='A' AND DX='Z125') AND SX='M' AND (ED&gt;=180)</t>
  </si>
  <si>
    <t>(TD='D' AND LC='A' AND DX='Z125') AND SX='F' AND (ED&gt;=180)</t>
  </si>
  <si>
    <t>Antigeno Prostatico Especifico (PSA)</t>
  </si>
  <si>
    <t>- Resultado Normal</t>
  </si>
  <si>
    <t>(TD='D' AND LC='N' AND DX='84152') AND SX='M' AND (ED&gt;=160)</t>
  </si>
  <si>
    <t>(TD='D' AND LC='N' AND DX='84152') AND SX='F' AND (ED&gt;=160)</t>
  </si>
  <si>
    <t>(TD='D' AND LC='N' AND DX='84152') AND SX='M' AND (ED&gt;=160 AND ED&lt;=169)</t>
  </si>
  <si>
    <t>(TD='D' AND LC='N' AND DX='84152') AND SX='F' AND (ED&gt;=160 AND ED&lt;=169)</t>
  </si>
  <si>
    <t>(TD='D' AND LC='N' AND DX='84152') AND SX='M' AND (ED&gt;=170 AND ED&lt;=179)</t>
  </si>
  <si>
    <t>(TD='D' AND LC='N' AND DX='84152') AND SX='F' AND (ED&gt;=170 AND ED&lt;=179)</t>
  </si>
  <si>
    <t>(TD='D' AND LC='N' AND DX='84152') AND SX='M' AND (ED&gt;=180)</t>
  </si>
  <si>
    <t>(TD='D' AND LC='N' AND DX='84152') AND SX='F' AND (ED&gt;=180)</t>
  </si>
  <si>
    <t>- Resultado Anormal</t>
  </si>
  <si>
    <t>(TD='D' AND LC='A' AND DX='84152') AND SX='M' AND (ED&gt;=160)</t>
  </si>
  <si>
    <t>(TD='D' AND LC='A' AND DX='84152') AND SX='F' AND (ED&gt;=160)</t>
  </si>
  <si>
    <t>(TD='D' AND LC='A' AND DX='84152') AND SX='M' AND (ED&gt;=160 AND ED&lt;=169)</t>
  </si>
  <si>
    <t>(TD='D' AND LC='A' AND DX='84152') AND SX='F' AND (ED&gt;=160 AND ED&lt;=169)</t>
  </si>
  <si>
    <t>(TD='D' AND LC='A' AND DX='84152') AND SX='M' AND (ED&gt;=170 AND ED&lt;=179)</t>
  </si>
  <si>
    <t>(TD='D' AND LC='A' AND DX='84152') AND SX='F' AND (ED&gt;=170 AND ED&lt;=179)</t>
  </si>
  <si>
    <t>(TD='D' AND LC='A' AND DX='84152') AND SX='M' AND (ED&gt;=180)</t>
  </si>
  <si>
    <t>(TD='D' AND LC='A' AND DX='84152') AND SX='F' AND (ED&gt;=180)</t>
  </si>
  <si>
    <t>Biopsia de Próstata</t>
  </si>
  <si>
    <t>(TD='D' AND LC='A' AND DX IN('55700','55705')) AND SX='M' AND (ED&gt;=160)</t>
  </si>
  <si>
    <t>(TD='D' AND LC='A' AND DX IN('55700','55705')) AND SX='F' AND (ED&gt;=160)</t>
  </si>
  <si>
    <t>(TD='D' AND LC='A' AND DX IN('55700','55705')) AND SX='M' AND (ED&gt;=160 AND ED&lt;=169)</t>
  </si>
  <si>
    <t>(TD='D' AND LC='A' AND DX IN('55700','55705')) AND SX='F' AND (ED&gt;=160 AND ED&lt;=169)</t>
  </si>
  <si>
    <t>(TD='D' AND LC='A' AND DX IN('55700','55705')) AND SX='M' AND (ED&gt;=170 AND ED&lt;=179)</t>
  </si>
  <si>
    <t>(TD='D' AND LC='A' AND DX IN('55700','55705')) AND SX='F' AND (ED&gt;=170 AND ED&lt;=179)</t>
  </si>
  <si>
    <t>(TD='D' AND LC='A' AND DX IN('55700','55705')) AND SX='M' AND (ED&gt;=180)</t>
  </si>
  <si>
    <t>(TD='D' AND LC='A' AND DX IN('55700','55705')) AND SX='F' AND (ED&gt;=180)</t>
  </si>
  <si>
    <t>Mujer</t>
  </si>
  <si>
    <t>Papanicolaou</t>
  </si>
  <si>
    <t>- Toma de PAP</t>
  </si>
  <si>
    <t>(TD='D' AND LC='' AND DX=='88141') AND SX='M' AND (ED&gt;=160)</t>
  </si>
  <si>
    <t>(TD='D' AND LC='' AND DX=='88141') AND SX='F' AND (ED&gt;=160)</t>
  </si>
  <si>
    <t>(TD='D' AND LC='' AND DX=='88141') AND SX='M' AND (ED&gt;=160 AND ED&lt;=169)</t>
  </si>
  <si>
    <t>(TD='D' AND LC='' AND DX=='88141') AND SX='F' AND (ED&gt;=160 AND ED&lt;=169)</t>
  </si>
  <si>
    <t>(TD='D' AND LC='' AND DX=='88141') AND SX='M' AND (ED&gt;=170 AND ED&lt;=179)</t>
  </si>
  <si>
    <t>(TD='D' AND LC='' AND DX=='88141') AND SX='F' AND (ED&gt;=170 AND ED&lt;=179)</t>
  </si>
  <si>
    <t>(TD='D' AND LC='' AND DX=='88141') AND SX='M' AND (ED&gt;=180)</t>
  </si>
  <si>
    <t>(TD='D' AND LC='' AND DX=='88141') AND SX='F' AND (ED&gt;=180)</t>
  </si>
  <si>
    <t>- Entrega de Resultado de PAP</t>
  </si>
  <si>
    <t>(TD='D' AND LC IN('N','A') AND DX=='88141') AND SX='M' AND (ED&gt;=160)</t>
  </si>
  <si>
    <t>(TD='D' AND LC IN('N','A') AND DX=='88141') AND SX='F' AND (ED&gt;=160)</t>
  </si>
  <si>
    <t>(TD='D' AND LC IN('N','A') AND DX=='88141') AND SX='M' AND (ED&gt;=160 AND ED&lt;=169)</t>
  </si>
  <si>
    <t>(TD='D' AND LC IN('N','A') AND DX=='88141') AND SX='F' AND (ED&gt;=160 AND ED&lt;=169)</t>
  </si>
  <si>
    <t>(TD='D' AND LC IN('N','A') AND DX=='88141') AND SX='M' AND (ED&gt;=170 AND ED&lt;=179)</t>
  </si>
  <si>
    <t>(TD='D' AND LC IN('N','A') AND DX=='88141') AND SX='F' AND (ED&gt;=170 AND ED&lt;=179)</t>
  </si>
  <si>
    <t>(TD='D' AND LC IN('N','A') AND DX=='88141') AND SX='M' AND (ED&gt;=180)</t>
  </si>
  <si>
    <t>(TD='D' AND LC IN('N','A') AND DX=='88141') AND SX='F' AND (ED&gt;=180)</t>
  </si>
  <si>
    <t>Evaluación de los Resultados de PAP</t>
  </si>
  <si>
    <t>Lesión Intraepitelial de Bajo Grado – LIEB (NIC I)</t>
  </si>
  <si>
    <t>(TD='D' AND DX='N870') AND SX='M' AND (ED&gt;=160)</t>
  </si>
  <si>
    <t>(TD='D' AND DX='N870') AND SX='F' AND (ED&gt;=160)</t>
  </si>
  <si>
    <t>(TD='D' AND DX='N870') AND SX='M' AND (ED&gt;=160 AND ED&lt;=169)</t>
  </si>
  <si>
    <t>(TD='D' AND DX='N870') AND SX='F' AND (ED&gt;=160 AND ED&lt;=169)</t>
  </si>
  <si>
    <t>(TD='D' AND DX='N870') AND SX='M' AND (ED&gt;=170 AND ED&lt;=179)</t>
  </si>
  <si>
    <t>(TD='D' AND DX='N870') AND SX='F' AND (ED&gt;=170 AND ED&lt;=179)</t>
  </si>
  <si>
    <t>(TD='D' AND DX='N870') AND SX='M' AND (ED&gt;=180)</t>
  </si>
  <si>
    <t>(TD='D' AND DX='N870') AND SX='F' AND (ED&gt;=180)</t>
  </si>
  <si>
    <t>Lesión Intraepitelial de Alto Grado – LIEA (NIC II, NIC III)</t>
  </si>
  <si>
    <t>(TD='D' AND DX IN('N871','N872')) AND SX='M' AND (ED&gt;=160)</t>
  </si>
  <si>
    <t>(TD='D' AND DX IN('N871','N872')) AND SX='F' AND (ED&gt;=160)</t>
  </si>
  <si>
    <t>(TD='D' AND DX IN('N871','N872')) AND SX='M' AND (ED&gt;=160 AND ED&lt;=169)</t>
  </si>
  <si>
    <t>(TD='D' AND DX IN('N871','N872')) AND SX='F' AND (ED&gt;=160 AND ED&lt;=169)</t>
  </si>
  <si>
    <t>(TD='D' AND DX IN('N871','N872')) AND SX='M' AND (ED&gt;=170 AND ED&lt;=179)</t>
  </si>
  <si>
    <t>(TD='D' AND DX IN('N871','N872')) AND SX='F' AND (ED&gt;=170 AND ED&lt;=179)</t>
  </si>
  <si>
    <t>(TD='D' AND DX IN('N871','N872')) AND SX='M' AND (ED&gt;=180)</t>
  </si>
  <si>
    <t>(TD='D' AND DX IN('N871','N872')) AND SX='F' AND (ED&gt;=180)</t>
  </si>
  <si>
    <t>Carcinoma in Situ</t>
  </si>
  <si>
    <t>(TD='D' AND DX IN('D060','D061','D067','D069')) AND SX='M' AND (ED&gt;=160)</t>
  </si>
  <si>
    <t>(TD='D' AND DX IN('D060','D061','D067','D069')) AND SX='F' AND (ED&gt;=160)</t>
  </si>
  <si>
    <t>(TD='D' AND DX IN('D060','D061','D067','D069')) AND SX='M' AND (ED&gt;=160 AND ED&lt;=169)</t>
  </si>
  <si>
    <t>(TD='D' AND DX IN('D060','D061','D067','D069')) AND SX='F' AND (ED&gt;=160 AND ED&lt;=169)</t>
  </si>
  <si>
    <t>(TD='D' AND DX IN('D060','D061','D067','D069')) AND SX='M' AND (ED&gt;=170 AND ED&lt;=179)</t>
  </si>
  <si>
    <t>(TD='D' AND DX IN('D060','D061','D067','D069')) AND SX='F' AND (ED&gt;=170 AND ED&lt;=179)</t>
  </si>
  <si>
    <t>(TD='D' AND DX IN('D060','D061','D067','D069')) AND SX='M' AND (ED&gt;=180)</t>
  </si>
  <si>
    <t>(TD='D' AND DX IN('D060','D061','D067','D069')) AND SX='F' AND (ED&gt;=180)</t>
  </si>
  <si>
    <t>Examen Pélvico</t>
  </si>
  <si>
    <t>(TD='D' AND LC='N' AND DX='Z0142') AND SX='M' AND (ED&gt;=160)</t>
  </si>
  <si>
    <t>(TD='D' AND LC='N' AND DX='Z0142') AND SX='F' AND (ED&gt;=160)</t>
  </si>
  <si>
    <t>(TD='D' AND LC='N' AND DX='Z0142') AND SX='M' AND (ED&gt;=160 AND ED&lt;=169)</t>
  </si>
  <si>
    <t>(TD='D' AND LC='N' AND DX='Z0142') AND SX='F' AND (ED&gt;=160 AND ED&lt;=169)</t>
  </si>
  <si>
    <t>(TD='D' AND LC='N' AND DX='Z0142') AND SX='M' AND (ED&gt;=170 AND ED&lt;=179)</t>
  </si>
  <si>
    <t>(TD='D' AND LC='N' AND DX='Z0142') AND SX='F' AND (ED&gt;=170 AND ED&lt;=179)</t>
  </si>
  <si>
    <t>(TD='D' AND LC='N' AND DX='Z0142') AND SX='M' AND (ED&gt;=180)</t>
  </si>
  <si>
    <t>(TD='D' AND LC='N' AND DX='Z0142') AND SX='F' AND (ED&gt;=180)</t>
  </si>
  <si>
    <t>(TD='D' AND LC='A' AND DX='Z0142') AND SX='M' AND (ED&gt;=160)</t>
  </si>
  <si>
    <t>(TD='D' AND LC='A' AND DX='Z0142') AND SX='F' AND (ED&gt;=160)</t>
  </si>
  <si>
    <t>(TD='D' AND LC='A' AND DX='Z0142') AND SX='M' AND (ED&gt;=160 AND ED&lt;=169)</t>
  </si>
  <si>
    <t>(TD='D' AND LC='A' AND DX='Z0142') AND SX='F' AND (ED&gt;=160 AND ED&lt;=169)</t>
  </si>
  <si>
    <t>(TD='D' AND LC='A' AND DX='Z0142') AND SX='M' AND (ED&gt;=170 AND ED&lt;=179)</t>
  </si>
  <si>
    <t>(TD='D' AND LC='A' AND DX='Z0142') AND SX='F' AND (ED&gt;=170 AND ED&lt;=179)</t>
  </si>
  <si>
    <t>(TD='D' AND LC='A' AND DX='Z0142') AND SX='M' AND (ED&gt;=180)</t>
  </si>
  <si>
    <t>(TD='D' AND LC='A' AND DX='Z0142') AND SX='F' AND (ED&gt;=180)</t>
  </si>
  <si>
    <t>IVVA / IVVAM</t>
  </si>
  <si>
    <t>(TD='D' AND LC='N' AND DX='88141.01') AND SX='M' AND (ED&gt;=160)</t>
  </si>
  <si>
    <t>(TD='D' AND LC='N' AND DX='88141.01') AND SX='F' AND (ED&gt;=160)</t>
  </si>
  <si>
    <t>(TD='D' AND LC='N' AND DX='88141.01') AND SX='M' AND (ED&gt;=160 AND ED&lt;=169)</t>
  </si>
  <si>
    <t>(TD='D' AND LC='N' AND DX='88141.01') AND SX='F' AND (ED&gt;=160 AND ED&lt;=169)</t>
  </si>
  <si>
    <t>(TD='D' AND LC='N' AND DX='88141.01') AND SX='M' AND (ED&gt;=170 AND ED&lt;=179)</t>
  </si>
  <si>
    <t>(TD='D' AND LC='N' AND DX='88141.01') AND SX='F' AND (ED&gt;=170 AND ED&lt;=179)</t>
  </si>
  <si>
    <t>(TD='D' AND LC='N' AND DX='88141.01') AND SX='M' AND (ED&gt;=180)</t>
  </si>
  <si>
    <t>(TD='D' AND LC='N' AND DX='88141.01') AND SX='F' AND (ED&gt;=180)</t>
  </si>
  <si>
    <t>(TD='D' AND LC='A' AND DX='88141.01') AND SX='M' AND (ED&gt;=160)</t>
  </si>
  <si>
    <t>(TD='D' AND LC='A' AND DX='88141.01') AND SX='F' AND (ED&gt;=160)</t>
  </si>
  <si>
    <t>(TD='D' AND LC='A' AND DX='88141.01') AND SX='M' AND (ED&gt;=160 AND ED&lt;=169)</t>
  </si>
  <si>
    <t>(TD='D' AND LC='A' AND DX='88141.01') AND SX='F' AND (ED&gt;=160 AND ED&lt;=169)</t>
  </si>
  <si>
    <t>(TD='D' AND LC='A' AND DX='88141.01') AND SX='M' AND (ED&gt;=170 AND ED&lt;=179)</t>
  </si>
  <si>
    <t>(TD='D' AND LC='A' AND DX='88141.01') AND SX='F' AND (ED&gt;=170 AND ED&lt;=179)</t>
  </si>
  <si>
    <t>(TD='D' AND LC='A' AND DX='88141.01') AND SX='M' AND (ED&gt;=180)</t>
  </si>
  <si>
    <t>(TD='D' AND LC='A' AND DX='88141.01') AND SX='F' AND (ED&gt;=180)</t>
  </si>
  <si>
    <t>Examen Clínico de Mama (ECM)</t>
  </si>
  <si>
    <t>(TD='D' AND LC='N' AND DX='Z123') AND SX='M' AND (ED&gt;=160)</t>
  </si>
  <si>
    <t>(TD='D' AND LC='N' AND DX='Z123') AND SX='F' AND (ED&gt;=160)</t>
  </si>
  <si>
    <t>(TD='D' AND LC='N' AND DX='Z123') AND SX='M' AND (ED&gt;=160 AND ED&lt;=169)</t>
  </si>
  <si>
    <t>(TD='D' AND LC='N' AND DX='Z123') AND SX='F' AND (ED&gt;=160 AND ED&lt;=169)</t>
  </si>
  <si>
    <t>(TD='D' AND LC='N' AND DX='Z123') AND SX='M' AND (ED&gt;=170 AND ED&lt;=179)</t>
  </si>
  <si>
    <t>(TD='D' AND LC='N' AND DX='Z123') AND SX='F' AND (ED&gt;=170 AND ED&lt;=179)</t>
  </si>
  <si>
    <t>(TD='D' AND LC='N' AND DX='Z123') AND SX='M' AND (ED&gt;=180)</t>
  </si>
  <si>
    <t>(TD='D' AND LC='N' AND DX='Z123') AND SX='F' AND (ED&gt;=180)</t>
  </si>
  <si>
    <t>(TD='D' AND LC='A' AND DX='Z123') AND SX='M' AND (ED&gt;=160)</t>
  </si>
  <si>
    <t>(TD='D' AND LC='A' AND DX='Z123') AND SX='F' AND (ED&gt;=160)</t>
  </si>
  <si>
    <t>(TD='D' AND LC='A' AND DX='Z123') AND SX='M' AND (ED&gt;=160 AND ED&lt;=169)</t>
  </si>
  <si>
    <t>(TD='D' AND LC='A' AND DX='Z123') AND SX='F' AND (ED&gt;=160 AND ED&lt;=169)</t>
  </si>
  <si>
    <t>(TD='D' AND LC='A' AND DX='Z123') AND SX='M' AND (ED&gt;=170 AND ED&lt;=179)</t>
  </si>
  <si>
    <t>(TD='D' AND LC='A' AND DX='Z123') AND SX='F' AND (ED&gt;=170 AND ED&lt;=179)</t>
  </si>
  <si>
    <t>(TD='D' AND LC='A' AND DX='Z123') AND SX='M' AND (ED&gt;=180)</t>
  </si>
  <si>
    <t>(TD='D' AND LC='A' AND DX='Z123') AND SX='F' AND (ED&gt;=180)</t>
  </si>
  <si>
    <t>Mamografía</t>
  </si>
  <si>
    <t xml:space="preserve">Mamografía Unilateral </t>
  </si>
  <si>
    <t>(TD='D' AND DX='77055') AND SX='M' AND (ED&gt;=160)</t>
  </si>
  <si>
    <t>(TD='D' AND DX='77055') AND SX='F' AND (ED&gt;=160)</t>
  </si>
  <si>
    <t>(TD='D' AND DX='77055') AND SX='M' AND (ED&gt;=160 AND ED&lt;=169)</t>
  </si>
  <si>
    <t>(TD='D' AND DX='77055') AND SX='F' AND (ED&gt;=160 AND ED&lt;=169)</t>
  </si>
  <si>
    <t>(TD='D' AND DX='77055') AND SX='M' AND (ED&gt;=170 AND ED&lt;=179)</t>
  </si>
  <si>
    <t>(TD='D' AND DX='77055') AND SX='F' AND (ED&gt;=170 AND ED&lt;=179)</t>
  </si>
  <si>
    <t>(TD='D' AND DX='77055') AND SX='M' AND (ED&gt;=180)</t>
  </si>
  <si>
    <t>(TD='D' AND DX='77055') AND SX='F' AND (ED&gt;=180)</t>
  </si>
  <si>
    <t>Mamografía Bilateral</t>
  </si>
  <si>
    <t>(TD='D' AND DX='77056') AND SX='M' AND (ED&gt;=160)</t>
  </si>
  <si>
    <t>(TD='D' AND DX='77056') AND SX='F' AND (ED&gt;=160)</t>
  </si>
  <si>
    <t>(TD='D' AND DX='77056') AND SX='M' AND (ED&gt;=160 AND ED&lt;=169)</t>
  </si>
  <si>
    <t>(TD='D' AND DX='77056') AND SX='F' AND (ED&gt;=160 AND ED&lt;=169)</t>
  </si>
  <si>
    <t>(TD='D' AND DX='77056') AND SX='M' AND (ED&gt;=170 AND ED&lt;=179)</t>
  </si>
  <si>
    <t>(TD='D' AND DX='77056') AND SX='F' AND (ED&gt;=170 AND ED&lt;=179)</t>
  </si>
  <si>
    <t>(TD='D' AND DX='77056') AND SX='M' AND (ED&gt;=180)</t>
  </si>
  <si>
    <t>(TD='D' AND DX='77056') AND SX='F' AND (ED&gt;=180)</t>
  </si>
  <si>
    <t>Mamografía Screening</t>
  </si>
  <si>
    <t>(TD='D' AND DX='77057') AND SX='M' AND (ED&gt;=160)</t>
  </si>
  <si>
    <t>(TD='D' AND DX='77057') AND SX='F' AND (ED&gt;=160)</t>
  </si>
  <si>
    <t>(TD='D' AND DX='77057') AND SX='M' AND (ED&gt;=160 AND ED&lt;=169)</t>
  </si>
  <si>
    <t>(TD='D' AND DX='77057') AND SX='F' AND (ED&gt;=160 AND ED&lt;=169)</t>
  </si>
  <si>
    <t>(TD='D' AND DX='77057') AND SX='M' AND (ED&gt;=170 AND ED&lt;=179)</t>
  </si>
  <si>
    <t>(TD='D' AND DX='77057') AND SX='F' AND (ED&gt;=170 AND ED&lt;=179)</t>
  </si>
  <si>
    <t>(TD='D' AND DX='77057') AND SX='M' AND (ED&gt;=180)</t>
  </si>
  <si>
    <t>(TD='D' AND DX='77057') AND SX='F' AND (ED&gt;=180)</t>
  </si>
  <si>
    <t>BAAF</t>
  </si>
  <si>
    <t>Biopsia por Aspiración con Aguja Fina</t>
  </si>
  <si>
    <t>(TD='D' AND LC='' AND DX='19000') AND SX='M' AND (ED&gt;=160)</t>
  </si>
  <si>
    <t>(TD='D' AND LC='' AND DX='19000') AND SX='F' AND (ED&gt;=160)</t>
  </si>
  <si>
    <t>(TD='D' AND LC='' AND DX='19000') AND SX='M' AND (ED&gt;=160 AND ED&lt;=169)</t>
  </si>
  <si>
    <t>(TD='D' AND LC='' AND DX='19000') AND SX='F' AND (ED&gt;=160 AND ED&lt;=169)</t>
  </si>
  <si>
    <t>(TD='D' AND LC='' AND DX='19000') AND SX='M' AND (ED&gt;=170 AND ED&lt;=179)</t>
  </si>
  <si>
    <t>(TD='D' AND LC='' AND DX='19000') AND SX='F' AND (ED&gt;=170 AND ED&lt;=179)</t>
  </si>
  <si>
    <t>(TD='D' AND LC='' AND DX='19000') AND SX='M' AND (ED&gt;=180)</t>
  </si>
  <si>
    <t>(TD='D' AND LC='' AND DX='19000') AND SX='F' AND (ED&gt;=180)</t>
  </si>
  <si>
    <t>ENTREGA DE RESULTADOS</t>
  </si>
  <si>
    <t>Biopsia de Mama Positivos</t>
  </si>
  <si>
    <t>(TD='D' AND LC IN('A','RP') AND DX='19000') AND SX='M' AND (ED&gt;=160)</t>
  </si>
  <si>
    <t>(TD='D' AND LC IN('A','RP') AND DX='19000') AND SX='F' AND (ED&gt;=160)</t>
  </si>
  <si>
    <t>(TD='D' AND LC IN('A','RP') AND DX='19000') AND SX='M' AND (ED&gt;=160 AND ED&lt;=169)</t>
  </si>
  <si>
    <t>(TD='D' AND LC IN('A','RP') AND DX='19000') AND SX='F' AND (ED&gt;=160 AND ED&lt;=169)</t>
  </si>
  <si>
    <t>(TD='D' AND LC IN('A','RP') AND DX='19000') AND SX='M' AND (ED&gt;=170 AND ED&lt;=179)</t>
  </si>
  <si>
    <t>(TD='D' AND LC IN('A','RP') AND DX='19000') AND SX='F' AND (ED&gt;=170 AND ED&lt;=179)</t>
  </si>
  <si>
    <t>(TD='D' AND LC IN('A','RP') AND DX='19000') AND SX='M' AND (ED&gt;=180)</t>
  </si>
  <si>
    <t>(TD='D' AND LC IN('A','RP') AND DX='19000') AND SX='F' AND (ED&gt;=180)</t>
  </si>
  <si>
    <t>Biopsia de Mama Negativos</t>
  </si>
  <si>
    <t>(TD='D' AND LC IN('N','RN') AND DX='19000') AND SX='M' AND (ED&gt;=160)</t>
  </si>
  <si>
    <t>(TD='D' AND LC IN('N','RN') AND DX='19000') AND SX='F' AND (ED&gt;=160)</t>
  </si>
  <si>
    <t>(TD='D' AND LC IN('N','RN') AND DX='19000') AND SX='M' AND (ED&gt;=160 AND ED&lt;=169)</t>
  </si>
  <si>
    <t>(TD='D' AND LC IN('N','RN') AND DX='19000') AND SX='F' AND (ED&gt;=160 AND ED&lt;=169)</t>
  </si>
  <si>
    <t>(TD='D' AND LC IN('N','RN') AND DX='19000') AND SX='M' AND (ED&gt;=170 AND ED&lt;=179)</t>
  </si>
  <si>
    <t>(TD='D' AND LC IN('N','RN') AND DX='19000') AND SX='F' AND (ED&gt;=170 AND ED&lt;=179)</t>
  </si>
  <si>
    <t>(TD='D' AND LC IN('N','RN') AND DX='19000') AND SX='M' AND (ED&gt;=180)</t>
  </si>
  <si>
    <t>(TD='D' AND LC IN('N','RN') AND DX='19000') AND SX='F' AND (ED&gt;=180)</t>
  </si>
  <si>
    <t>G: IDENTIFICACIÓN DE FACTORES DE RIESGO Y TAMIZAJE LABORATORIAL</t>
  </si>
  <si>
    <t>DNT</t>
  </si>
  <si>
    <t>Valoración Clínica de Factores de Riesgo</t>
  </si>
  <si>
    <t>(TD='D' AND LC='DNT' AND DX='Z019') AND SX='M' AND (ED&gt;=160)</t>
  </si>
  <si>
    <t>(TD='D' AND LC='DNT' AND DX='Z019') AND SX='F' AND (ED&gt;=160)</t>
  </si>
  <si>
    <t>(TD='D' AND LC='DNT' AND DX='Z019') AND SX='M' AND (ED&gt;=160 AND ED&lt;=169)</t>
  </si>
  <si>
    <t>(TD='D' AND LC='DNT' AND DX='Z019') AND SX='F' AND (ED&gt;=160 AND ED&lt;=169)</t>
  </si>
  <si>
    <t>(TD='D' AND LC='DNT' AND DX='Z019') AND SX='M' AND (ED&gt;=170 AND ED&lt;=179)</t>
  </si>
  <si>
    <t>(TD='D' AND LC='DNT' AND DX='Z019') AND SX='F' AND (ED&gt;=170 AND ED&lt;=179)</t>
  </si>
  <si>
    <t>(TD='D' AND LC='DNT' AND DX='Z019') AND SX='M' AND (ED&gt;=180)</t>
  </si>
  <si>
    <t>(TD='D' AND LC='DNT' AND DX='Z019') AND SX='F' AND (ED&gt;=180)</t>
  </si>
  <si>
    <t>H: ATENCIÓN DEL ADULTO MAYOR EN EL DOMICILIO</t>
  </si>
  <si>
    <t>VD</t>
  </si>
  <si>
    <t>Visita de Atención Integral</t>
  </si>
  <si>
    <t>(TD='D' AND DX IN('99344','C0011')) AND SX='M' AND (ED&gt;=160)</t>
  </si>
  <si>
    <t>(TD='D' AND DX IN('99344','C0011')) AND SX='F' AND (ED&gt;=160)</t>
  </si>
  <si>
    <t>(TD='D' AND DX IN('99344','C0011')) AND SX='M' AND (ED&gt;=160 AND ED&lt;=169)</t>
  </si>
  <si>
    <t>(TD='D' AND DX IN('99344','C0011')) AND SX='F' AND (ED&gt;=160 AND ED&lt;=169)</t>
  </si>
  <si>
    <t>(TD='D' AND DX IN('99344','C0011')) AND SX='M' AND (ED&gt;=170 AND ED&lt;=179)</t>
  </si>
  <si>
    <t>(TD='D' AND DX IN('99344','C0011')) AND SX='F' AND (ED&gt;=170 AND ED&lt;=179)</t>
  </si>
  <si>
    <t>(TD='D' AND DX IN('99344','C0011')) AND SX='M' AND (ED&gt;=180)</t>
  </si>
  <si>
    <t>(TD='D' AND DX IN('99344','C0011')) AND SX='F' AND (ED&gt;=180)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</si>
</sst>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b/>
      <sz val="12"/>
      <name val="Tahoma"/>
      <family val="2"/>
    </font>
    <font>
      <b/>
      <sz val="10"/>
      <name val="Tahoma"/>
      <family val="2"/>
    </font>
    <font>
      <sz val="9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xfId="0"/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" fillId="0" borderId="0" xfId="1" applyFont="1" applyAlignment="1">
      <alignment vertical="center"/>
    </xf>
    <xf numFmtId="0" fontId="1" fillId="0" borderId="0" xfId="1" applyFont="1" applyAlignment="1">
      <alignment horizontal="left" vertical="center" indent="1"/>
    </xf>
    <xf numFmtId="0" fontId="1" fillId="3" borderId="8" xfId="1" applyFont="1" applyFill="1" applyBorder="1" applyAlignment="1">
      <alignment horizontal="center" vertical="center"/>
    </xf>
    <xf numFmtId="0" fontId="1" fillId="3" borderId="9" xfId="1" applyFont="1" applyFill="1" applyBorder="1" applyAlignment="1">
      <alignment horizontal="center" vertical="center"/>
    </xf>
    <xf numFmtId="0" fontId="11" fillId="0" borderId="0" xfId="1" applyFont="1" applyAlignment="1">
      <alignment vertical="center"/>
    </xf>
    <xf numFmtId="0" fontId="1" fillId="0" borderId="1" xfId="1" applyFont="1" applyBorder="1" applyAlignment="1">
      <alignment horizontal="left" vertical="center" indent="1"/>
    </xf>
    <xf numFmtId="0" fontId="1" fillId="0" borderId="1" xfId="1" applyFont="1" applyBorder="1" applyAlignment="1">
      <alignment vertical="center"/>
    </xf>
    <xf numFmtId="0" fontId="1" fillId="3" borderId="1" xfId="1" applyFont="1" applyFill="1" applyBorder="1" applyAlignment="1">
      <alignment horizontal="left" vertical="center" indent="1"/>
    </xf>
    <xf numFmtId="0" fontId="12" fillId="3" borderId="0" xfId="1" applyFont="1" applyFill="1" applyAlignment="1">
      <alignment vertical="center"/>
    </xf>
    <xf numFmtId="0" fontId="12" fillId="3" borderId="0" xfId="1" applyFont="1" applyFill="1" applyAlignment="1">
      <alignment horizontal="center" vertical="center"/>
    </xf>
    <xf numFmtId="0" fontId="13" fillId="3" borderId="0" xfId="1" applyFont="1" applyFill="1" applyAlignment="1">
      <alignment vertical="center"/>
    </xf>
    <xf numFmtId="0" fontId="1" fillId="0" borderId="1" xfId="1" applyFont="1" applyBorder="1" applyAlignment="1">
      <alignment horizontal="left" vertical="center" indent="2"/>
    </xf>
    <xf numFmtId="0" fontId="12" fillId="3" borderId="0" xfId="1" applyFont="1" applyFill="1" applyAlignment="1">
      <alignment horizontal="left" vertical="center" indent="1"/>
    </xf>
    <xf numFmtId="0" fontId="10" fillId="0" borderId="1" xfId="1" applyFont="1" applyBorder="1" applyAlignment="1">
      <alignment horizontal="left" vertical="center" indent="1"/>
    </xf>
    <xf numFmtId="0" fontId="1" fillId="4" borderId="1" xfId="1" applyFont="1" applyFill="1" applyBorder="1" applyAlignment="1">
      <alignment vertical="center"/>
    </xf>
    <xf numFmtId="0" fontId="1" fillId="0" borderId="1" xfId="1" quotePrefix="1" applyFont="1" applyBorder="1" applyAlignment="1">
      <alignment horizontal="left" vertical="center" indent="2"/>
    </xf>
    <xf numFmtId="0" fontId="9" fillId="2" borderId="1" xfId="1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2" borderId="1" xfId="1" applyFont="1" applyFill="1" applyBorder="1" applyAlignment="1">
      <alignment horizontal="center" vertical="center" textRotation="90"/>
    </xf>
    <xf numFmtId="0" fontId="1" fillId="2" borderId="1" xfId="1" applyFont="1" applyFill="1" applyBorder="1" applyAlignment="1">
      <alignment horizontal="center" vertical="center"/>
    </xf>
    <xf numFmtId="0" fontId="1" fillId="0" borderId="5" xfId="1" applyFont="1" applyBorder="1" applyAlignment="1">
      <alignment horizontal="center" vertical="center"/>
    </xf>
    <xf numFmtId="0" fontId="1" fillId="0" borderId="4" xfId="1" applyFont="1" applyBorder="1" applyAlignment="1">
      <alignment horizontal="center" vertical="center"/>
    </xf>
    <xf numFmtId="0" fontId="1" fillId="0" borderId="2" xfId="1" applyFont="1" applyBorder="1" applyAlignment="1">
      <alignment horizontal="center" vertical="center"/>
    </xf>
    <xf numFmtId="0" fontId="1" fillId="0" borderId="3" xfId="1" applyFont="1" applyBorder="1" applyAlignment="1">
      <alignment horizontal="center" vertical="center"/>
    </xf>
    <xf numFmtId="0" fontId="10" fillId="2" borderId="6" xfId="1" applyFont="1" applyFill="1" applyBorder="1" applyAlignment="1">
      <alignment horizontal="center" vertical="center"/>
    </xf>
    <xf numFmtId="0" fontId="10" fillId="2" borderId="7" xfId="1" applyFont="1" applyFill="1" applyBorder="1" applyAlignment="1">
      <alignment horizontal="center" vertical="center"/>
    </xf>
    <xf numFmtId="0" fontId="10" fillId="2" borderId="8" xfId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</cellXfs>
  <cellStyles count="2">
    <cellStyle name="Normal" xfId="0" builtinId="0"/>
    <cellStyle name="Normal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6"/>
  <sheetViews>
    <sheetView showGridLines="0" tabSelected="1" zoomScaleNormal="100" workbookViewId="0">
      <selection activeCell="D11" sqref="D11"/>
    </sheetView>
  </sheetViews>
  <sheetFormatPr baseColWidth="10" defaultRowHeight="12.75" x14ac:dyDescent="0.2"/>
  <cols>
    <col min="1" max="1" width="6" style="3" customWidth="1"/>
    <col min="2" max="2" width="8.140625" style="3" customWidth="1"/>
    <col min="3" max="3" width="54.28515625" style="5" bestFit="1" customWidth="1"/>
    <col min="4" max="11" width="11.5703125" style="5" customWidth="1"/>
    <col min="12" max="16384" width="11.42578125" style="5"/>
  </cols>
  <sheetData>
    <row r="1" spans="1:11" s="1" customFormat="1" ht="11.25" x14ac:dyDescent="0.2">
      <c r="B1" s="2" t="s">
        <v>15</v>
      </c>
      <c r="C1" s="2"/>
      <c r="D1" s="2"/>
      <c r="E1" s="2"/>
      <c r="F1" s="3"/>
      <c r="G1" s="3"/>
      <c r="H1" s="3"/>
    </row>
    <row r="2" spans="1:11" s="1" customFormat="1" ht="11.25" x14ac:dyDescent="0.2">
      <c r="B2" s="2" t="s">
        <v>11</v>
      </c>
      <c r="C2" s="4"/>
      <c r="D2" s="4"/>
      <c r="E2" s="2"/>
      <c r="F2" s="3"/>
      <c r="G2" s="3"/>
      <c r="H2" s="3"/>
    </row>
    <row r="3" spans="1:11" s="1" customFormat="1" ht="11.25" x14ac:dyDescent="0.2">
      <c r="B3" s="2" t="s">
        <v>12</v>
      </c>
      <c r="C3" s="37"/>
      <c r="D3" s="37"/>
      <c r="E3" s="2"/>
      <c r="F3" s="3"/>
      <c r="G3" s="3"/>
      <c r="H3" s="3"/>
    </row>
    <row r="4" spans="1:11" s="1" customFormat="1" ht="11.25" x14ac:dyDescent="0.2">
      <c r="B4" s="2" t="s">
        <v>13</v>
      </c>
      <c r="C4" s="37"/>
      <c r="D4" s="37"/>
      <c r="E4" s="2"/>
      <c r="F4" s="3"/>
      <c r="G4" s="3"/>
      <c r="H4" s="3"/>
    </row>
    <row r="5" spans="1:11" x14ac:dyDescent="0.2">
      <c r="C5" s="3"/>
      <c r="D5" s="3"/>
      <c r="E5" s="3"/>
      <c r="F5" s="3"/>
      <c r="G5" s="3"/>
      <c r="H5" s="3"/>
      <c r="K5" s="3"/>
    </row>
    <row r="6" spans="1:11" ht="15" customHeight="1" x14ac:dyDescent="0.2">
      <c r="B6" s="27" t="s">
        <v>14</v>
      </c>
      <c r="C6" s="27"/>
      <c r="D6" s="27"/>
      <c r="E6" s="27"/>
      <c r="F6" s="27"/>
      <c r="G6" s="27"/>
      <c r="H6" s="27"/>
      <c r="I6" s="27"/>
      <c r="J6" s="27"/>
      <c r="K6" s="27"/>
    </row>
    <row r="7" spans="1:11" ht="12" customHeight="1" x14ac:dyDescent="0.2">
      <c r="B7" s="6"/>
      <c r="C7" s="7"/>
      <c r="D7" s="7"/>
      <c r="E7" s="7"/>
      <c r="F7" s="7"/>
      <c r="G7" s="7"/>
      <c r="H7" s="7"/>
      <c r="I7" s="7"/>
    </row>
    <row r="8" spans="1:11" s="9" customFormat="1" ht="18.95" customHeight="1" x14ac:dyDescent="0.2">
      <c r="B8" s="30"/>
      <c r="C8" s="31"/>
      <c r="D8" s="34" t="s">
        <v>0</v>
      </c>
      <c r="E8" s="34"/>
      <c r="F8" s="35" t="s">
        <v>16</v>
      </c>
      <c r="G8" s="34"/>
      <c r="H8" s="35" t="s">
        <v>17</v>
      </c>
      <c r="I8" s="36"/>
      <c r="J8" s="34" t="s">
        <v>18</v>
      </c>
      <c r="K8" s="36"/>
    </row>
    <row r="9" spans="1:11" s="9" customFormat="1" ht="18.95" customHeight="1" x14ac:dyDescent="0.2">
      <c r="B9" s="32"/>
      <c r="C9" s="33"/>
      <c r="D9" s="11" t="s">
        <v>19</v>
      </c>
      <c r="E9" s="12" t="s">
        <v>20</v>
      </c>
      <c r="F9" s="12" t="s">
        <v>19</v>
      </c>
      <c r="G9" s="12" t="s">
        <v>20</v>
      </c>
      <c r="H9" s="12" t="s">
        <v>19</v>
      </c>
      <c r="I9" s="12" t="s">
        <v>20</v>
      </c>
      <c r="J9" s="12" t="s">
        <v>19</v>
      </c>
      <c r="K9" s="12" t="s">
        <v>20</v>
      </c>
    </row>
    <row r="10" spans="1:11" s="9" customFormat="1" ht="18" customHeight="1" x14ac:dyDescent="0.2">
      <c r="B10" s="13" t="s">
        <v>21</v>
      </c>
    </row>
    <row r="11" spans="1:11" s="9" customFormat="1" ht="18" customHeight="1" x14ac:dyDescent="0.2">
      <c r="A11" s="9">
        <v>1</v>
      </c>
      <c r="B11" s="28" t="s">
        <v>8</v>
      </c>
      <c r="C11" s="14" t="s">
        <v>9</v>
      </c>
      <c r="D11" s="15"/>
      <c r="E11" s="15"/>
      <c r="F11" s="15"/>
      <c r="G11" s="15"/>
      <c r="H11" s="15"/>
      <c r="I11" s="15"/>
      <c r="J11" s="15"/>
      <c r="K11" s="15"/>
    </row>
    <row r="12" spans="1:11" s="9" customFormat="1" ht="18" customHeight="1" x14ac:dyDescent="0.2">
      <c r="A12" s="9">
        <v>2</v>
      </c>
      <c r="B12" s="28"/>
      <c r="C12" s="14" t="s">
        <v>30</v>
      </c>
      <c r="D12" s="15"/>
      <c r="E12" s="15"/>
      <c r="F12" s="15"/>
      <c r="G12" s="15"/>
      <c r="H12" s="15"/>
      <c r="I12" s="15"/>
      <c r="J12" s="15"/>
      <c r="K12" s="15"/>
    </row>
    <row r="13" spans="1:11" s="9" customFormat="1" ht="18" customHeight="1" x14ac:dyDescent="0.2">
      <c r="A13" s="9">
        <v>3</v>
      </c>
      <c r="B13" s="28"/>
      <c r="C13" s="14" t="s">
        <v>39</v>
      </c>
      <c r="D13" s="15"/>
      <c r="E13" s="15"/>
      <c r="F13" s="15"/>
      <c r="G13" s="15"/>
      <c r="H13" s="15"/>
      <c r="I13" s="15"/>
      <c r="J13" s="15"/>
      <c r="K13" s="15"/>
    </row>
    <row r="14" spans="1:11" s="9" customFormat="1" ht="18" customHeight="1" x14ac:dyDescent="0.2">
      <c r="A14" s="9">
        <v>4</v>
      </c>
      <c r="B14" s="28"/>
      <c r="C14" s="14" t="s">
        <v>48</v>
      </c>
      <c r="D14" s="15"/>
      <c r="E14" s="15"/>
      <c r="F14" s="15"/>
      <c r="G14" s="15"/>
      <c r="H14" s="15"/>
      <c r="I14" s="15"/>
      <c r="J14" s="15"/>
      <c r="K14" s="15"/>
    </row>
    <row r="15" spans="1:11" s="9" customFormat="1" ht="18" customHeight="1" x14ac:dyDescent="0.2">
      <c r="B15" s="13" t="s">
        <v>57</v>
      </c>
    </row>
    <row r="16" spans="1:11" s="9" customFormat="1" ht="18" customHeight="1" x14ac:dyDescent="0.2">
      <c r="A16" s="9">
        <v>1</v>
      </c>
      <c r="B16" s="29"/>
      <c r="C16" s="15" t="s">
        <v>58</v>
      </c>
      <c r="D16" s="15"/>
      <c r="E16" s="15"/>
      <c r="F16" s="15"/>
      <c r="G16" s="15"/>
      <c r="H16" s="15"/>
      <c r="I16" s="15"/>
      <c r="J16" s="15"/>
      <c r="K16" s="15"/>
    </row>
    <row r="17" spans="1:11" s="9" customFormat="1" ht="18" customHeight="1" x14ac:dyDescent="0.2">
      <c r="A17" s="9">
        <v>2</v>
      </c>
      <c r="B17" s="29"/>
      <c r="C17" s="15" t="s">
        <v>67</v>
      </c>
      <c r="D17" s="15"/>
      <c r="E17" s="15"/>
      <c r="F17" s="15"/>
      <c r="G17" s="15"/>
      <c r="H17" s="15"/>
      <c r="I17" s="15"/>
      <c r="J17" s="15"/>
      <c r="K17" s="15"/>
    </row>
    <row r="18" spans="1:11" s="9" customFormat="1" ht="18" customHeight="1" x14ac:dyDescent="0.2">
      <c r="B18" s="13" t="s">
        <v>76</v>
      </c>
    </row>
    <row r="19" spans="1:11" s="9" customFormat="1" ht="18" customHeight="1" x14ac:dyDescent="0.2">
      <c r="A19" s="9">
        <v>1</v>
      </c>
      <c r="B19" s="28" t="s">
        <v>77</v>
      </c>
      <c r="C19" s="14" t="s">
        <v>6</v>
      </c>
      <c r="D19" s="15"/>
      <c r="E19" s="15"/>
      <c r="F19" s="15"/>
      <c r="G19" s="15"/>
      <c r="H19" s="15"/>
      <c r="I19" s="15"/>
      <c r="J19" s="15"/>
      <c r="K19" s="15"/>
    </row>
    <row r="20" spans="1:11" s="9" customFormat="1" ht="18" customHeight="1" x14ac:dyDescent="0.2">
      <c r="A20" s="9">
        <v>2</v>
      </c>
      <c r="B20" s="28"/>
      <c r="C20" s="14" t="s">
        <v>10</v>
      </c>
      <c r="D20" s="15"/>
      <c r="E20" s="15"/>
      <c r="F20" s="15"/>
      <c r="G20" s="15"/>
      <c r="H20" s="15"/>
      <c r="I20" s="15"/>
      <c r="J20" s="15"/>
      <c r="K20" s="15"/>
    </row>
    <row r="21" spans="1:11" s="9" customFormat="1" ht="18" customHeight="1" x14ac:dyDescent="0.2">
      <c r="A21" s="9">
        <v>3</v>
      </c>
      <c r="B21" s="28"/>
      <c r="C21" s="14" t="s">
        <v>7</v>
      </c>
      <c r="D21" s="15"/>
      <c r="E21" s="15"/>
      <c r="F21" s="15"/>
      <c r="G21" s="15"/>
      <c r="H21" s="15"/>
      <c r="I21" s="15"/>
      <c r="J21" s="15"/>
      <c r="K21" s="15"/>
    </row>
    <row r="22" spans="1:11" s="9" customFormat="1" ht="18" customHeight="1" x14ac:dyDescent="0.2">
      <c r="A22" s="9">
        <v>4</v>
      </c>
      <c r="B22" s="28"/>
      <c r="C22" s="14" t="s">
        <v>102</v>
      </c>
      <c r="D22" s="15"/>
      <c r="E22" s="15"/>
      <c r="F22" s="15"/>
      <c r="G22" s="15"/>
      <c r="H22" s="15"/>
      <c r="I22" s="15"/>
      <c r="J22" s="15"/>
      <c r="K22" s="15"/>
    </row>
    <row r="23" spans="1:11" s="9" customFormat="1" ht="18" customHeight="1" x14ac:dyDescent="0.2">
      <c r="A23" s="9">
        <v>5</v>
      </c>
      <c r="B23" s="28"/>
      <c r="C23" s="16" t="s">
        <v>111</v>
      </c>
      <c r="D23" s="15"/>
      <c r="E23" s="15"/>
      <c r="F23" s="15"/>
      <c r="G23" s="15"/>
      <c r="H23" s="15"/>
      <c r="I23" s="15"/>
      <c r="J23" s="15"/>
      <c r="K23" s="15"/>
    </row>
    <row r="24" spans="1:11" s="9" customFormat="1" ht="18" customHeight="1" x14ac:dyDescent="0.2">
      <c r="A24" s="9">
        <v>6</v>
      </c>
      <c r="B24" s="28" t="s">
        <v>120</v>
      </c>
      <c r="C24" s="14" t="s">
        <v>6</v>
      </c>
      <c r="D24" s="15"/>
      <c r="E24" s="15"/>
      <c r="F24" s="15"/>
      <c r="G24" s="15"/>
      <c r="H24" s="15"/>
      <c r="I24" s="15"/>
      <c r="J24" s="15"/>
      <c r="K24" s="15"/>
    </row>
    <row r="25" spans="1:11" s="9" customFormat="1" ht="18" customHeight="1" x14ac:dyDescent="0.2">
      <c r="A25" s="9">
        <v>7</v>
      </c>
      <c r="B25" s="28"/>
      <c r="C25" s="14" t="s">
        <v>10</v>
      </c>
      <c r="D25" s="15"/>
      <c r="E25" s="15"/>
      <c r="F25" s="15"/>
      <c r="G25" s="15"/>
      <c r="H25" s="15"/>
      <c r="I25" s="15"/>
      <c r="J25" s="15"/>
      <c r="K25" s="15"/>
    </row>
    <row r="26" spans="1:11" s="9" customFormat="1" ht="18" customHeight="1" x14ac:dyDescent="0.2">
      <c r="A26" s="9">
        <v>8</v>
      </c>
      <c r="B26" s="28"/>
      <c r="C26" s="14" t="s">
        <v>137</v>
      </c>
      <c r="D26" s="15"/>
      <c r="E26" s="15"/>
      <c r="F26" s="15"/>
      <c r="G26" s="15"/>
      <c r="H26" s="15"/>
      <c r="I26" s="15"/>
      <c r="J26" s="15"/>
      <c r="K26" s="15"/>
    </row>
    <row r="27" spans="1:11" s="9" customFormat="1" ht="18" customHeight="1" x14ac:dyDescent="0.2">
      <c r="A27" s="9">
        <v>9</v>
      </c>
      <c r="B27" s="28"/>
      <c r="C27" s="14" t="s">
        <v>146</v>
      </c>
      <c r="D27" s="15"/>
      <c r="E27" s="15"/>
      <c r="F27" s="15"/>
      <c r="G27" s="15"/>
      <c r="H27" s="15"/>
      <c r="I27" s="15"/>
      <c r="J27" s="15"/>
      <c r="K27" s="15"/>
    </row>
    <row r="28" spans="1:11" s="9" customFormat="1" ht="18" customHeight="1" x14ac:dyDescent="0.2">
      <c r="A28" s="9">
        <v>10</v>
      </c>
      <c r="B28" s="28"/>
      <c r="C28" s="14" t="s">
        <v>155</v>
      </c>
      <c r="D28" s="15"/>
      <c r="E28" s="15"/>
      <c r="F28" s="15"/>
      <c r="G28" s="15"/>
      <c r="H28" s="15"/>
      <c r="I28" s="15"/>
      <c r="J28" s="15"/>
      <c r="K28" s="15"/>
    </row>
    <row r="29" spans="1:11" s="9" customFormat="1" ht="18" customHeight="1" x14ac:dyDescent="0.2">
      <c r="A29" s="9">
        <v>11</v>
      </c>
      <c r="B29" s="28"/>
      <c r="C29" s="14" t="s">
        <v>102</v>
      </c>
      <c r="D29" s="15"/>
      <c r="E29" s="15"/>
      <c r="F29" s="15"/>
      <c r="G29" s="15"/>
      <c r="H29" s="15"/>
      <c r="I29" s="15"/>
      <c r="J29" s="15"/>
      <c r="K29" s="15"/>
    </row>
    <row r="30" spans="1:11" s="9" customFormat="1" ht="18" customHeight="1" x14ac:dyDescent="0.2">
      <c r="A30" s="9">
        <v>12</v>
      </c>
      <c r="B30" s="28"/>
      <c r="C30" s="16" t="s">
        <v>172</v>
      </c>
      <c r="D30" s="15"/>
      <c r="E30" s="15"/>
      <c r="F30" s="15"/>
      <c r="G30" s="15"/>
      <c r="H30" s="15"/>
      <c r="I30" s="15"/>
      <c r="J30" s="15"/>
      <c r="K30" s="15"/>
    </row>
    <row r="31" spans="1:11" s="9" customFormat="1" ht="18" customHeight="1" x14ac:dyDescent="0.2">
      <c r="B31" s="13" t="s">
        <v>181</v>
      </c>
    </row>
    <row r="32" spans="1:11" s="9" customFormat="1" ht="18" customHeight="1" x14ac:dyDescent="0.2">
      <c r="A32" s="9">
        <v>1</v>
      </c>
      <c r="B32" s="17"/>
      <c r="C32" s="17" t="s">
        <v>182</v>
      </c>
      <c r="D32" s="18"/>
      <c r="E32" s="19"/>
      <c r="F32" s="18"/>
      <c r="G32" s="18"/>
      <c r="H32" s="18"/>
      <c r="I32" s="18"/>
      <c r="J32" s="18"/>
      <c r="K32" s="18"/>
    </row>
    <row r="33" spans="1:11" s="9" customFormat="1" ht="18" customHeight="1" x14ac:dyDescent="0.2">
      <c r="A33" s="9">
        <v>2</v>
      </c>
      <c r="B33" s="26" t="s">
        <v>183</v>
      </c>
      <c r="C33" s="20" t="s">
        <v>4</v>
      </c>
      <c r="D33" s="15"/>
      <c r="E33" s="15"/>
      <c r="F33" s="15"/>
      <c r="G33" s="15"/>
      <c r="H33" s="15"/>
      <c r="I33" s="15"/>
      <c r="J33" s="15"/>
      <c r="K33" s="15"/>
    </row>
    <row r="34" spans="1:11" s="9" customFormat="1" ht="18" customHeight="1" x14ac:dyDescent="0.2">
      <c r="A34" s="9">
        <v>3</v>
      </c>
      <c r="B34" s="26"/>
      <c r="C34" s="20" t="s">
        <v>3</v>
      </c>
      <c r="D34" s="15"/>
      <c r="E34" s="15"/>
      <c r="F34" s="15"/>
      <c r="G34" s="15"/>
      <c r="H34" s="15"/>
      <c r="I34" s="15"/>
      <c r="J34" s="15"/>
      <c r="K34" s="15"/>
    </row>
    <row r="35" spans="1:11" s="9" customFormat="1" ht="18" customHeight="1" x14ac:dyDescent="0.2">
      <c r="A35" s="9">
        <v>4</v>
      </c>
      <c r="B35" s="26"/>
      <c r="C35" s="20" t="s">
        <v>5</v>
      </c>
      <c r="D35" s="15"/>
      <c r="E35" s="15"/>
      <c r="F35" s="15"/>
      <c r="G35" s="15"/>
      <c r="H35" s="15"/>
      <c r="I35" s="15"/>
      <c r="J35" s="15"/>
      <c r="K35" s="15"/>
    </row>
    <row r="36" spans="1:11" s="9" customFormat="1" ht="18" customHeight="1" x14ac:dyDescent="0.2">
      <c r="A36" s="9">
        <v>5</v>
      </c>
      <c r="B36" s="26"/>
      <c r="C36" s="20" t="s">
        <v>1</v>
      </c>
      <c r="D36" s="15"/>
      <c r="E36" s="15"/>
      <c r="F36" s="15"/>
      <c r="G36" s="15"/>
      <c r="H36" s="15"/>
      <c r="I36" s="15"/>
      <c r="J36" s="15"/>
      <c r="K36" s="15"/>
    </row>
    <row r="37" spans="1:11" s="9" customFormat="1" ht="18" customHeight="1" x14ac:dyDescent="0.2">
      <c r="A37" s="9">
        <v>6</v>
      </c>
      <c r="B37" s="17"/>
      <c r="C37" s="17" t="s">
        <v>216</v>
      </c>
      <c r="D37" s="18"/>
      <c r="E37" s="18"/>
      <c r="F37" s="18"/>
      <c r="G37" s="18"/>
      <c r="H37" s="18"/>
      <c r="I37" s="18"/>
      <c r="J37" s="18"/>
      <c r="K37" s="19"/>
    </row>
    <row r="38" spans="1:11" s="9" customFormat="1" ht="18" customHeight="1" x14ac:dyDescent="0.2">
      <c r="A38" s="9">
        <v>7</v>
      </c>
      <c r="B38" s="26" t="s">
        <v>217</v>
      </c>
      <c r="C38" s="14" t="s">
        <v>218</v>
      </c>
      <c r="D38" s="15"/>
      <c r="E38" s="15"/>
      <c r="F38" s="15"/>
      <c r="G38" s="15"/>
      <c r="H38" s="15"/>
      <c r="I38" s="15"/>
      <c r="J38" s="15"/>
      <c r="K38" s="15"/>
    </row>
    <row r="39" spans="1:11" s="9" customFormat="1" ht="18" customHeight="1" x14ac:dyDescent="0.2">
      <c r="A39" s="9">
        <v>8</v>
      </c>
      <c r="B39" s="26"/>
      <c r="C39" s="14" t="s">
        <v>227</v>
      </c>
      <c r="D39" s="15"/>
      <c r="E39" s="15"/>
      <c r="F39" s="15"/>
      <c r="G39" s="15"/>
      <c r="H39" s="15"/>
      <c r="I39" s="15"/>
      <c r="J39" s="15"/>
      <c r="K39" s="15"/>
    </row>
    <row r="40" spans="1:11" s="9" customFormat="1" ht="18" customHeight="1" x14ac:dyDescent="0.2">
      <c r="A40" s="9">
        <v>9</v>
      </c>
      <c r="B40" s="26"/>
      <c r="C40" s="14" t="s">
        <v>236</v>
      </c>
      <c r="D40" s="15"/>
      <c r="E40" s="15"/>
      <c r="F40" s="15"/>
      <c r="G40" s="15"/>
      <c r="H40" s="15"/>
      <c r="I40" s="15"/>
      <c r="J40" s="15"/>
      <c r="K40" s="15"/>
    </row>
    <row r="41" spans="1:11" s="9" customFormat="1" ht="18" customHeight="1" x14ac:dyDescent="0.2">
      <c r="A41" s="9">
        <v>10</v>
      </c>
      <c r="B41" s="17"/>
      <c r="C41" s="17" t="s">
        <v>245</v>
      </c>
      <c r="D41" s="18"/>
      <c r="E41" s="18"/>
      <c r="F41" s="18"/>
      <c r="G41" s="18"/>
      <c r="H41" s="18"/>
      <c r="I41" s="18"/>
      <c r="J41" s="18"/>
      <c r="K41" s="19"/>
    </row>
    <row r="42" spans="1:11" s="9" customFormat="1" ht="18" customHeight="1" x14ac:dyDescent="0.2">
      <c r="A42" s="9">
        <v>11</v>
      </c>
      <c r="B42" s="26" t="s">
        <v>246</v>
      </c>
      <c r="C42" s="14" t="s">
        <v>247</v>
      </c>
      <c r="D42" s="15"/>
      <c r="E42" s="15"/>
      <c r="F42" s="15"/>
      <c r="G42" s="15"/>
      <c r="H42" s="15"/>
      <c r="I42" s="15"/>
      <c r="J42" s="15"/>
      <c r="K42" s="15"/>
    </row>
    <row r="43" spans="1:11" s="9" customFormat="1" ht="18" customHeight="1" x14ac:dyDescent="0.2">
      <c r="A43" s="9">
        <v>12</v>
      </c>
      <c r="B43" s="26"/>
      <c r="C43" s="14" t="s">
        <v>256</v>
      </c>
      <c r="D43" s="15"/>
      <c r="E43" s="15"/>
      <c r="F43" s="15"/>
      <c r="G43" s="15"/>
      <c r="H43" s="15"/>
      <c r="I43" s="15"/>
      <c r="J43" s="15"/>
      <c r="K43" s="15"/>
    </row>
    <row r="44" spans="1:11" s="9" customFormat="1" ht="18" customHeight="1" x14ac:dyDescent="0.2">
      <c r="A44" s="9">
        <v>13</v>
      </c>
      <c r="B44" s="26"/>
      <c r="C44" s="14" t="s">
        <v>265</v>
      </c>
      <c r="D44" s="15"/>
      <c r="E44" s="15"/>
      <c r="F44" s="15"/>
      <c r="G44" s="15"/>
      <c r="H44" s="15"/>
      <c r="I44" s="15"/>
      <c r="J44" s="15"/>
      <c r="K44" s="15"/>
    </row>
    <row r="45" spans="1:11" s="9" customFormat="1" ht="18" customHeight="1" x14ac:dyDescent="0.2">
      <c r="A45" s="9">
        <v>14</v>
      </c>
      <c r="B45" s="17"/>
      <c r="C45" s="17" t="s">
        <v>274</v>
      </c>
      <c r="D45" s="18"/>
      <c r="E45" s="18"/>
      <c r="F45" s="18"/>
      <c r="G45" s="18"/>
      <c r="H45" s="18"/>
      <c r="I45" s="18"/>
      <c r="J45" s="18"/>
      <c r="K45" s="19"/>
    </row>
    <row r="46" spans="1:11" s="9" customFormat="1" ht="18" customHeight="1" x14ac:dyDescent="0.2">
      <c r="A46" s="9">
        <v>15</v>
      </c>
      <c r="B46" s="26"/>
      <c r="C46" s="14" t="s">
        <v>275</v>
      </c>
      <c r="D46" s="15"/>
      <c r="E46" s="15"/>
      <c r="F46" s="15"/>
      <c r="G46" s="15"/>
      <c r="H46" s="15"/>
      <c r="I46" s="15"/>
      <c r="J46" s="15"/>
      <c r="K46" s="15"/>
    </row>
    <row r="47" spans="1:11" s="9" customFormat="1" ht="18" customHeight="1" x14ac:dyDescent="0.2">
      <c r="A47" s="9">
        <v>16</v>
      </c>
      <c r="B47" s="26"/>
      <c r="C47" s="14" t="s">
        <v>284</v>
      </c>
      <c r="D47" s="15"/>
      <c r="E47" s="15"/>
      <c r="F47" s="15"/>
      <c r="G47" s="15"/>
      <c r="H47" s="15"/>
      <c r="I47" s="15"/>
      <c r="J47" s="15"/>
      <c r="K47" s="15"/>
    </row>
    <row r="48" spans="1:11" s="9" customFormat="1" ht="18" customHeight="1" x14ac:dyDescent="0.2">
      <c r="A48" s="9">
        <v>17</v>
      </c>
      <c r="B48" s="26"/>
      <c r="C48" s="14" t="s">
        <v>293</v>
      </c>
      <c r="D48" s="15"/>
      <c r="E48" s="15"/>
      <c r="F48" s="15"/>
      <c r="G48" s="15"/>
      <c r="H48" s="15"/>
      <c r="I48" s="15"/>
      <c r="J48" s="15"/>
      <c r="K48" s="15"/>
    </row>
    <row r="49" spans="1:11" s="9" customFormat="1" ht="18" customHeight="1" x14ac:dyDescent="0.2">
      <c r="A49" s="9">
        <v>18</v>
      </c>
      <c r="B49" s="26"/>
      <c r="C49" s="14" t="s">
        <v>302</v>
      </c>
      <c r="D49" s="15"/>
      <c r="E49" s="15"/>
      <c r="F49" s="15"/>
      <c r="G49" s="15"/>
      <c r="H49" s="15"/>
      <c r="I49" s="15"/>
      <c r="J49" s="15"/>
      <c r="K49" s="15"/>
    </row>
    <row r="50" spans="1:11" s="9" customFormat="1" ht="18" customHeight="1" x14ac:dyDescent="0.2">
      <c r="A50" s="9">
        <v>19</v>
      </c>
      <c r="B50" s="17"/>
      <c r="C50" s="21" t="s">
        <v>311</v>
      </c>
      <c r="D50" s="17"/>
      <c r="E50" s="17"/>
      <c r="F50" s="17"/>
      <c r="G50" s="17"/>
      <c r="H50" s="17"/>
      <c r="I50" s="17"/>
      <c r="J50" s="17"/>
      <c r="K50" s="17"/>
    </row>
    <row r="51" spans="1:11" s="9" customFormat="1" ht="18" customHeight="1" x14ac:dyDescent="0.2">
      <c r="A51" s="9">
        <v>20</v>
      </c>
      <c r="B51" s="26"/>
      <c r="C51" s="14" t="s">
        <v>312</v>
      </c>
      <c r="D51" s="15"/>
      <c r="E51" s="15"/>
      <c r="F51" s="15"/>
      <c r="G51" s="15"/>
      <c r="H51" s="15"/>
      <c r="I51" s="15"/>
      <c r="J51" s="15"/>
      <c r="K51" s="15"/>
    </row>
    <row r="52" spans="1:11" s="9" customFormat="1" ht="18" customHeight="1" x14ac:dyDescent="0.2">
      <c r="A52" s="9">
        <v>21</v>
      </c>
      <c r="B52" s="26"/>
      <c r="C52" s="14" t="s">
        <v>321</v>
      </c>
      <c r="D52" s="15"/>
      <c r="E52" s="15"/>
      <c r="F52" s="15"/>
      <c r="G52" s="15"/>
      <c r="H52" s="15"/>
      <c r="I52" s="15"/>
      <c r="J52" s="15"/>
      <c r="K52" s="15"/>
    </row>
    <row r="53" spans="1:11" s="9" customFormat="1" ht="18" customHeight="1" x14ac:dyDescent="0.2">
      <c r="A53" s="9">
        <v>22</v>
      </c>
      <c r="B53" s="26"/>
      <c r="C53" s="14" t="s">
        <v>330</v>
      </c>
      <c r="D53" s="15"/>
      <c r="E53" s="15"/>
      <c r="F53" s="15"/>
      <c r="G53" s="15"/>
      <c r="H53" s="15"/>
      <c r="I53" s="15"/>
      <c r="J53" s="15"/>
      <c r="K53" s="15"/>
    </row>
    <row r="54" spans="1:11" s="9" customFormat="1" ht="18" customHeight="1" x14ac:dyDescent="0.2">
      <c r="A54" s="9">
        <v>23</v>
      </c>
      <c r="B54" s="26"/>
      <c r="C54" s="14" t="s">
        <v>339</v>
      </c>
      <c r="D54" s="15"/>
      <c r="E54" s="15"/>
      <c r="F54" s="15"/>
      <c r="G54" s="15"/>
      <c r="H54" s="15"/>
      <c r="I54" s="15"/>
      <c r="J54" s="15"/>
      <c r="K54" s="15"/>
    </row>
    <row r="55" spans="1:11" s="9" customFormat="1" ht="18" customHeight="1" x14ac:dyDescent="0.2">
      <c r="B55" s="13" t="s">
        <v>348</v>
      </c>
    </row>
    <row r="56" spans="1:11" s="9" customFormat="1" ht="18" customHeight="1" x14ac:dyDescent="0.2">
      <c r="A56" s="9">
        <v>1</v>
      </c>
      <c r="B56" s="26" t="s">
        <v>2</v>
      </c>
      <c r="C56" s="14" t="s">
        <v>349</v>
      </c>
      <c r="D56" s="15"/>
      <c r="E56" s="15"/>
      <c r="F56" s="15"/>
      <c r="G56" s="15"/>
      <c r="H56" s="15"/>
      <c r="I56" s="15"/>
      <c r="J56" s="15"/>
      <c r="K56" s="15"/>
    </row>
    <row r="57" spans="1:11" s="9" customFormat="1" ht="18" customHeight="1" x14ac:dyDescent="0.2">
      <c r="A57" s="9">
        <v>2</v>
      </c>
      <c r="B57" s="26"/>
      <c r="C57" s="14" t="s">
        <v>358</v>
      </c>
      <c r="D57" s="15"/>
      <c r="E57" s="15"/>
      <c r="F57" s="15"/>
      <c r="G57" s="15"/>
      <c r="H57" s="15"/>
      <c r="I57" s="15"/>
      <c r="J57" s="15"/>
      <c r="K57" s="15"/>
    </row>
    <row r="58" spans="1:11" s="9" customFormat="1" ht="18" customHeight="1" x14ac:dyDescent="0.2">
      <c r="A58" s="9">
        <v>3</v>
      </c>
      <c r="B58" s="26"/>
      <c r="C58" s="14" t="s">
        <v>367</v>
      </c>
      <c r="D58" s="15"/>
      <c r="E58" s="15"/>
      <c r="F58" s="15"/>
      <c r="G58" s="15"/>
      <c r="H58" s="15"/>
      <c r="I58" s="15"/>
      <c r="J58" s="15"/>
      <c r="K58" s="15"/>
    </row>
    <row r="59" spans="1:11" s="9" customFormat="1" ht="18" customHeight="1" x14ac:dyDescent="0.2">
      <c r="A59" s="9">
        <v>4</v>
      </c>
      <c r="B59" s="26"/>
      <c r="C59" s="14" t="s">
        <v>376</v>
      </c>
      <c r="D59" s="15"/>
      <c r="E59" s="15"/>
      <c r="F59" s="15"/>
      <c r="G59" s="15"/>
      <c r="H59" s="15"/>
      <c r="I59" s="15"/>
      <c r="J59" s="15"/>
      <c r="K59" s="15"/>
    </row>
    <row r="60" spans="1:11" s="9" customFormat="1" ht="18" customHeight="1" x14ac:dyDescent="0.2">
      <c r="B60" s="13" t="s">
        <v>385</v>
      </c>
      <c r="C60" s="10"/>
    </row>
    <row r="61" spans="1:11" s="9" customFormat="1" ht="18" customHeight="1" x14ac:dyDescent="0.2">
      <c r="A61" s="9">
        <v>1</v>
      </c>
      <c r="B61" s="26" t="s">
        <v>386</v>
      </c>
      <c r="C61" s="22" t="s">
        <v>387</v>
      </c>
      <c r="D61" s="15">
        <f>F61+H61+J61</f>
        <v>0</v>
      </c>
      <c r="E61" s="23"/>
      <c r="F61" s="15">
        <f>SUM(F62:F63)</f>
        <v>0</v>
      </c>
      <c r="G61" s="23"/>
      <c r="H61" s="15">
        <f>SUM(H62:H63)</f>
        <v>0</v>
      </c>
      <c r="I61" s="23"/>
      <c r="J61" s="15">
        <f>SUM(J62:J63)</f>
        <v>0</v>
      </c>
      <c r="K61" s="23"/>
    </row>
    <row r="62" spans="1:11" s="9" customFormat="1" ht="18" customHeight="1" x14ac:dyDescent="0.2">
      <c r="A62" s="9">
        <v>2</v>
      </c>
      <c r="B62" s="26"/>
      <c r="C62" s="24" t="s">
        <v>388</v>
      </c>
      <c r="D62" s="15"/>
      <c r="E62" s="23"/>
      <c r="F62" s="15"/>
      <c r="G62" s="23"/>
      <c r="H62" s="15"/>
      <c r="I62" s="23"/>
      <c r="J62" s="15"/>
      <c r="K62" s="23"/>
    </row>
    <row r="63" spans="1:11" s="9" customFormat="1" ht="18" customHeight="1" x14ac:dyDescent="0.2">
      <c r="A63" s="9">
        <v>3</v>
      </c>
      <c r="B63" s="26"/>
      <c r="C63" s="24" t="s">
        <v>397</v>
      </c>
      <c r="D63" s="15"/>
      <c r="E63" s="23"/>
      <c r="F63" s="15"/>
      <c r="G63" s="23"/>
      <c r="H63" s="15"/>
      <c r="I63" s="23"/>
      <c r="J63" s="15"/>
      <c r="K63" s="23"/>
    </row>
    <row r="64" spans="1:11" s="9" customFormat="1" ht="18" customHeight="1" x14ac:dyDescent="0.2">
      <c r="A64" s="9">
        <v>4</v>
      </c>
      <c r="B64" s="26"/>
      <c r="C64" s="22" t="s">
        <v>406</v>
      </c>
      <c r="D64" s="15">
        <f t="shared" ref="D64:E75" si="0">F64+H64+J64</f>
        <v>0</v>
      </c>
      <c r="E64" s="23"/>
      <c r="F64" s="15">
        <f>SUM(F65:F66)</f>
        <v>0</v>
      </c>
      <c r="G64" s="23"/>
      <c r="H64" s="15">
        <f>SUM(H65:H66)</f>
        <v>0</v>
      </c>
      <c r="I64" s="23"/>
      <c r="J64" s="15">
        <f>SUM(J65:J66)</f>
        <v>0</v>
      </c>
      <c r="K64" s="23"/>
    </row>
    <row r="65" spans="1:11" s="9" customFormat="1" ht="18" customHeight="1" x14ac:dyDescent="0.2">
      <c r="A65" s="9">
        <v>5</v>
      </c>
      <c r="B65" s="26"/>
      <c r="C65" s="24" t="s">
        <v>407</v>
      </c>
      <c r="D65" s="15"/>
      <c r="E65" s="23"/>
      <c r="F65" s="15"/>
      <c r="G65" s="23"/>
      <c r="H65" s="15"/>
      <c r="I65" s="23"/>
      <c r="J65" s="15"/>
      <c r="K65" s="23"/>
    </row>
    <row r="66" spans="1:11" s="9" customFormat="1" ht="18" customHeight="1" x14ac:dyDescent="0.2">
      <c r="A66" s="9">
        <v>6</v>
      </c>
      <c r="B66" s="26"/>
      <c r="C66" s="24" t="s">
        <v>416</v>
      </c>
      <c r="D66" s="15"/>
      <c r="E66" s="23"/>
      <c r="F66" s="15"/>
      <c r="G66" s="23"/>
      <c r="H66" s="15"/>
      <c r="I66" s="23"/>
      <c r="J66" s="15"/>
      <c r="K66" s="23"/>
    </row>
    <row r="67" spans="1:11" s="9" customFormat="1" ht="18" customHeight="1" x14ac:dyDescent="0.2">
      <c r="A67" s="9">
        <v>7</v>
      </c>
      <c r="B67" s="26"/>
      <c r="C67" s="22" t="s">
        <v>425</v>
      </c>
      <c r="D67" s="15"/>
      <c r="E67" s="23"/>
      <c r="F67" s="15"/>
      <c r="G67" s="23"/>
      <c r="H67" s="15"/>
      <c r="I67" s="23"/>
      <c r="J67" s="15"/>
      <c r="K67" s="23"/>
    </row>
    <row r="68" spans="1:11" s="9" customFormat="1" ht="18" customHeight="1" x14ac:dyDescent="0.2">
      <c r="A68" s="9">
        <v>8</v>
      </c>
      <c r="B68" s="26" t="s">
        <v>434</v>
      </c>
      <c r="C68" s="22" t="s">
        <v>435</v>
      </c>
      <c r="D68" s="23"/>
      <c r="E68" s="15"/>
      <c r="F68" s="23"/>
      <c r="G68" s="15"/>
      <c r="H68" s="23"/>
      <c r="I68" s="15"/>
      <c r="J68" s="23"/>
      <c r="K68" s="15"/>
    </row>
    <row r="69" spans="1:11" s="9" customFormat="1" ht="18" customHeight="1" x14ac:dyDescent="0.2">
      <c r="A69" s="9">
        <v>9</v>
      </c>
      <c r="B69" s="26"/>
      <c r="C69" s="24" t="s">
        <v>436</v>
      </c>
      <c r="D69" s="23"/>
      <c r="E69" s="15"/>
      <c r="F69" s="23"/>
      <c r="G69" s="15"/>
      <c r="H69" s="23"/>
      <c r="I69" s="15"/>
      <c r="J69" s="23"/>
      <c r="K69" s="15"/>
    </row>
    <row r="70" spans="1:11" s="9" customFormat="1" ht="18" customHeight="1" x14ac:dyDescent="0.2">
      <c r="A70" s="9">
        <v>10</v>
      </c>
      <c r="B70" s="26"/>
      <c r="C70" s="24" t="s">
        <v>445</v>
      </c>
      <c r="D70" s="23"/>
      <c r="E70" s="15"/>
      <c r="F70" s="23"/>
      <c r="G70" s="15"/>
      <c r="H70" s="23"/>
      <c r="I70" s="15"/>
      <c r="J70" s="23"/>
      <c r="K70" s="15"/>
    </row>
    <row r="71" spans="1:11" s="9" customFormat="1" ht="18" customHeight="1" x14ac:dyDescent="0.2">
      <c r="A71" s="9">
        <v>11</v>
      </c>
      <c r="B71" s="26"/>
      <c r="C71" s="22" t="s">
        <v>454</v>
      </c>
      <c r="D71" s="23"/>
      <c r="E71" s="15">
        <f t="shared" si="0"/>
        <v>0</v>
      </c>
      <c r="F71" s="23"/>
      <c r="G71" s="15">
        <f>SUM(G72:G74)</f>
        <v>0</v>
      </c>
      <c r="H71" s="23"/>
      <c r="I71" s="15">
        <f>SUM(I72:I74)</f>
        <v>0</v>
      </c>
      <c r="J71" s="23"/>
      <c r="K71" s="15">
        <f>SUM(K72:K74)</f>
        <v>0</v>
      </c>
    </row>
    <row r="72" spans="1:11" s="9" customFormat="1" ht="18" customHeight="1" x14ac:dyDescent="0.2">
      <c r="A72" s="9">
        <v>12</v>
      </c>
      <c r="B72" s="26"/>
      <c r="C72" s="24" t="s">
        <v>455</v>
      </c>
      <c r="D72" s="23"/>
      <c r="E72" s="15"/>
      <c r="F72" s="23"/>
      <c r="G72" s="15"/>
      <c r="H72" s="23"/>
      <c r="I72" s="15"/>
      <c r="J72" s="23"/>
      <c r="K72" s="15"/>
    </row>
    <row r="73" spans="1:11" s="9" customFormat="1" ht="18" customHeight="1" x14ac:dyDescent="0.2">
      <c r="A73" s="9">
        <v>13</v>
      </c>
      <c r="B73" s="26"/>
      <c r="C73" s="24" t="s">
        <v>464</v>
      </c>
      <c r="D73" s="23"/>
      <c r="E73" s="15"/>
      <c r="F73" s="23"/>
      <c r="G73" s="15"/>
      <c r="H73" s="23"/>
      <c r="I73" s="15"/>
      <c r="J73" s="23"/>
      <c r="K73" s="15"/>
    </row>
    <row r="74" spans="1:11" s="9" customFormat="1" ht="18" customHeight="1" x14ac:dyDescent="0.2">
      <c r="A74" s="9">
        <v>14</v>
      </c>
      <c r="B74" s="26"/>
      <c r="C74" s="24" t="s">
        <v>473</v>
      </c>
      <c r="D74" s="23"/>
      <c r="E74" s="15"/>
      <c r="F74" s="23"/>
      <c r="G74" s="15"/>
      <c r="H74" s="23"/>
      <c r="I74" s="15"/>
      <c r="J74" s="23"/>
      <c r="K74" s="15"/>
    </row>
    <row r="75" spans="1:11" s="9" customFormat="1" ht="18" customHeight="1" x14ac:dyDescent="0.2">
      <c r="A75" s="9">
        <v>15</v>
      </c>
      <c r="B75" s="26"/>
      <c r="C75" s="22" t="s">
        <v>482</v>
      </c>
      <c r="D75" s="23"/>
      <c r="E75" s="15">
        <f t="shared" si="0"/>
        <v>0</v>
      </c>
      <c r="F75" s="23"/>
      <c r="G75" s="15">
        <f>SUM(G76:G77)</f>
        <v>0</v>
      </c>
      <c r="H75" s="23"/>
      <c r="I75" s="15">
        <f>SUM(I76:I77)</f>
        <v>0</v>
      </c>
      <c r="J75" s="23"/>
      <c r="K75" s="15">
        <f>SUM(K76:K77)</f>
        <v>0</v>
      </c>
    </row>
    <row r="76" spans="1:11" s="9" customFormat="1" ht="18" customHeight="1" x14ac:dyDescent="0.2">
      <c r="A76" s="9">
        <v>16</v>
      </c>
      <c r="B76" s="26"/>
      <c r="C76" s="24" t="s">
        <v>388</v>
      </c>
      <c r="D76" s="23"/>
      <c r="E76" s="15"/>
      <c r="F76" s="23"/>
      <c r="G76" s="15"/>
      <c r="H76" s="23"/>
      <c r="I76" s="15"/>
      <c r="J76" s="23"/>
      <c r="K76" s="15"/>
    </row>
    <row r="77" spans="1:11" s="9" customFormat="1" ht="18" customHeight="1" x14ac:dyDescent="0.2">
      <c r="A77" s="9">
        <v>17</v>
      </c>
      <c r="B77" s="26"/>
      <c r="C77" s="24" t="s">
        <v>397</v>
      </c>
      <c r="D77" s="23"/>
      <c r="E77" s="15"/>
      <c r="F77" s="23"/>
      <c r="G77" s="15"/>
      <c r="H77" s="23"/>
      <c r="I77" s="15"/>
      <c r="J77" s="23"/>
      <c r="K77" s="15"/>
    </row>
    <row r="78" spans="1:11" s="9" customFormat="1" ht="18" customHeight="1" x14ac:dyDescent="0.2">
      <c r="A78" s="9">
        <v>18</v>
      </c>
      <c r="B78" s="26"/>
      <c r="C78" s="22" t="s">
        <v>499</v>
      </c>
      <c r="D78" s="23"/>
      <c r="E78" s="15">
        <f t="shared" ref="E78:E84" si="1">G78+I78+K78</f>
        <v>0</v>
      </c>
      <c r="F78" s="23"/>
      <c r="G78" s="15">
        <f>SUM(G79:G80)</f>
        <v>0</v>
      </c>
      <c r="H78" s="23"/>
      <c r="I78" s="15">
        <f>SUM(I79:I80)</f>
        <v>0</v>
      </c>
      <c r="J78" s="23"/>
      <c r="K78" s="15">
        <f>SUM(K79:K80)</f>
        <v>0</v>
      </c>
    </row>
    <row r="79" spans="1:11" s="9" customFormat="1" ht="18" customHeight="1" x14ac:dyDescent="0.2">
      <c r="A79" s="9">
        <v>19</v>
      </c>
      <c r="B79" s="26"/>
      <c r="C79" s="24" t="s">
        <v>388</v>
      </c>
      <c r="D79" s="23"/>
      <c r="E79" s="15"/>
      <c r="F79" s="23"/>
      <c r="G79" s="15"/>
      <c r="H79" s="23"/>
      <c r="I79" s="15"/>
      <c r="J79" s="23"/>
      <c r="K79" s="15"/>
    </row>
    <row r="80" spans="1:11" s="9" customFormat="1" ht="18" customHeight="1" x14ac:dyDescent="0.2">
      <c r="A80" s="9">
        <v>20</v>
      </c>
      <c r="B80" s="26"/>
      <c r="C80" s="24" t="s">
        <v>397</v>
      </c>
      <c r="D80" s="23"/>
      <c r="E80" s="15"/>
      <c r="F80" s="23"/>
      <c r="G80" s="15"/>
      <c r="H80" s="23"/>
      <c r="I80" s="15"/>
      <c r="J80" s="23"/>
      <c r="K80" s="15"/>
    </row>
    <row r="81" spans="1:11" s="9" customFormat="1" ht="18" customHeight="1" x14ac:dyDescent="0.2">
      <c r="A81" s="9">
        <v>21</v>
      </c>
      <c r="B81" s="26"/>
      <c r="C81" s="22" t="s">
        <v>516</v>
      </c>
      <c r="D81" s="23"/>
      <c r="E81" s="15">
        <f t="shared" si="1"/>
        <v>0</v>
      </c>
      <c r="F81" s="23"/>
      <c r="G81" s="15">
        <f>SUM(G82:G83)</f>
        <v>0</v>
      </c>
      <c r="H81" s="23"/>
      <c r="I81" s="15">
        <f>SUM(I82:I83)</f>
        <v>0</v>
      </c>
      <c r="J81" s="23"/>
      <c r="K81" s="15">
        <f>SUM(K82:K83)</f>
        <v>0</v>
      </c>
    </row>
    <row r="82" spans="1:11" s="9" customFormat="1" ht="18" customHeight="1" x14ac:dyDescent="0.2">
      <c r="A82" s="9">
        <v>22</v>
      </c>
      <c r="B82" s="26"/>
      <c r="C82" s="24" t="s">
        <v>388</v>
      </c>
      <c r="D82" s="23"/>
      <c r="E82" s="15"/>
      <c r="F82" s="23"/>
      <c r="G82" s="15"/>
      <c r="H82" s="23"/>
      <c r="I82" s="15"/>
      <c r="J82" s="23"/>
      <c r="K82" s="15"/>
    </row>
    <row r="83" spans="1:11" s="9" customFormat="1" ht="18" customHeight="1" x14ac:dyDescent="0.2">
      <c r="A83" s="9">
        <v>23</v>
      </c>
      <c r="B83" s="26"/>
      <c r="C83" s="24" t="s">
        <v>397</v>
      </c>
      <c r="D83" s="23"/>
      <c r="E83" s="15"/>
      <c r="F83" s="23"/>
      <c r="G83" s="15"/>
      <c r="H83" s="23"/>
      <c r="I83" s="15"/>
      <c r="J83" s="23"/>
      <c r="K83" s="15"/>
    </row>
    <row r="84" spans="1:11" s="9" customFormat="1" ht="18" customHeight="1" x14ac:dyDescent="0.2">
      <c r="A84" s="9">
        <v>24</v>
      </c>
      <c r="B84" s="26"/>
      <c r="C84" s="22" t="s">
        <v>533</v>
      </c>
      <c r="D84" s="23"/>
      <c r="E84" s="15">
        <f t="shared" si="1"/>
        <v>0</v>
      </c>
      <c r="F84" s="23"/>
      <c r="G84" s="15">
        <f>SUM(G85:G87)</f>
        <v>0</v>
      </c>
      <c r="H84" s="23"/>
      <c r="I84" s="15">
        <f>SUM(I85:I87)</f>
        <v>0</v>
      </c>
      <c r="J84" s="23"/>
      <c r="K84" s="15">
        <f>SUM(K85:K87)</f>
        <v>0</v>
      </c>
    </row>
    <row r="85" spans="1:11" s="9" customFormat="1" ht="18" customHeight="1" x14ac:dyDescent="0.2">
      <c r="A85" s="9">
        <v>25</v>
      </c>
      <c r="B85" s="26"/>
      <c r="C85" s="24" t="s">
        <v>534</v>
      </c>
      <c r="D85" s="23"/>
      <c r="E85" s="15"/>
      <c r="F85" s="23"/>
      <c r="G85" s="15"/>
      <c r="H85" s="23"/>
      <c r="I85" s="15"/>
      <c r="J85" s="23"/>
      <c r="K85" s="15"/>
    </row>
    <row r="86" spans="1:11" s="9" customFormat="1" ht="18" customHeight="1" x14ac:dyDescent="0.2">
      <c r="A86" s="9">
        <v>26</v>
      </c>
      <c r="B86" s="26"/>
      <c r="C86" s="24" t="s">
        <v>543</v>
      </c>
      <c r="D86" s="23"/>
      <c r="E86" s="15"/>
      <c r="F86" s="23"/>
      <c r="G86" s="15"/>
      <c r="H86" s="23"/>
      <c r="I86" s="15"/>
      <c r="J86" s="23"/>
      <c r="K86" s="15"/>
    </row>
    <row r="87" spans="1:11" s="9" customFormat="1" ht="18" customHeight="1" x14ac:dyDescent="0.2">
      <c r="A87" s="9">
        <v>27</v>
      </c>
      <c r="B87" s="26"/>
      <c r="C87" s="24" t="s">
        <v>552</v>
      </c>
      <c r="D87" s="23"/>
      <c r="E87" s="15"/>
      <c r="F87" s="23"/>
      <c r="G87" s="15"/>
      <c r="H87" s="23"/>
      <c r="I87" s="15"/>
      <c r="J87" s="23"/>
      <c r="K87" s="15"/>
    </row>
    <row r="88" spans="1:11" s="9" customFormat="1" ht="18" customHeight="1" x14ac:dyDescent="0.2">
      <c r="A88" s="9">
        <v>28</v>
      </c>
      <c r="B88" s="26"/>
      <c r="C88" s="22" t="s">
        <v>561</v>
      </c>
      <c r="D88" s="23"/>
      <c r="E88" s="15"/>
      <c r="F88" s="23"/>
      <c r="G88" s="15"/>
      <c r="H88" s="23"/>
      <c r="I88" s="15"/>
      <c r="J88" s="23"/>
      <c r="K88" s="15"/>
    </row>
    <row r="89" spans="1:11" s="9" customFormat="1" ht="18" customHeight="1" x14ac:dyDescent="0.2">
      <c r="A89" s="9">
        <v>29</v>
      </c>
      <c r="B89" s="26"/>
      <c r="C89" s="24" t="s">
        <v>562</v>
      </c>
      <c r="D89" s="23"/>
      <c r="E89" s="15"/>
      <c r="F89" s="23"/>
      <c r="G89" s="15"/>
      <c r="H89" s="23"/>
      <c r="I89" s="15"/>
      <c r="J89" s="23"/>
      <c r="K89" s="15"/>
    </row>
    <row r="90" spans="1:11" s="9" customFormat="1" ht="18" customHeight="1" x14ac:dyDescent="0.2">
      <c r="A90" s="9">
        <v>30</v>
      </c>
      <c r="B90" s="26"/>
      <c r="C90" s="22" t="s">
        <v>571</v>
      </c>
      <c r="D90" s="23"/>
      <c r="E90" s="15">
        <f>G90+I90+K90</f>
        <v>0</v>
      </c>
      <c r="F90" s="23"/>
      <c r="G90" s="15">
        <f>SUM(G91:G92)</f>
        <v>0</v>
      </c>
      <c r="H90" s="23"/>
      <c r="I90" s="15">
        <f>SUM(I91:I92)</f>
        <v>0</v>
      </c>
      <c r="J90" s="23"/>
      <c r="K90" s="15">
        <f>SUM(K91:K92)</f>
        <v>0</v>
      </c>
    </row>
    <row r="91" spans="1:11" s="9" customFormat="1" ht="18" customHeight="1" x14ac:dyDescent="0.2">
      <c r="A91" s="9">
        <v>31</v>
      </c>
      <c r="B91" s="26"/>
      <c r="C91" s="24" t="s">
        <v>572</v>
      </c>
      <c r="D91" s="23"/>
      <c r="E91" s="15"/>
      <c r="F91" s="23"/>
      <c r="G91" s="15"/>
      <c r="H91" s="23"/>
      <c r="I91" s="15"/>
      <c r="J91" s="23"/>
      <c r="K91" s="15"/>
    </row>
    <row r="92" spans="1:11" s="9" customFormat="1" ht="18" customHeight="1" x14ac:dyDescent="0.2">
      <c r="A92" s="9">
        <v>32</v>
      </c>
      <c r="B92" s="26"/>
      <c r="C92" s="24" t="s">
        <v>581</v>
      </c>
      <c r="D92" s="23"/>
      <c r="E92" s="15"/>
      <c r="F92" s="23"/>
      <c r="G92" s="15"/>
      <c r="H92" s="23"/>
      <c r="I92" s="15"/>
      <c r="J92" s="23"/>
      <c r="K92" s="15"/>
    </row>
    <row r="93" spans="1:11" s="9" customFormat="1" ht="18" customHeight="1" x14ac:dyDescent="0.2">
      <c r="B93" s="13" t="s">
        <v>590</v>
      </c>
    </row>
    <row r="94" spans="1:11" s="9" customFormat="1" ht="18" customHeight="1" x14ac:dyDescent="0.2">
      <c r="A94" s="9">
        <v>1</v>
      </c>
      <c r="B94" s="25" t="s">
        <v>591</v>
      </c>
      <c r="C94" s="14" t="s">
        <v>592</v>
      </c>
      <c r="D94" s="15"/>
      <c r="E94" s="15"/>
      <c r="F94" s="15"/>
      <c r="G94" s="15"/>
      <c r="H94" s="15"/>
      <c r="I94" s="15"/>
      <c r="J94" s="15"/>
      <c r="K94" s="15"/>
    </row>
    <row r="95" spans="1:11" s="9" customFormat="1" ht="18" customHeight="1" x14ac:dyDescent="0.2">
      <c r="B95" s="13" t="s">
        <v>601</v>
      </c>
      <c r="C95" s="10"/>
    </row>
    <row r="96" spans="1:11" s="9" customFormat="1" ht="18" customHeight="1" x14ac:dyDescent="0.2">
      <c r="A96" s="9">
        <v>1</v>
      </c>
      <c r="B96" s="25" t="s">
        <v>602</v>
      </c>
      <c r="C96" s="14" t="s">
        <v>603</v>
      </c>
      <c r="D96" s="15"/>
      <c r="E96" s="15"/>
      <c r="F96" s="15"/>
      <c r="G96" s="15"/>
      <c r="H96" s="15"/>
      <c r="I96" s="15"/>
      <c r="J96" s="15"/>
      <c r="K96" s="15"/>
    </row>
  </sheetData>
  <mergeCells count="20">
    <mergeCell ref="H8:I8"/>
    <mergeCell ref="J8:K8"/>
    <mergeCell ref="C3:D3"/>
    <mergeCell ref="C4:D4"/>
    <mergeCell ref="B61:B67"/>
    <mergeCell ref="B68:B92"/>
    <mergeCell ref="B6:K6"/>
    <mergeCell ref="B38:B40"/>
    <mergeCell ref="B42:B44"/>
    <mergeCell ref="B46:B49"/>
    <mergeCell ref="B51:B54"/>
    <mergeCell ref="B56:B59"/>
    <mergeCell ref="B11:B14"/>
    <mergeCell ref="B16:B17"/>
    <mergeCell ref="B19:B23"/>
    <mergeCell ref="B24:B30"/>
    <mergeCell ref="B33:B36"/>
    <mergeCell ref="B8:C9"/>
    <mergeCell ref="D8:E8"/>
    <mergeCell ref="F8:G8"/>
  </mergeCells>
  <phoneticPr fontId="2" type="noConversion"/>
  <printOptions horizontalCentered="1"/>
  <pageMargins left="0" right="0" top="0.55118110236220474" bottom="0.59055118110236227" header="0.59055118110236227" footer="0"/>
  <pageSetup paperSize="9" scale="99" orientation="portrait" horizontalDpi="4294967295" verticalDpi="300" r:id="rId1"/>
  <headerFooter alignWithMargins="0"/>
  <colBreaks count="1" manualBreakCount="1">
    <brk id="9" max="90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6"/>
  <sheetViews>
    <sheetView showGridLines="0" zoomScaleNormal="100" workbookViewId="0">
      <selection activeCell="D11" sqref="D11"/>
    </sheetView>
  </sheetViews>
  <sheetFormatPr baseColWidth="10" defaultRowHeight="12.75" x14ac:dyDescent="0.2"/>
  <cols>
    <col min="1" max="1" width="6" style="3" customWidth="1"/>
    <col min="2" max="2" width="8.140625" style="3" customWidth="1"/>
    <col min="3" max="3" width="54.28515625" style="5" bestFit="1" customWidth="1"/>
    <col min="4" max="11" width="11.5703125" style="5" customWidth="1"/>
    <col min="12" max="16384" width="11.42578125" style="5"/>
  </cols>
  <sheetData>
    <row r="1" spans="1:11" s="1" customFormat="1" ht="11.25" x14ac:dyDescent="0.2">
      <c r="B1" s="2" t="s">
        <v>15</v>
      </c>
      <c r="C1" s="2"/>
      <c r="D1" s="2"/>
      <c r="E1" s="2"/>
      <c r="F1" s="3"/>
      <c r="G1" s="3"/>
      <c r="H1" s="3"/>
    </row>
    <row r="2" spans="1:11" s="1" customFormat="1" ht="11.25" x14ac:dyDescent="0.2">
      <c r="B2" s="2" t="s">
        <v>11</v>
      </c>
      <c r="C2" s="8"/>
      <c r="D2" s="8"/>
      <c r="E2" s="2"/>
      <c r="F2" s="3"/>
      <c r="G2" s="3"/>
      <c r="H2" s="3"/>
    </row>
    <row r="3" spans="1:11" s="1" customFormat="1" ht="11.25" x14ac:dyDescent="0.2">
      <c r="B3" s="2" t="s">
        <v>12</v>
      </c>
      <c r="C3" s="37"/>
      <c r="D3" s="37"/>
      <c r="E3" s="2"/>
      <c r="F3" s="3"/>
      <c r="G3" s="3"/>
      <c r="H3" s="3"/>
    </row>
    <row r="4" spans="1:11" s="1" customFormat="1" ht="11.25" x14ac:dyDescent="0.2">
      <c r="B4" s="2" t="s">
        <v>13</v>
      </c>
      <c r="C4" s="37"/>
      <c r="D4" s="37"/>
      <c r="E4" s="2"/>
      <c r="F4" s="3"/>
      <c r="G4" s="3"/>
      <c r="H4" s="3"/>
    </row>
    <row r="5" spans="1:11" x14ac:dyDescent="0.2">
      <c r="C5" s="3"/>
      <c r="D5" s="3"/>
      <c r="E5" s="3"/>
      <c r="F5" s="3"/>
      <c r="G5" s="3"/>
      <c r="H5" s="3"/>
      <c r="K5" s="3"/>
    </row>
    <row r="6" spans="1:11" ht="15" customHeight="1" x14ac:dyDescent="0.2">
      <c r="B6" s="27" t="s">
        <v>14</v>
      </c>
      <c r="C6" s="27"/>
      <c r="D6" s="27"/>
      <c r="E6" s="27"/>
      <c r="F6" s="27"/>
      <c r="G6" s="27"/>
      <c r="H6" s="27"/>
      <c r="I6" s="27"/>
      <c r="J6" s="27"/>
      <c r="K6" s="27"/>
    </row>
    <row r="7" spans="1:11" ht="12" customHeight="1" x14ac:dyDescent="0.2">
      <c r="B7" s="6"/>
      <c r="C7" s="7"/>
      <c r="D7" s="7"/>
      <c r="E7" s="7"/>
      <c r="F7" s="7"/>
      <c r="G7" s="7"/>
      <c r="H7" s="7"/>
      <c r="I7" s="7"/>
    </row>
    <row r="8" spans="1:11" s="9" customFormat="1" ht="18.95" customHeight="1" x14ac:dyDescent="0.2">
      <c r="B8" s="30"/>
      <c r="C8" s="31"/>
      <c r="D8" s="34" t="s">
        <v>0</v>
      </c>
      <c r="E8" s="34"/>
      <c r="F8" s="35" t="s">
        <v>16</v>
      </c>
      <c r="G8" s="34"/>
      <c r="H8" s="35" t="s">
        <v>17</v>
      </c>
      <c r="I8" s="36"/>
      <c r="J8" s="34" t="s">
        <v>18</v>
      </c>
      <c r="K8" s="36"/>
    </row>
    <row r="9" spans="1:11" s="9" customFormat="1" ht="18.95" customHeight="1" x14ac:dyDescent="0.2">
      <c r="B9" s="32"/>
      <c r="C9" s="33"/>
      <c r="D9" s="11" t="s">
        <v>19</v>
      </c>
      <c r="E9" s="12" t="s">
        <v>20</v>
      </c>
      <c r="F9" s="12" t="s">
        <v>19</v>
      </c>
      <c r="G9" s="12" t="s">
        <v>20</v>
      </c>
      <c r="H9" s="12" t="s">
        <v>19</v>
      </c>
      <c r="I9" s="12" t="s">
        <v>20</v>
      </c>
      <c r="J9" s="12" t="s">
        <v>19</v>
      </c>
      <c r="K9" s="12" t="s">
        <v>20</v>
      </c>
    </row>
    <row r="10" spans="1:11" s="9" customFormat="1" ht="18" customHeight="1" x14ac:dyDescent="0.2">
      <c r="B10" s="13" t="s">
        <v>21</v>
      </c>
    </row>
    <row r="11" spans="1:11" s="9" customFormat="1" ht="18" customHeight="1" x14ac:dyDescent="0.2">
      <c r="A11" s="9">
        <v>1</v>
      </c>
      <c r="B11" s="28" t="s">
        <v>8</v>
      </c>
      <c r="C11" s="14" t="s">
        <v>9</v>
      </c>
      <c r="D11" s="15" t="s">
        <v>22</v>
      </c>
      <c r="E11" s="15" t="s">
        <v>23</v>
      </c>
      <c r="F11" s="15" t="s">
        <v>24</v>
      </c>
      <c r="G11" s="15" t="s">
        <v>25</v>
      </c>
      <c r="H11" s="15" t="s">
        <v>26</v>
      </c>
      <c r="I11" s="15" t="s">
        <v>27</v>
      </c>
      <c r="J11" s="15" t="s">
        <v>28</v>
      </c>
      <c r="K11" s="15" t="s">
        <v>29</v>
      </c>
    </row>
    <row r="12" spans="1:11" s="9" customFormat="1" ht="18" customHeight="1" x14ac:dyDescent="0.2">
      <c r="A12" s="9">
        <v>2</v>
      </c>
      <c r="B12" s="28"/>
      <c r="C12" s="14" t="s">
        <v>30</v>
      </c>
      <c r="D12" s="15" t="s">
        <v>31</v>
      </c>
      <c r="E12" s="15" t="s">
        <v>32</v>
      </c>
      <c r="F12" s="15" t="s">
        <v>33</v>
      </c>
      <c r="G12" s="15" t="s">
        <v>34</v>
      </c>
      <c r="H12" s="15" t="s">
        <v>35</v>
      </c>
      <c r="I12" s="15" t="s">
        <v>36</v>
      </c>
      <c r="J12" s="15" t="s">
        <v>37</v>
      </c>
      <c r="K12" s="15" t="s">
        <v>38</v>
      </c>
    </row>
    <row r="13" spans="1:11" s="9" customFormat="1" ht="18" customHeight="1" x14ac:dyDescent="0.2">
      <c r="A13" s="9">
        <v>3</v>
      </c>
      <c r="B13" s="28"/>
      <c r="C13" s="14" t="s">
        <v>39</v>
      </c>
      <c r="D13" s="15" t="s">
        <v>40</v>
      </c>
      <c r="E13" s="15" t="s">
        <v>41</v>
      </c>
      <c r="F13" s="15" t="s">
        <v>42</v>
      </c>
      <c r="G13" s="15" t="s">
        <v>43</v>
      </c>
      <c r="H13" s="15" t="s">
        <v>44</v>
      </c>
      <c r="I13" s="15" t="s">
        <v>45</v>
      </c>
      <c r="J13" s="15" t="s">
        <v>46</v>
      </c>
      <c r="K13" s="15" t="s">
        <v>47</v>
      </c>
    </row>
    <row r="14" spans="1:11" s="9" customFormat="1" ht="18" customHeight="1" x14ac:dyDescent="0.2">
      <c r="A14" s="9">
        <v>4</v>
      </c>
      <c r="B14" s="28"/>
      <c r="C14" s="14" t="s">
        <v>48</v>
      </c>
      <c r="D14" s="15" t="s">
        <v>49</v>
      </c>
      <c r="E14" s="15" t="s">
        <v>50</v>
      </c>
      <c r="F14" s="15" t="s">
        <v>51</v>
      </c>
      <c r="G14" s="15" t="s">
        <v>52</v>
      </c>
      <c r="H14" s="15" t="s">
        <v>53</v>
      </c>
      <c r="I14" s="15" t="s">
        <v>54</v>
      </c>
      <c r="J14" s="15" t="s">
        <v>55</v>
      </c>
      <c r="K14" s="15" t="s">
        <v>56</v>
      </c>
    </row>
    <row r="15" spans="1:11" s="9" customFormat="1" ht="18" customHeight="1" x14ac:dyDescent="0.2">
      <c r="B15" s="13" t="s">
        <v>57</v>
      </c>
    </row>
    <row r="16" spans="1:11" s="9" customFormat="1" ht="18" customHeight="1" x14ac:dyDescent="0.2">
      <c r="A16" s="9">
        <v>1</v>
      </c>
      <c r="B16" s="29"/>
      <c r="C16" s="15" t="s">
        <v>58</v>
      </c>
      <c r="D16" s="15" t="s">
        <v>59</v>
      </c>
      <c r="E16" s="15" t="s">
        <v>60</v>
      </c>
      <c r="F16" s="15" t="s">
        <v>61</v>
      </c>
      <c r="G16" s="15" t="s">
        <v>62</v>
      </c>
      <c r="H16" s="15" t="s">
        <v>63</v>
      </c>
      <c r="I16" s="15" t="s">
        <v>64</v>
      </c>
      <c r="J16" s="15" t="s">
        <v>65</v>
      </c>
      <c r="K16" s="15" t="s">
        <v>66</v>
      </c>
    </row>
    <row r="17" spans="1:11" s="9" customFormat="1" ht="18" customHeight="1" x14ac:dyDescent="0.2">
      <c r="A17" s="9">
        <v>2</v>
      </c>
      <c r="B17" s="29"/>
      <c r="C17" s="15" t="s">
        <v>67</v>
      </c>
      <c r="D17" s="15" t="s">
        <v>68</v>
      </c>
      <c r="E17" s="15" t="s">
        <v>69</v>
      </c>
      <c r="F17" s="15" t="s">
        <v>70</v>
      </c>
      <c r="G17" s="15" t="s">
        <v>71</v>
      </c>
      <c r="H17" s="15" t="s">
        <v>72</v>
      </c>
      <c r="I17" s="15" t="s">
        <v>73</v>
      </c>
      <c r="J17" s="15" t="s">
        <v>74</v>
      </c>
      <c r="K17" s="15" t="s">
        <v>75</v>
      </c>
    </row>
    <row r="18" spans="1:11" s="9" customFormat="1" ht="18" customHeight="1" x14ac:dyDescent="0.2">
      <c r="B18" s="13" t="s">
        <v>76</v>
      </c>
    </row>
    <row r="19" spans="1:11" s="9" customFormat="1" ht="18" customHeight="1" x14ac:dyDescent="0.2">
      <c r="A19" s="9">
        <v>1</v>
      </c>
      <c r="B19" s="28" t="s">
        <v>77</v>
      </c>
      <c r="C19" s="14" t="s">
        <v>6</v>
      </c>
      <c r="D19" s="15" t="s">
        <v>78</v>
      </c>
      <c r="E19" s="15" t="s">
        <v>79</v>
      </c>
      <c r="F19" s="15" t="s">
        <v>80</v>
      </c>
      <c r="G19" s="15" t="s">
        <v>81</v>
      </c>
      <c r="H19" s="15" t="s">
        <v>82</v>
      </c>
      <c r="I19" s="15" t="s">
        <v>83</v>
      </c>
      <c r="J19" s="15" t="s">
        <v>84</v>
      </c>
      <c r="K19" s="15" t="s">
        <v>85</v>
      </c>
    </row>
    <row r="20" spans="1:11" s="9" customFormat="1" ht="18" customHeight="1" x14ac:dyDescent="0.2">
      <c r="A20" s="9">
        <v>2</v>
      </c>
      <c r="B20" s="28"/>
      <c r="C20" s="14" t="s">
        <v>10</v>
      </c>
      <c r="D20" s="15" t="s">
        <v>86</v>
      </c>
      <c r="E20" s="15" t="s">
        <v>87</v>
      </c>
      <c r="F20" s="15" t="s">
        <v>88</v>
      </c>
      <c r="G20" s="15" t="s">
        <v>89</v>
      </c>
      <c r="H20" s="15" t="s">
        <v>90</v>
      </c>
      <c r="I20" s="15" t="s">
        <v>91</v>
      </c>
      <c r="J20" s="15" t="s">
        <v>92</v>
      </c>
      <c r="K20" s="15" t="s">
        <v>93</v>
      </c>
    </row>
    <row r="21" spans="1:11" s="9" customFormat="1" ht="18" customHeight="1" x14ac:dyDescent="0.2">
      <c r="A21" s="9">
        <v>3</v>
      </c>
      <c r="B21" s="28"/>
      <c r="C21" s="14" t="s">
        <v>7</v>
      </c>
      <c r="D21" s="15" t="s">
        <v>94</v>
      </c>
      <c r="E21" s="15" t="s">
        <v>95</v>
      </c>
      <c r="F21" s="15" t="s">
        <v>96</v>
      </c>
      <c r="G21" s="15" t="s">
        <v>97</v>
      </c>
      <c r="H21" s="15" t="s">
        <v>98</v>
      </c>
      <c r="I21" s="15" t="s">
        <v>99</v>
      </c>
      <c r="J21" s="15" t="s">
        <v>100</v>
      </c>
      <c r="K21" s="15" t="s">
        <v>101</v>
      </c>
    </row>
    <row r="22" spans="1:11" s="9" customFormat="1" ht="18" customHeight="1" x14ac:dyDescent="0.2">
      <c r="A22" s="9">
        <v>4</v>
      </c>
      <c r="B22" s="28"/>
      <c r="C22" s="14" t="s">
        <v>102</v>
      </c>
      <c r="D22" s="15" t="s">
        <v>103</v>
      </c>
      <c r="E22" s="15" t="s">
        <v>104</v>
      </c>
      <c r="F22" s="15" t="s">
        <v>105</v>
      </c>
      <c r="G22" s="15" t="s">
        <v>106</v>
      </c>
      <c r="H22" s="15" t="s">
        <v>107</v>
      </c>
      <c r="I22" s="15" t="s">
        <v>108</v>
      </c>
      <c r="J22" s="15" t="s">
        <v>109</v>
      </c>
      <c r="K22" s="15" t="s">
        <v>110</v>
      </c>
    </row>
    <row r="23" spans="1:11" s="9" customFormat="1" ht="18" customHeight="1" x14ac:dyDescent="0.2">
      <c r="A23" s="9">
        <v>5</v>
      </c>
      <c r="B23" s="28"/>
      <c r="C23" s="16" t="s">
        <v>111</v>
      </c>
      <c r="D23" s="15" t="s">
        <v>112</v>
      </c>
      <c r="E23" s="15" t="s">
        <v>113</v>
      </c>
      <c r="F23" s="15" t="s">
        <v>114</v>
      </c>
      <c r="G23" s="15" t="s">
        <v>115</v>
      </c>
      <c r="H23" s="15" t="s">
        <v>116</v>
      </c>
      <c r="I23" s="15" t="s">
        <v>117</v>
      </c>
      <c r="J23" s="15" t="s">
        <v>118</v>
      </c>
      <c r="K23" s="15" t="s">
        <v>119</v>
      </c>
    </row>
    <row r="24" spans="1:11" s="9" customFormat="1" ht="18" customHeight="1" x14ac:dyDescent="0.2">
      <c r="A24" s="9">
        <v>6</v>
      </c>
      <c r="B24" s="28" t="s">
        <v>120</v>
      </c>
      <c r="C24" s="14" t="s">
        <v>6</v>
      </c>
      <c r="D24" s="15" t="s">
        <v>121</v>
      </c>
      <c r="E24" s="15" t="s">
        <v>122</v>
      </c>
      <c r="F24" s="15" t="s">
        <v>123</v>
      </c>
      <c r="G24" s="15" t="s">
        <v>124</v>
      </c>
      <c r="H24" s="15" t="s">
        <v>125</v>
      </c>
      <c r="I24" s="15" t="s">
        <v>126</v>
      </c>
      <c r="J24" s="15" t="s">
        <v>127</v>
      </c>
      <c r="K24" s="15" t="s">
        <v>128</v>
      </c>
    </row>
    <row r="25" spans="1:11" s="9" customFormat="1" ht="18" customHeight="1" x14ac:dyDescent="0.2">
      <c r="A25" s="9">
        <v>7</v>
      </c>
      <c r="B25" s="28"/>
      <c r="C25" s="14" t="s">
        <v>10</v>
      </c>
      <c r="D25" s="15" t="s">
        <v>129</v>
      </c>
      <c r="E25" s="15" t="s">
        <v>130</v>
      </c>
      <c r="F25" s="15" t="s">
        <v>131</v>
      </c>
      <c r="G25" s="15" t="s">
        <v>132</v>
      </c>
      <c r="H25" s="15" t="s">
        <v>133</v>
      </c>
      <c r="I25" s="15" t="s">
        <v>134</v>
      </c>
      <c r="J25" s="15" t="s">
        <v>135</v>
      </c>
      <c r="K25" s="15" t="s">
        <v>136</v>
      </c>
    </row>
    <row r="26" spans="1:11" s="9" customFormat="1" ht="18" customHeight="1" x14ac:dyDescent="0.2">
      <c r="A26" s="9">
        <v>8</v>
      </c>
      <c r="B26" s="28"/>
      <c r="C26" s="14" t="s">
        <v>137</v>
      </c>
      <c r="D26" s="15" t="s">
        <v>138</v>
      </c>
      <c r="E26" s="15" t="s">
        <v>139</v>
      </c>
      <c r="F26" s="15" t="s">
        <v>140</v>
      </c>
      <c r="G26" s="15" t="s">
        <v>141</v>
      </c>
      <c r="H26" s="15" t="s">
        <v>142</v>
      </c>
      <c r="I26" s="15" t="s">
        <v>143</v>
      </c>
      <c r="J26" s="15" t="s">
        <v>144</v>
      </c>
      <c r="K26" s="15" t="s">
        <v>145</v>
      </c>
    </row>
    <row r="27" spans="1:11" s="9" customFormat="1" ht="18" customHeight="1" x14ac:dyDescent="0.2">
      <c r="A27" s="9">
        <v>9</v>
      </c>
      <c r="B27" s="28"/>
      <c r="C27" s="14" t="s">
        <v>146</v>
      </c>
      <c r="D27" s="15" t="s">
        <v>147</v>
      </c>
      <c r="E27" s="15" t="s">
        <v>148</v>
      </c>
      <c r="F27" s="15" t="s">
        <v>149</v>
      </c>
      <c r="G27" s="15" t="s">
        <v>150</v>
      </c>
      <c r="H27" s="15" t="s">
        <v>151</v>
      </c>
      <c r="I27" s="15" t="s">
        <v>152</v>
      </c>
      <c r="J27" s="15" t="s">
        <v>153</v>
      </c>
      <c r="K27" s="15" t="s">
        <v>154</v>
      </c>
    </row>
    <row r="28" spans="1:11" s="9" customFormat="1" ht="18" customHeight="1" x14ac:dyDescent="0.2">
      <c r="A28" s="9">
        <v>10</v>
      </c>
      <c r="B28" s="28"/>
      <c r="C28" s="14" t="s">
        <v>155</v>
      </c>
      <c r="D28" s="15" t="s">
        <v>156</v>
      </c>
      <c r="E28" s="15" t="s">
        <v>157</v>
      </c>
      <c r="F28" s="15" t="s">
        <v>158</v>
      </c>
      <c r="G28" s="15" t="s">
        <v>159</v>
      </c>
      <c r="H28" s="15" t="s">
        <v>160</v>
      </c>
      <c r="I28" s="15" t="s">
        <v>161</v>
      </c>
      <c r="J28" s="15" t="s">
        <v>162</v>
      </c>
      <c r="K28" s="15" t="s">
        <v>163</v>
      </c>
    </row>
    <row r="29" spans="1:11" s="9" customFormat="1" ht="18" customHeight="1" x14ac:dyDescent="0.2">
      <c r="A29" s="9">
        <v>11</v>
      </c>
      <c r="B29" s="28"/>
      <c r="C29" s="14" t="s">
        <v>102</v>
      </c>
      <c r="D29" s="15" t="s">
        <v>164</v>
      </c>
      <c r="E29" s="15" t="s">
        <v>165</v>
      </c>
      <c r="F29" s="15" t="s">
        <v>166</v>
      </c>
      <c r="G29" s="15" t="s">
        <v>167</v>
      </c>
      <c r="H29" s="15" t="s">
        <v>168</v>
      </c>
      <c r="I29" s="15" t="s">
        <v>169</v>
      </c>
      <c r="J29" s="15" t="s">
        <v>170</v>
      </c>
      <c r="K29" s="15" t="s">
        <v>171</v>
      </c>
    </row>
    <row r="30" spans="1:11" s="9" customFormat="1" ht="18" customHeight="1" x14ac:dyDescent="0.2">
      <c r="A30" s="9">
        <v>12</v>
      </c>
      <c r="B30" s="28"/>
      <c r="C30" s="16" t="s">
        <v>172</v>
      </c>
      <c r="D30" s="15" t="s">
        <v>173</v>
      </c>
      <c r="E30" s="15" t="s">
        <v>174</v>
      </c>
      <c r="F30" s="15" t="s">
        <v>175</v>
      </c>
      <c r="G30" s="15" t="s">
        <v>176</v>
      </c>
      <c r="H30" s="15" t="s">
        <v>177</v>
      </c>
      <c r="I30" s="15" t="s">
        <v>178</v>
      </c>
      <c r="J30" s="15" t="s">
        <v>179</v>
      </c>
      <c r="K30" s="15" t="s">
        <v>180</v>
      </c>
    </row>
    <row r="31" spans="1:11" s="9" customFormat="1" ht="18" customHeight="1" x14ac:dyDescent="0.2">
      <c r="B31" s="13" t="s">
        <v>181</v>
      </c>
    </row>
    <row r="32" spans="1:11" s="9" customFormat="1" ht="18" customHeight="1" x14ac:dyDescent="0.2">
      <c r="A32" s="9">
        <v>1</v>
      </c>
      <c r="B32" s="17"/>
      <c r="C32" s="17" t="s">
        <v>182</v>
      </c>
      <c r="D32" s="18"/>
      <c r="E32" s="19"/>
      <c r="F32" s="18"/>
      <c r="G32" s="18"/>
      <c r="H32" s="18"/>
      <c r="I32" s="18"/>
      <c r="J32" s="18"/>
      <c r="K32" s="18"/>
    </row>
    <row r="33" spans="1:11" s="9" customFormat="1" ht="18" customHeight="1" x14ac:dyDescent="0.2">
      <c r="A33" s="9">
        <v>2</v>
      </c>
      <c r="B33" s="26" t="s">
        <v>183</v>
      </c>
      <c r="C33" s="20" t="s">
        <v>4</v>
      </c>
      <c r="D33" s="15" t="s">
        <v>184</v>
      </c>
      <c r="E33" s="15" t="s">
        <v>185</v>
      </c>
      <c r="F33" s="15" t="s">
        <v>186</v>
      </c>
      <c r="G33" s="15" t="s">
        <v>187</v>
      </c>
      <c r="H33" s="15" t="s">
        <v>188</v>
      </c>
      <c r="I33" s="15" t="s">
        <v>189</v>
      </c>
      <c r="J33" s="15" t="s">
        <v>190</v>
      </c>
      <c r="K33" s="15" t="s">
        <v>191</v>
      </c>
    </row>
    <row r="34" spans="1:11" s="9" customFormat="1" ht="18" customHeight="1" x14ac:dyDescent="0.2">
      <c r="A34" s="9">
        <v>3</v>
      </c>
      <c r="B34" s="26"/>
      <c r="C34" s="20" t="s">
        <v>3</v>
      </c>
      <c r="D34" s="15" t="s">
        <v>192</v>
      </c>
      <c r="E34" s="15" t="s">
        <v>193</v>
      </c>
      <c r="F34" s="15" t="s">
        <v>194</v>
      </c>
      <c r="G34" s="15" t="s">
        <v>195</v>
      </c>
      <c r="H34" s="15" t="s">
        <v>196</v>
      </c>
      <c r="I34" s="15" t="s">
        <v>197</v>
      </c>
      <c r="J34" s="15" t="s">
        <v>198</v>
      </c>
      <c r="K34" s="15" t="s">
        <v>199</v>
      </c>
    </row>
    <row r="35" spans="1:11" s="9" customFormat="1" ht="18" customHeight="1" x14ac:dyDescent="0.2">
      <c r="A35" s="9">
        <v>4</v>
      </c>
      <c r="B35" s="26"/>
      <c r="C35" s="20" t="s">
        <v>5</v>
      </c>
      <c r="D35" s="15" t="s">
        <v>200</v>
      </c>
      <c r="E35" s="15" t="s">
        <v>201</v>
      </c>
      <c r="F35" s="15" t="s">
        <v>202</v>
      </c>
      <c r="G35" s="15" t="s">
        <v>203</v>
      </c>
      <c r="H35" s="15" t="s">
        <v>204</v>
      </c>
      <c r="I35" s="15" t="s">
        <v>205</v>
      </c>
      <c r="J35" s="15" t="s">
        <v>206</v>
      </c>
      <c r="K35" s="15" t="s">
        <v>207</v>
      </c>
    </row>
    <row r="36" spans="1:11" s="9" customFormat="1" ht="18" customHeight="1" x14ac:dyDescent="0.2">
      <c r="A36" s="9">
        <v>5</v>
      </c>
      <c r="B36" s="26"/>
      <c r="C36" s="20" t="s">
        <v>1</v>
      </c>
      <c r="D36" s="15" t="s">
        <v>208</v>
      </c>
      <c r="E36" s="15" t="s">
        <v>209</v>
      </c>
      <c r="F36" s="15" t="s">
        <v>210</v>
      </c>
      <c r="G36" s="15" t="s">
        <v>211</v>
      </c>
      <c r="H36" s="15" t="s">
        <v>212</v>
      </c>
      <c r="I36" s="15" t="s">
        <v>213</v>
      </c>
      <c r="J36" s="15" t="s">
        <v>214</v>
      </c>
      <c r="K36" s="15" t="s">
        <v>215</v>
      </c>
    </row>
    <row r="37" spans="1:11" s="9" customFormat="1" ht="18" customHeight="1" x14ac:dyDescent="0.2">
      <c r="A37" s="9">
        <v>6</v>
      </c>
      <c r="B37" s="17"/>
      <c r="C37" s="17" t="s">
        <v>216</v>
      </c>
      <c r="D37" s="18"/>
      <c r="E37" s="18"/>
      <c r="F37" s="18"/>
      <c r="G37" s="18"/>
      <c r="H37" s="18"/>
      <c r="I37" s="18"/>
      <c r="J37" s="18"/>
      <c r="K37" s="19"/>
    </row>
    <row r="38" spans="1:11" s="9" customFormat="1" ht="18" customHeight="1" x14ac:dyDescent="0.2">
      <c r="A38" s="9">
        <v>7</v>
      </c>
      <c r="B38" s="26" t="s">
        <v>217</v>
      </c>
      <c r="C38" s="14" t="s">
        <v>218</v>
      </c>
      <c r="D38" s="15" t="s">
        <v>219</v>
      </c>
      <c r="E38" s="15" t="s">
        <v>220</v>
      </c>
      <c r="F38" s="15" t="s">
        <v>221</v>
      </c>
      <c r="G38" s="15" t="s">
        <v>222</v>
      </c>
      <c r="H38" s="15" t="s">
        <v>223</v>
      </c>
      <c r="I38" s="15" t="s">
        <v>224</v>
      </c>
      <c r="J38" s="15" t="s">
        <v>225</v>
      </c>
      <c r="K38" s="15" t="s">
        <v>226</v>
      </c>
    </row>
    <row r="39" spans="1:11" s="9" customFormat="1" ht="18" customHeight="1" x14ac:dyDescent="0.2">
      <c r="A39" s="9">
        <v>8</v>
      </c>
      <c r="B39" s="26"/>
      <c r="C39" s="14" t="s">
        <v>227</v>
      </c>
      <c r="D39" s="15" t="s">
        <v>228</v>
      </c>
      <c r="E39" s="15" t="s">
        <v>229</v>
      </c>
      <c r="F39" s="15" t="s">
        <v>230</v>
      </c>
      <c r="G39" s="15" t="s">
        <v>231</v>
      </c>
      <c r="H39" s="15" t="s">
        <v>232</v>
      </c>
      <c r="I39" s="15" t="s">
        <v>233</v>
      </c>
      <c r="J39" s="15" t="s">
        <v>234</v>
      </c>
      <c r="K39" s="15" t="s">
        <v>235</v>
      </c>
    </row>
    <row r="40" spans="1:11" s="9" customFormat="1" ht="18" customHeight="1" x14ac:dyDescent="0.2">
      <c r="A40" s="9">
        <v>9</v>
      </c>
      <c r="B40" s="26"/>
      <c r="C40" s="14" t="s">
        <v>236</v>
      </c>
      <c r="D40" s="15" t="s">
        <v>237</v>
      </c>
      <c r="E40" s="15" t="s">
        <v>238</v>
      </c>
      <c r="F40" s="15" t="s">
        <v>239</v>
      </c>
      <c r="G40" s="15" t="s">
        <v>240</v>
      </c>
      <c r="H40" s="15" t="s">
        <v>241</v>
      </c>
      <c r="I40" s="15" t="s">
        <v>242</v>
      </c>
      <c r="J40" s="15" t="s">
        <v>243</v>
      </c>
      <c r="K40" s="15" t="s">
        <v>244</v>
      </c>
    </row>
    <row r="41" spans="1:11" s="9" customFormat="1" ht="18" customHeight="1" x14ac:dyDescent="0.2">
      <c r="A41" s="9">
        <v>10</v>
      </c>
      <c r="B41" s="17"/>
      <c r="C41" s="17" t="s">
        <v>245</v>
      </c>
      <c r="D41" s="18"/>
      <c r="E41" s="18"/>
      <c r="F41" s="18"/>
      <c r="G41" s="18"/>
      <c r="H41" s="18"/>
      <c r="I41" s="18"/>
      <c r="J41" s="18"/>
      <c r="K41" s="19"/>
    </row>
    <row r="42" spans="1:11" s="9" customFormat="1" ht="18" customHeight="1" x14ac:dyDescent="0.2">
      <c r="A42" s="9">
        <v>11</v>
      </c>
      <c r="B42" s="26" t="s">
        <v>246</v>
      </c>
      <c r="C42" s="14" t="s">
        <v>247</v>
      </c>
      <c r="D42" s="15" t="s">
        <v>248</v>
      </c>
      <c r="E42" s="15" t="s">
        <v>249</v>
      </c>
      <c r="F42" s="15" t="s">
        <v>250</v>
      </c>
      <c r="G42" s="15" t="s">
        <v>251</v>
      </c>
      <c r="H42" s="15" t="s">
        <v>252</v>
      </c>
      <c r="I42" s="15" t="s">
        <v>253</v>
      </c>
      <c r="J42" s="15" t="s">
        <v>254</v>
      </c>
      <c r="K42" s="15" t="s">
        <v>255</v>
      </c>
    </row>
    <row r="43" spans="1:11" s="9" customFormat="1" ht="18" customHeight="1" x14ac:dyDescent="0.2">
      <c r="A43" s="9">
        <v>12</v>
      </c>
      <c r="B43" s="26"/>
      <c r="C43" s="14" t="s">
        <v>256</v>
      </c>
      <c r="D43" s="15" t="s">
        <v>257</v>
      </c>
      <c r="E43" s="15" t="s">
        <v>258</v>
      </c>
      <c r="F43" s="15" t="s">
        <v>259</v>
      </c>
      <c r="G43" s="15" t="s">
        <v>260</v>
      </c>
      <c r="H43" s="15" t="s">
        <v>261</v>
      </c>
      <c r="I43" s="15" t="s">
        <v>262</v>
      </c>
      <c r="J43" s="15" t="s">
        <v>263</v>
      </c>
      <c r="K43" s="15" t="s">
        <v>264</v>
      </c>
    </row>
    <row r="44" spans="1:11" s="9" customFormat="1" ht="18" customHeight="1" x14ac:dyDescent="0.2">
      <c r="A44" s="9">
        <v>13</v>
      </c>
      <c r="B44" s="26"/>
      <c r="C44" s="14" t="s">
        <v>265</v>
      </c>
      <c r="D44" s="15" t="s">
        <v>266</v>
      </c>
      <c r="E44" s="15" t="s">
        <v>267</v>
      </c>
      <c r="F44" s="15" t="s">
        <v>268</v>
      </c>
      <c r="G44" s="15" t="s">
        <v>269</v>
      </c>
      <c r="H44" s="15" t="s">
        <v>270</v>
      </c>
      <c r="I44" s="15" t="s">
        <v>271</v>
      </c>
      <c r="J44" s="15" t="s">
        <v>272</v>
      </c>
      <c r="K44" s="15" t="s">
        <v>273</v>
      </c>
    </row>
    <row r="45" spans="1:11" s="9" customFormat="1" ht="18" customHeight="1" x14ac:dyDescent="0.2">
      <c r="A45" s="9">
        <v>14</v>
      </c>
      <c r="B45" s="17"/>
      <c r="C45" s="17" t="s">
        <v>274</v>
      </c>
      <c r="D45" s="18"/>
      <c r="E45" s="18"/>
      <c r="F45" s="18"/>
      <c r="G45" s="18"/>
      <c r="H45" s="18"/>
      <c r="I45" s="18"/>
      <c r="J45" s="18"/>
      <c r="K45" s="19"/>
    </row>
    <row r="46" spans="1:11" s="9" customFormat="1" ht="18" customHeight="1" x14ac:dyDescent="0.2">
      <c r="A46" s="9">
        <v>15</v>
      </c>
      <c r="B46" s="26"/>
      <c r="C46" s="14" t="s">
        <v>275</v>
      </c>
      <c r="D46" s="15" t="s">
        <v>276</v>
      </c>
      <c r="E46" s="15" t="s">
        <v>277</v>
      </c>
      <c r="F46" s="15" t="s">
        <v>278</v>
      </c>
      <c r="G46" s="15" t="s">
        <v>279</v>
      </c>
      <c r="H46" s="15" t="s">
        <v>280</v>
      </c>
      <c r="I46" s="15" t="s">
        <v>281</v>
      </c>
      <c r="J46" s="15" t="s">
        <v>282</v>
      </c>
      <c r="K46" s="15" t="s">
        <v>283</v>
      </c>
    </row>
    <row r="47" spans="1:11" s="9" customFormat="1" ht="18" customHeight="1" x14ac:dyDescent="0.2">
      <c r="A47" s="9">
        <v>16</v>
      </c>
      <c r="B47" s="26"/>
      <c r="C47" s="14" t="s">
        <v>284</v>
      </c>
      <c r="D47" s="15" t="s">
        <v>285</v>
      </c>
      <c r="E47" s="15" t="s">
        <v>286</v>
      </c>
      <c r="F47" s="15" t="s">
        <v>287</v>
      </c>
      <c r="G47" s="15" t="s">
        <v>288</v>
      </c>
      <c r="H47" s="15" t="s">
        <v>289</v>
      </c>
      <c r="I47" s="15" t="s">
        <v>290</v>
      </c>
      <c r="J47" s="15" t="s">
        <v>291</v>
      </c>
      <c r="K47" s="15" t="s">
        <v>292</v>
      </c>
    </row>
    <row r="48" spans="1:11" s="9" customFormat="1" ht="18" customHeight="1" x14ac:dyDescent="0.2">
      <c r="A48" s="9">
        <v>17</v>
      </c>
      <c r="B48" s="26"/>
      <c r="C48" s="14" t="s">
        <v>293</v>
      </c>
      <c r="D48" s="15" t="s">
        <v>294</v>
      </c>
      <c r="E48" s="15" t="s">
        <v>295</v>
      </c>
      <c r="F48" s="15" t="s">
        <v>296</v>
      </c>
      <c r="G48" s="15" t="s">
        <v>297</v>
      </c>
      <c r="H48" s="15" t="s">
        <v>298</v>
      </c>
      <c r="I48" s="15" t="s">
        <v>299</v>
      </c>
      <c r="J48" s="15" t="s">
        <v>300</v>
      </c>
      <c r="K48" s="15" t="s">
        <v>301</v>
      </c>
    </row>
    <row r="49" spans="1:11" s="9" customFormat="1" ht="18" customHeight="1" x14ac:dyDescent="0.2">
      <c r="A49" s="9">
        <v>18</v>
      </c>
      <c r="B49" s="26"/>
      <c r="C49" s="14" t="s">
        <v>302</v>
      </c>
      <c r="D49" s="15" t="s">
        <v>303</v>
      </c>
      <c r="E49" s="15" t="s">
        <v>304</v>
      </c>
      <c r="F49" s="15" t="s">
        <v>305</v>
      </c>
      <c r="G49" s="15" t="s">
        <v>306</v>
      </c>
      <c r="H49" s="15" t="s">
        <v>307</v>
      </c>
      <c r="I49" s="15" t="s">
        <v>308</v>
      </c>
      <c r="J49" s="15" t="s">
        <v>309</v>
      </c>
      <c r="K49" s="15" t="s">
        <v>310</v>
      </c>
    </row>
    <row r="50" spans="1:11" s="9" customFormat="1" ht="18" customHeight="1" x14ac:dyDescent="0.2">
      <c r="A50" s="9">
        <v>19</v>
      </c>
      <c r="B50" s="17"/>
      <c r="C50" s="21" t="s">
        <v>311</v>
      </c>
      <c r="D50" s="17"/>
      <c r="E50" s="17"/>
      <c r="F50" s="17"/>
      <c r="G50" s="17"/>
      <c r="H50" s="17"/>
      <c r="I50" s="17"/>
      <c r="J50" s="17"/>
      <c r="K50" s="17"/>
    </row>
    <row r="51" spans="1:11" s="9" customFormat="1" ht="18" customHeight="1" x14ac:dyDescent="0.2">
      <c r="A51" s="9">
        <v>20</v>
      </c>
      <c r="B51" s="26"/>
      <c r="C51" s="14" t="s">
        <v>312</v>
      </c>
      <c r="D51" s="15" t="s">
        <v>313</v>
      </c>
      <c r="E51" s="15" t="s">
        <v>314</v>
      </c>
      <c r="F51" s="15" t="s">
        <v>315</v>
      </c>
      <c r="G51" s="15" t="s">
        <v>316</v>
      </c>
      <c r="H51" s="15" t="s">
        <v>317</v>
      </c>
      <c r="I51" s="15" t="s">
        <v>318</v>
      </c>
      <c r="J51" s="15" t="s">
        <v>319</v>
      </c>
      <c r="K51" s="15" t="s">
        <v>320</v>
      </c>
    </row>
    <row r="52" spans="1:11" s="9" customFormat="1" ht="18" customHeight="1" x14ac:dyDescent="0.2">
      <c r="A52" s="9">
        <v>21</v>
      </c>
      <c r="B52" s="26"/>
      <c r="C52" s="14" t="s">
        <v>321</v>
      </c>
      <c r="D52" s="15" t="s">
        <v>322</v>
      </c>
      <c r="E52" s="15" t="s">
        <v>323</v>
      </c>
      <c r="F52" s="15" t="s">
        <v>324</v>
      </c>
      <c r="G52" s="15" t="s">
        <v>325</v>
      </c>
      <c r="H52" s="15" t="s">
        <v>326</v>
      </c>
      <c r="I52" s="15" t="s">
        <v>327</v>
      </c>
      <c r="J52" s="15" t="s">
        <v>328</v>
      </c>
      <c r="K52" s="15" t="s">
        <v>329</v>
      </c>
    </row>
    <row r="53" spans="1:11" s="9" customFormat="1" ht="18" customHeight="1" x14ac:dyDescent="0.2">
      <c r="A53" s="9">
        <v>22</v>
      </c>
      <c r="B53" s="26"/>
      <c r="C53" s="14" t="s">
        <v>330</v>
      </c>
      <c r="D53" s="15" t="s">
        <v>331</v>
      </c>
      <c r="E53" s="15" t="s">
        <v>332</v>
      </c>
      <c r="F53" s="15" t="s">
        <v>333</v>
      </c>
      <c r="G53" s="15" t="s">
        <v>334</v>
      </c>
      <c r="H53" s="15" t="s">
        <v>335</v>
      </c>
      <c r="I53" s="15" t="s">
        <v>336</v>
      </c>
      <c r="J53" s="15" t="s">
        <v>337</v>
      </c>
      <c r="K53" s="15" t="s">
        <v>338</v>
      </c>
    </row>
    <row r="54" spans="1:11" s="9" customFormat="1" ht="18" customHeight="1" x14ac:dyDescent="0.2">
      <c r="A54" s="9">
        <v>23</v>
      </c>
      <c r="B54" s="26"/>
      <c r="C54" s="14" t="s">
        <v>339</v>
      </c>
      <c r="D54" s="15" t="s">
        <v>340</v>
      </c>
      <c r="E54" s="15" t="s">
        <v>341</v>
      </c>
      <c r="F54" s="15" t="s">
        <v>342</v>
      </c>
      <c r="G54" s="15" t="s">
        <v>343</v>
      </c>
      <c r="H54" s="15" t="s">
        <v>344</v>
      </c>
      <c r="I54" s="15" t="s">
        <v>345</v>
      </c>
      <c r="J54" s="15" t="s">
        <v>346</v>
      </c>
      <c r="K54" s="15" t="s">
        <v>347</v>
      </c>
    </row>
    <row r="55" spans="1:11" s="9" customFormat="1" ht="18" customHeight="1" x14ac:dyDescent="0.2">
      <c r="B55" s="13" t="s">
        <v>348</v>
      </c>
    </row>
    <row r="56" spans="1:11" s="9" customFormat="1" ht="18" customHeight="1" x14ac:dyDescent="0.2">
      <c r="A56" s="9">
        <v>1</v>
      </c>
      <c r="B56" s="26" t="s">
        <v>2</v>
      </c>
      <c r="C56" s="14" t="s">
        <v>349</v>
      </c>
      <c r="D56" s="15" t="s">
        <v>350</v>
      </c>
      <c r="E56" s="15" t="s">
        <v>351</v>
      </c>
      <c r="F56" s="15" t="s">
        <v>352</v>
      </c>
      <c r="G56" s="15" t="s">
        <v>353</v>
      </c>
      <c r="H56" s="15" t="s">
        <v>354</v>
      </c>
      <c r="I56" s="15" t="s">
        <v>355</v>
      </c>
      <c r="J56" s="15" t="s">
        <v>356</v>
      </c>
      <c r="K56" s="15" t="s">
        <v>357</v>
      </c>
    </row>
    <row r="57" spans="1:11" s="9" customFormat="1" ht="18" customHeight="1" x14ac:dyDescent="0.2">
      <c r="A57" s="9">
        <v>2</v>
      </c>
      <c r="B57" s="26"/>
      <c r="C57" s="14" t="s">
        <v>358</v>
      </c>
      <c r="D57" s="15" t="s">
        <v>359</v>
      </c>
      <c r="E57" s="15" t="s">
        <v>360</v>
      </c>
      <c r="F57" s="15" t="s">
        <v>361</v>
      </c>
      <c r="G57" s="15" t="s">
        <v>362</v>
      </c>
      <c r="H57" s="15" t="s">
        <v>363</v>
      </c>
      <c r="I57" s="15" t="s">
        <v>364</v>
      </c>
      <c r="J57" s="15" t="s">
        <v>365</v>
      </c>
      <c r="K57" s="15" t="s">
        <v>366</v>
      </c>
    </row>
    <row r="58" spans="1:11" s="9" customFormat="1" ht="18" customHeight="1" x14ac:dyDescent="0.2">
      <c r="A58" s="9">
        <v>3</v>
      </c>
      <c r="B58" s="26"/>
      <c r="C58" s="14" t="s">
        <v>367</v>
      </c>
      <c r="D58" s="15" t="s">
        <v>368</v>
      </c>
      <c r="E58" s="15" t="s">
        <v>369</v>
      </c>
      <c r="F58" s="15" t="s">
        <v>370</v>
      </c>
      <c r="G58" s="15" t="s">
        <v>371</v>
      </c>
      <c r="H58" s="15" t="s">
        <v>372</v>
      </c>
      <c r="I58" s="15" t="s">
        <v>373</v>
      </c>
      <c r="J58" s="15" t="s">
        <v>374</v>
      </c>
      <c r="K58" s="15" t="s">
        <v>375</v>
      </c>
    </row>
    <row r="59" spans="1:11" s="9" customFormat="1" ht="18" customHeight="1" x14ac:dyDescent="0.2">
      <c r="A59" s="9">
        <v>4</v>
      </c>
      <c r="B59" s="26"/>
      <c r="C59" s="14" t="s">
        <v>376</v>
      </c>
      <c r="D59" s="15" t="s">
        <v>377</v>
      </c>
      <c r="E59" s="15" t="s">
        <v>378</v>
      </c>
      <c r="F59" s="15" t="s">
        <v>379</v>
      </c>
      <c r="G59" s="15" t="s">
        <v>380</v>
      </c>
      <c r="H59" s="15" t="s">
        <v>381</v>
      </c>
      <c r="I59" s="15" t="s">
        <v>382</v>
      </c>
      <c r="J59" s="15" t="s">
        <v>383</v>
      </c>
      <c r="K59" s="15" t="s">
        <v>384</v>
      </c>
    </row>
    <row r="60" spans="1:11" s="9" customFormat="1" ht="18" customHeight="1" x14ac:dyDescent="0.2">
      <c r="B60" s="13" t="s">
        <v>385</v>
      </c>
      <c r="C60" s="10"/>
    </row>
    <row r="61" spans="1:11" s="9" customFormat="1" ht="18" customHeight="1" x14ac:dyDescent="0.2">
      <c r="A61" s="9">
        <v>1</v>
      </c>
      <c r="B61" s="26" t="s">
        <v>386</v>
      </c>
      <c r="C61" s="22" t="s">
        <v>387</v>
      </c>
      <c r="D61" s="15">
        <f>F61+H61+J61</f>
        <v>0</v>
      </c>
      <c r="E61" s="23"/>
      <c r="F61" s="15">
        <f>SUM(F62:F63)</f>
        <v>0</v>
      </c>
      <c r="G61" s="23"/>
      <c r="H61" s="15">
        <f>SUM(H62:H63)</f>
        <v>0</v>
      </c>
      <c r="I61" s="23"/>
      <c r="J61" s="15">
        <f>SUM(J62:J63)</f>
        <v>0</v>
      </c>
      <c r="K61" s="23"/>
    </row>
    <row r="62" spans="1:11" s="9" customFormat="1" ht="18" customHeight="1" x14ac:dyDescent="0.2">
      <c r="A62" s="9">
        <v>2</v>
      </c>
      <c r="B62" s="26"/>
      <c r="C62" s="24" t="s">
        <v>388</v>
      </c>
      <c r="D62" s="15" t="s">
        <v>389</v>
      </c>
      <c r="E62" s="23" t="s">
        <v>390</v>
      </c>
      <c r="F62" s="15" t="s">
        <v>391</v>
      </c>
      <c r="G62" s="23" t="s">
        <v>392</v>
      </c>
      <c r="H62" s="15" t="s">
        <v>393</v>
      </c>
      <c r="I62" s="23" t="s">
        <v>394</v>
      </c>
      <c r="J62" s="15" t="s">
        <v>395</v>
      </c>
      <c r="K62" s="23" t="s">
        <v>396</v>
      </c>
    </row>
    <row r="63" spans="1:11" s="9" customFormat="1" ht="18" customHeight="1" x14ac:dyDescent="0.2">
      <c r="A63" s="9">
        <v>3</v>
      </c>
      <c r="B63" s="26"/>
      <c r="C63" s="24" t="s">
        <v>397</v>
      </c>
      <c r="D63" s="15" t="s">
        <v>398</v>
      </c>
      <c r="E63" s="23" t="s">
        <v>399</v>
      </c>
      <c r="F63" s="15" t="s">
        <v>400</v>
      </c>
      <c r="G63" s="23" t="s">
        <v>401</v>
      </c>
      <c r="H63" s="15" t="s">
        <v>402</v>
      </c>
      <c r="I63" s="23" t="s">
        <v>403</v>
      </c>
      <c r="J63" s="15" t="s">
        <v>404</v>
      </c>
      <c r="K63" s="23" t="s">
        <v>405</v>
      </c>
    </row>
    <row r="64" spans="1:11" s="9" customFormat="1" ht="18" customHeight="1" x14ac:dyDescent="0.2">
      <c r="A64" s="9">
        <v>4</v>
      </c>
      <c r="B64" s="26"/>
      <c r="C64" s="22" t="s">
        <v>406</v>
      </c>
      <c r="D64" s="15">
        <f t="shared" ref="D64:E75" si="0">F64+H64+J64</f>
        <v>0</v>
      </c>
      <c r="E64" s="23"/>
      <c r="F64" s="15">
        <f>SUM(F65:F66)</f>
        <v>0</v>
      </c>
      <c r="G64" s="23"/>
      <c r="H64" s="15">
        <f>SUM(H65:H66)</f>
        <v>0</v>
      </c>
      <c r="I64" s="23"/>
      <c r="J64" s="15">
        <f>SUM(J65:J66)</f>
        <v>0</v>
      </c>
      <c r="K64" s="23"/>
    </row>
    <row r="65" spans="1:11" s="9" customFormat="1" ht="18" customHeight="1" x14ac:dyDescent="0.2">
      <c r="A65" s="9">
        <v>5</v>
      </c>
      <c r="B65" s="26"/>
      <c r="C65" s="24" t="s">
        <v>407</v>
      </c>
      <c r="D65" s="15" t="s">
        <v>408</v>
      </c>
      <c r="E65" s="23" t="s">
        <v>409</v>
      </c>
      <c r="F65" s="15" t="s">
        <v>410</v>
      </c>
      <c r="G65" s="23" t="s">
        <v>411</v>
      </c>
      <c r="H65" s="15" t="s">
        <v>412</v>
      </c>
      <c r="I65" s="23" t="s">
        <v>413</v>
      </c>
      <c r="J65" s="15" t="s">
        <v>414</v>
      </c>
      <c r="K65" s="23" t="s">
        <v>415</v>
      </c>
    </row>
    <row r="66" spans="1:11" s="9" customFormat="1" ht="18" customHeight="1" x14ac:dyDescent="0.2">
      <c r="A66" s="9">
        <v>6</v>
      </c>
      <c r="B66" s="26"/>
      <c r="C66" s="24" t="s">
        <v>416</v>
      </c>
      <c r="D66" s="15" t="s">
        <v>417</v>
      </c>
      <c r="E66" s="23" t="s">
        <v>418</v>
      </c>
      <c r="F66" s="15" t="s">
        <v>419</v>
      </c>
      <c r="G66" s="23" t="s">
        <v>420</v>
      </c>
      <c r="H66" s="15" t="s">
        <v>421</v>
      </c>
      <c r="I66" s="23" t="s">
        <v>422</v>
      </c>
      <c r="J66" s="15" t="s">
        <v>423</v>
      </c>
      <c r="K66" s="23" t="s">
        <v>424</v>
      </c>
    </row>
    <row r="67" spans="1:11" s="9" customFormat="1" ht="18" customHeight="1" x14ac:dyDescent="0.2">
      <c r="A67" s="9">
        <v>7</v>
      </c>
      <c r="B67" s="26"/>
      <c r="C67" s="22" t="s">
        <v>425</v>
      </c>
      <c r="D67" s="15" t="s">
        <v>426</v>
      </c>
      <c r="E67" s="23" t="s">
        <v>427</v>
      </c>
      <c r="F67" s="15" t="s">
        <v>428</v>
      </c>
      <c r="G67" s="23" t="s">
        <v>429</v>
      </c>
      <c r="H67" s="15" t="s">
        <v>430</v>
      </c>
      <c r="I67" s="23" t="s">
        <v>431</v>
      </c>
      <c r="J67" s="15" t="s">
        <v>432</v>
      </c>
      <c r="K67" s="23" t="s">
        <v>433</v>
      </c>
    </row>
    <row r="68" spans="1:11" s="9" customFormat="1" ht="18" customHeight="1" x14ac:dyDescent="0.2">
      <c r="A68" s="9">
        <v>8</v>
      </c>
      <c r="B68" s="26" t="s">
        <v>434</v>
      </c>
      <c r="C68" s="22" t="s">
        <v>435</v>
      </c>
      <c r="D68" s="23"/>
      <c r="E68" s="15"/>
      <c r="F68" s="23"/>
      <c r="G68" s="15"/>
      <c r="H68" s="23"/>
      <c r="I68" s="15"/>
      <c r="J68" s="23"/>
      <c r="K68" s="15"/>
    </row>
    <row r="69" spans="1:11" s="9" customFormat="1" ht="18" customHeight="1" x14ac:dyDescent="0.2">
      <c r="A69" s="9">
        <v>9</v>
      </c>
      <c r="B69" s="26"/>
      <c r="C69" s="24" t="s">
        <v>436</v>
      </c>
      <c r="D69" s="23" t="s">
        <v>437</v>
      </c>
      <c r="E69" s="15" t="s">
        <v>438</v>
      </c>
      <c r="F69" s="23" t="s">
        <v>439</v>
      </c>
      <c r="G69" s="15" t="s">
        <v>440</v>
      </c>
      <c r="H69" s="23" t="s">
        <v>441</v>
      </c>
      <c r="I69" s="15" t="s">
        <v>442</v>
      </c>
      <c r="J69" s="23" t="s">
        <v>443</v>
      </c>
      <c r="K69" s="15" t="s">
        <v>444</v>
      </c>
    </row>
    <row r="70" spans="1:11" s="9" customFormat="1" ht="18" customHeight="1" x14ac:dyDescent="0.2">
      <c r="A70" s="9">
        <v>10</v>
      </c>
      <c r="B70" s="26"/>
      <c r="C70" s="24" t="s">
        <v>445</v>
      </c>
      <c r="D70" s="23" t="s">
        <v>446</v>
      </c>
      <c r="E70" s="15" t="s">
        <v>447</v>
      </c>
      <c r="F70" s="23" t="s">
        <v>448</v>
      </c>
      <c r="G70" s="15" t="s">
        <v>449</v>
      </c>
      <c r="H70" s="23" t="s">
        <v>450</v>
      </c>
      <c r="I70" s="15" t="s">
        <v>451</v>
      </c>
      <c r="J70" s="23" t="s">
        <v>452</v>
      </c>
      <c r="K70" s="15" t="s">
        <v>453</v>
      </c>
    </row>
    <row r="71" spans="1:11" s="9" customFormat="1" ht="18" customHeight="1" x14ac:dyDescent="0.2">
      <c r="A71" s="9">
        <v>11</v>
      </c>
      <c r="B71" s="26"/>
      <c r="C71" s="22" t="s">
        <v>454</v>
      </c>
      <c r="D71" s="23"/>
      <c r="E71" s="15">
        <f t="shared" si="0"/>
        <v>0</v>
      </c>
      <c r="F71" s="23"/>
      <c r="G71" s="15">
        <f>SUM(G72:G74)</f>
        <v>0</v>
      </c>
      <c r="H71" s="23"/>
      <c r="I71" s="15">
        <f>SUM(I72:I74)</f>
        <v>0</v>
      </c>
      <c r="J71" s="23"/>
      <c r="K71" s="15">
        <f>SUM(K72:K74)</f>
        <v>0</v>
      </c>
    </row>
    <row r="72" spans="1:11" s="9" customFormat="1" ht="18" customHeight="1" x14ac:dyDescent="0.2">
      <c r="A72" s="9">
        <v>12</v>
      </c>
      <c r="B72" s="26"/>
      <c r="C72" s="24" t="s">
        <v>455</v>
      </c>
      <c r="D72" s="23" t="s">
        <v>456</v>
      </c>
      <c r="E72" s="15" t="s">
        <v>457</v>
      </c>
      <c r="F72" s="23" t="s">
        <v>458</v>
      </c>
      <c r="G72" s="15" t="s">
        <v>459</v>
      </c>
      <c r="H72" s="23" t="s">
        <v>460</v>
      </c>
      <c r="I72" s="15" t="s">
        <v>461</v>
      </c>
      <c r="J72" s="23" t="s">
        <v>462</v>
      </c>
      <c r="K72" s="15" t="s">
        <v>463</v>
      </c>
    </row>
    <row r="73" spans="1:11" s="9" customFormat="1" ht="18" customHeight="1" x14ac:dyDescent="0.2">
      <c r="A73" s="9">
        <v>13</v>
      </c>
      <c r="B73" s="26"/>
      <c r="C73" s="24" t="s">
        <v>464</v>
      </c>
      <c r="D73" s="23" t="s">
        <v>465</v>
      </c>
      <c r="E73" s="15" t="s">
        <v>466</v>
      </c>
      <c r="F73" s="23" t="s">
        <v>467</v>
      </c>
      <c r="G73" s="15" t="s">
        <v>468</v>
      </c>
      <c r="H73" s="23" t="s">
        <v>469</v>
      </c>
      <c r="I73" s="15" t="s">
        <v>470</v>
      </c>
      <c r="J73" s="23" t="s">
        <v>471</v>
      </c>
      <c r="K73" s="15" t="s">
        <v>472</v>
      </c>
    </row>
    <row r="74" spans="1:11" s="9" customFormat="1" ht="18" customHeight="1" x14ac:dyDescent="0.2">
      <c r="A74" s="9">
        <v>14</v>
      </c>
      <c r="B74" s="26"/>
      <c r="C74" s="24" t="s">
        <v>473</v>
      </c>
      <c r="D74" s="23" t="s">
        <v>474</v>
      </c>
      <c r="E74" s="15" t="s">
        <v>475</v>
      </c>
      <c r="F74" s="23" t="s">
        <v>476</v>
      </c>
      <c r="G74" s="15" t="s">
        <v>477</v>
      </c>
      <c r="H74" s="23" t="s">
        <v>478</v>
      </c>
      <c r="I74" s="15" t="s">
        <v>479</v>
      </c>
      <c r="J74" s="23" t="s">
        <v>480</v>
      </c>
      <c r="K74" s="15" t="s">
        <v>481</v>
      </c>
    </row>
    <row r="75" spans="1:11" s="9" customFormat="1" ht="18" customHeight="1" x14ac:dyDescent="0.2">
      <c r="A75" s="9">
        <v>15</v>
      </c>
      <c r="B75" s="26"/>
      <c r="C75" s="22" t="s">
        <v>482</v>
      </c>
      <c r="D75" s="23"/>
      <c r="E75" s="15">
        <f t="shared" si="0"/>
        <v>0</v>
      </c>
      <c r="F75" s="23"/>
      <c r="G75" s="15">
        <f>SUM(G76:G77)</f>
        <v>0</v>
      </c>
      <c r="H75" s="23"/>
      <c r="I75" s="15">
        <f>SUM(I76:I77)</f>
        <v>0</v>
      </c>
      <c r="J75" s="23"/>
      <c r="K75" s="15">
        <f>SUM(K76:K77)</f>
        <v>0</v>
      </c>
    </row>
    <row r="76" spans="1:11" s="9" customFormat="1" ht="18" customHeight="1" x14ac:dyDescent="0.2">
      <c r="A76" s="9">
        <v>16</v>
      </c>
      <c r="B76" s="26"/>
      <c r="C76" s="24" t="s">
        <v>388</v>
      </c>
      <c r="D76" s="23" t="s">
        <v>483</v>
      </c>
      <c r="E76" s="15" t="s">
        <v>484</v>
      </c>
      <c r="F76" s="23" t="s">
        <v>485</v>
      </c>
      <c r="G76" s="15" t="s">
        <v>486</v>
      </c>
      <c r="H76" s="23" t="s">
        <v>487</v>
      </c>
      <c r="I76" s="15" t="s">
        <v>488</v>
      </c>
      <c r="J76" s="23" t="s">
        <v>489</v>
      </c>
      <c r="K76" s="15" t="s">
        <v>490</v>
      </c>
    </row>
    <row r="77" spans="1:11" s="9" customFormat="1" ht="18" customHeight="1" x14ac:dyDescent="0.2">
      <c r="A77" s="9">
        <v>17</v>
      </c>
      <c r="B77" s="26"/>
      <c r="C77" s="24" t="s">
        <v>397</v>
      </c>
      <c r="D77" s="23" t="s">
        <v>491</v>
      </c>
      <c r="E77" s="15" t="s">
        <v>492</v>
      </c>
      <c r="F77" s="23" t="s">
        <v>493</v>
      </c>
      <c r="G77" s="15" t="s">
        <v>494</v>
      </c>
      <c r="H77" s="23" t="s">
        <v>495</v>
      </c>
      <c r="I77" s="15" t="s">
        <v>496</v>
      </c>
      <c r="J77" s="23" t="s">
        <v>497</v>
      </c>
      <c r="K77" s="15" t="s">
        <v>498</v>
      </c>
    </row>
    <row r="78" spans="1:11" s="9" customFormat="1" ht="18" customHeight="1" x14ac:dyDescent="0.2">
      <c r="A78" s="9">
        <v>18</v>
      </c>
      <c r="B78" s="26"/>
      <c r="C78" s="22" t="s">
        <v>499</v>
      </c>
      <c r="D78" s="23"/>
      <c r="E78" s="15">
        <f t="shared" ref="E78:E84" si="1">G78+I78+K78</f>
        <v>0</v>
      </c>
      <c r="F78" s="23"/>
      <c r="G78" s="15">
        <f>SUM(G79:G80)</f>
        <v>0</v>
      </c>
      <c r="H78" s="23"/>
      <c r="I78" s="15">
        <f>SUM(I79:I80)</f>
        <v>0</v>
      </c>
      <c r="J78" s="23"/>
      <c r="K78" s="15">
        <f>SUM(K79:K80)</f>
        <v>0</v>
      </c>
    </row>
    <row r="79" spans="1:11" s="9" customFormat="1" ht="18" customHeight="1" x14ac:dyDescent="0.2">
      <c r="A79" s="9">
        <v>19</v>
      </c>
      <c r="B79" s="26"/>
      <c r="C79" s="24" t="s">
        <v>388</v>
      </c>
      <c r="D79" s="23" t="s">
        <v>500</v>
      </c>
      <c r="E79" s="15" t="s">
        <v>501</v>
      </c>
      <c r="F79" s="23" t="s">
        <v>502</v>
      </c>
      <c r="G79" s="15" t="s">
        <v>503</v>
      </c>
      <c r="H79" s="23" t="s">
        <v>504</v>
      </c>
      <c r="I79" s="15" t="s">
        <v>505</v>
      </c>
      <c r="J79" s="23" t="s">
        <v>506</v>
      </c>
      <c r="K79" s="15" t="s">
        <v>507</v>
      </c>
    </row>
    <row r="80" spans="1:11" s="9" customFormat="1" ht="18" customHeight="1" x14ac:dyDescent="0.2">
      <c r="A80" s="9">
        <v>20</v>
      </c>
      <c r="B80" s="26"/>
      <c r="C80" s="24" t="s">
        <v>397</v>
      </c>
      <c r="D80" s="23" t="s">
        <v>508</v>
      </c>
      <c r="E80" s="15" t="s">
        <v>509</v>
      </c>
      <c r="F80" s="23" t="s">
        <v>510</v>
      </c>
      <c r="G80" s="15" t="s">
        <v>511</v>
      </c>
      <c r="H80" s="23" t="s">
        <v>512</v>
      </c>
      <c r="I80" s="15" t="s">
        <v>513</v>
      </c>
      <c r="J80" s="23" t="s">
        <v>514</v>
      </c>
      <c r="K80" s="15" t="s">
        <v>515</v>
      </c>
    </row>
    <row r="81" spans="1:11" s="9" customFormat="1" ht="18" customHeight="1" x14ac:dyDescent="0.2">
      <c r="A81" s="9">
        <v>21</v>
      </c>
      <c r="B81" s="26"/>
      <c r="C81" s="22" t="s">
        <v>516</v>
      </c>
      <c r="D81" s="23"/>
      <c r="E81" s="15">
        <f t="shared" si="1"/>
        <v>0</v>
      </c>
      <c r="F81" s="23"/>
      <c r="G81" s="15">
        <f>SUM(G82:G83)</f>
        <v>0</v>
      </c>
      <c r="H81" s="23"/>
      <c r="I81" s="15">
        <f>SUM(I82:I83)</f>
        <v>0</v>
      </c>
      <c r="J81" s="23"/>
      <c r="K81" s="15">
        <f>SUM(K82:K83)</f>
        <v>0</v>
      </c>
    </row>
    <row r="82" spans="1:11" s="9" customFormat="1" ht="18" customHeight="1" x14ac:dyDescent="0.2">
      <c r="A82" s="9">
        <v>22</v>
      </c>
      <c r="B82" s="26"/>
      <c r="C82" s="24" t="s">
        <v>388</v>
      </c>
      <c r="D82" s="23" t="s">
        <v>517</v>
      </c>
      <c r="E82" s="15" t="s">
        <v>518</v>
      </c>
      <c r="F82" s="23" t="s">
        <v>519</v>
      </c>
      <c r="G82" s="15" t="s">
        <v>520</v>
      </c>
      <c r="H82" s="23" t="s">
        <v>521</v>
      </c>
      <c r="I82" s="15" t="s">
        <v>522</v>
      </c>
      <c r="J82" s="23" t="s">
        <v>523</v>
      </c>
      <c r="K82" s="15" t="s">
        <v>524</v>
      </c>
    </row>
    <row r="83" spans="1:11" s="9" customFormat="1" ht="18" customHeight="1" x14ac:dyDescent="0.2">
      <c r="A83" s="9">
        <v>23</v>
      </c>
      <c r="B83" s="26"/>
      <c r="C83" s="24" t="s">
        <v>397</v>
      </c>
      <c r="D83" s="23" t="s">
        <v>525</v>
      </c>
      <c r="E83" s="15" t="s">
        <v>526</v>
      </c>
      <c r="F83" s="23" t="s">
        <v>527</v>
      </c>
      <c r="G83" s="15" t="s">
        <v>528</v>
      </c>
      <c r="H83" s="23" t="s">
        <v>529</v>
      </c>
      <c r="I83" s="15" t="s">
        <v>530</v>
      </c>
      <c r="J83" s="23" t="s">
        <v>531</v>
      </c>
      <c r="K83" s="15" t="s">
        <v>532</v>
      </c>
    </row>
    <row r="84" spans="1:11" s="9" customFormat="1" ht="18" customHeight="1" x14ac:dyDescent="0.2">
      <c r="A84" s="9">
        <v>24</v>
      </c>
      <c r="B84" s="26"/>
      <c r="C84" s="22" t="s">
        <v>533</v>
      </c>
      <c r="D84" s="23"/>
      <c r="E84" s="15">
        <f t="shared" si="1"/>
        <v>0</v>
      </c>
      <c r="F84" s="23"/>
      <c r="G84" s="15">
        <f>SUM(G85:G87)</f>
        <v>0</v>
      </c>
      <c r="H84" s="23"/>
      <c r="I84" s="15">
        <f>SUM(I85:I87)</f>
        <v>0</v>
      </c>
      <c r="J84" s="23"/>
      <c r="K84" s="15">
        <f>SUM(K85:K87)</f>
        <v>0</v>
      </c>
    </row>
    <row r="85" spans="1:11" s="9" customFormat="1" ht="18" customHeight="1" x14ac:dyDescent="0.2">
      <c r="A85" s="9">
        <v>25</v>
      </c>
      <c r="B85" s="26"/>
      <c r="C85" s="24" t="s">
        <v>534</v>
      </c>
      <c r="D85" s="23" t="s">
        <v>535</v>
      </c>
      <c r="E85" s="15" t="s">
        <v>536</v>
      </c>
      <c r="F85" s="23" t="s">
        <v>537</v>
      </c>
      <c r="G85" s="15" t="s">
        <v>538</v>
      </c>
      <c r="H85" s="23" t="s">
        <v>539</v>
      </c>
      <c r="I85" s="15" t="s">
        <v>540</v>
      </c>
      <c r="J85" s="23" t="s">
        <v>541</v>
      </c>
      <c r="K85" s="15" t="s">
        <v>542</v>
      </c>
    </row>
    <row r="86" spans="1:11" s="9" customFormat="1" ht="18" customHeight="1" x14ac:dyDescent="0.2">
      <c r="A86" s="9">
        <v>26</v>
      </c>
      <c r="B86" s="26"/>
      <c r="C86" s="24" t="s">
        <v>543</v>
      </c>
      <c r="D86" s="23" t="s">
        <v>544</v>
      </c>
      <c r="E86" s="15" t="s">
        <v>545</v>
      </c>
      <c r="F86" s="23" t="s">
        <v>546</v>
      </c>
      <c r="G86" s="15" t="s">
        <v>547</v>
      </c>
      <c r="H86" s="23" t="s">
        <v>548</v>
      </c>
      <c r="I86" s="15" t="s">
        <v>549</v>
      </c>
      <c r="J86" s="23" t="s">
        <v>550</v>
      </c>
      <c r="K86" s="15" t="s">
        <v>551</v>
      </c>
    </row>
    <row r="87" spans="1:11" s="9" customFormat="1" ht="18" customHeight="1" x14ac:dyDescent="0.2">
      <c r="A87" s="9">
        <v>27</v>
      </c>
      <c r="B87" s="26"/>
      <c r="C87" s="24" t="s">
        <v>552</v>
      </c>
      <c r="D87" s="23" t="s">
        <v>553</v>
      </c>
      <c r="E87" s="15" t="s">
        <v>554</v>
      </c>
      <c r="F87" s="23" t="s">
        <v>555</v>
      </c>
      <c r="G87" s="15" t="s">
        <v>556</v>
      </c>
      <c r="H87" s="23" t="s">
        <v>557</v>
      </c>
      <c r="I87" s="15" t="s">
        <v>558</v>
      </c>
      <c r="J87" s="23" t="s">
        <v>559</v>
      </c>
      <c r="K87" s="15" t="s">
        <v>560</v>
      </c>
    </row>
    <row r="88" spans="1:11" s="9" customFormat="1" ht="18" customHeight="1" x14ac:dyDescent="0.2">
      <c r="A88" s="9">
        <v>28</v>
      </c>
      <c r="B88" s="26"/>
      <c r="C88" s="22" t="s">
        <v>561</v>
      </c>
      <c r="D88" s="23"/>
      <c r="E88" s="15"/>
      <c r="F88" s="23"/>
      <c r="G88" s="15"/>
      <c r="H88" s="23"/>
      <c r="I88" s="15"/>
      <c r="J88" s="23"/>
      <c r="K88" s="15"/>
    </row>
    <row r="89" spans="1:11" s="9" customFormat="1" ht="18" customHeight="1" x14ac:dyDescent="0.2">
      <c r="A89" s="9">
        <v>29</v>
      </c>
      <c r="B89" s="26"/>
      <c r="C89" s="24" t="s">
        <v>562</v>
      </c>
      <c r="D89" s="23" t="s">
        <v>563</v>
      </c>
      <c r="E89" s="15" t="s">
        <v>564</v>
      </c>
      <c r="F89" s="23" t="s">
        <v>565</v>
      </c>
      <c r="G89" s="15" t="s">
        <v>566</v>
      </c>
      <c r="H89" s="23" t="s">
        <v>567</v>
      </c>
      <c r="I89" s="15" t="s">
        <v>568</v>
      </c>
      <c r="J89" s="23" t="s">
        <v>569</v>
      </c>
      <c r="K89" s="15" t="s">
        <v>570</v>
      </c>
    </row>
    <row r="90" spans="1:11" s="9" customFormat="1" ht="18" customHeight="1" x14ac:dyDescent="0.2">
      <c r="A90" s="9">
        <v>30</v>
      </c>
      <c r="B90" s="26"/>
      <c r="C90" s="22" t="s">
        <v>571</v>
      </c>
      <c r="D90" s="23"/>
      <c r="E90" s="15"/>
      <c r="F90" s="23"/>
      <c r="G90" s="15"/>
      <c r="H90" s="23"/>
      <c r="I90" s="15"/>
      <c r="J90" s="23"/>
      <c r="K90" s="15"/>
    </row>
    <row r="91" spans="1:11" s="9" customFormat="1" ht="18" customHeight="1" x14ac:dyDescent="0.2">
      <c r="A91" s="9">
        <v>31</v>
      </c>
      <c r="B91" s="26"/>
      <c r="C91" s="24" t="s">
        <v>572</v>
      </c>
      <c r="D91" s="23" t="s">
        <v>573</v>
      </c>
      <c r="E91" s="15" t="s">
        <v>574</v>
      </c>
      <c r="F91" s="23" t="s">
        <v>575</v>
      </c>
      <c r="G91" s="15" t="s">
        <v>576</v>
      </c>
      <c r="H91" s="23" t="s">
        <v>577</v>
      </c>
      <c r="I91" s="15" t="s">
        <v>578</v>
      </c>
      <c r="J91" s="23" t="s">
        <v>579</v>
      </c>
      <c r="K91" s="15" t="s">
        <v>580</v>
      </c>
    </row>
    <row r="92" spans="1:11" s="9" customFormat="1" ht="18" customHeight="1" x14ac:dyDescent="0.2">
      <c r="A92" s="9">
        <v>32</v>
      </c>
      <c r="B92" s="26"/>
      <c r="C92" s="24" t="s">
        <v>581</v>
      </c>
      <c r="D92" s="23" t="s">
        <v>582</v>
      </c>
      <c r="E92" s="15" t="s">
        <v>583</v>
      </c>
      <c r="F92" s="23" t="s">
        <v>584</v>
      </c>
      <c r="G92" s="15" t="s">
        <v>585</v>
      </c>
      <c r="H92" s="23" t="s">
        <v>586</v>
      </c>
      <c r="I92" s="15" t="s">
        <v>587</v>
      </c>
      <c r="J92" s="23" t="s">
        <v>588</v>
      </c>
      <c r="K92" s="15" t="s">
        <v>589</v>
      </c>
    </row>
    <row r="93" spans="1:11" s="9" customFormat="1" ht="18" customHeight="1" x14ac:dyDescent="0.2">
      <c r="B93" s="13" t="s">
        <v>590</v>
      </c>
    </row>
    <row r="94" spans="1:11" s="9" customFormat="1" ht="18" customHeight="1" x14ac:dyDescent="0.2">
      <c r="A94" s="9">
        <v>1</v>
      </c>
      <c r="B94" s="25" t="s">
        <v>591</v>
      </c>
      <c r="C94" s="14" t="s">
        <v>592</v>
      </c>
      <c r="D94" s="15" t="s">
        <v>593</v>
      </c>
      <c r="E94" s="15" t="s">
        <v>594</v>
      </c>
      <c r="F94" s="15" t="s">
        <v>595</v>
      </c>
      <c r="G94" s="15" t="s">
        <v>596</v>
      </c>
      <c r="H94" s="15" t="s">
        <v>597</v>
      </c>
      <c r="I94" s="15" t="s">
        <v>598</v>
      </c>
      <c r="J94" s="15" t="s">
        <v>599</v>
      </c>
      <c r="K94" s="15" t="s">
        <v>600</v>
      </c>
    </row>
    <row r="95" spans="1:11" s="9" customFormat="1" ht="18" customHeight="1" x14ac:dyDescent="0.2">
      <c r="B95" s="13" t="s">
        <v>601</v>
      </c>
      <c r="C95" s="10"/>
    </row>
    <row r="96" spans="1:11" s="9" customFormat="1" ht="18" customHeight="1" x14ac:dyDescent="0.2">
      <c r="A96" s="9">
        <v>1</v>
      </c>
      <c r="B96" s="25" t="s">
        <v>602</v>
      </c>
      <c r="C96" s="14" t="s">
        <v>603</v>
      </c>
      <c r="D96" s="15" t="s">
        <v>604</v>
      </c>
      <c r="E96" s="15" t="s">
        <v>605</v>
      </c>
      <c r="F96" s="15" t="s">
        <v>606</v>
      </c>
      <c r="G96" s="15" t="s">
        <v>607</v>
      </c>
      <c r="H96" s="15" t="s">
        <v>608</v>
      </c>
      <c r="I96" s="15" t="s">
        <v>609</v>
      </c>
      <c r="J96" s="15" t="s">
        <v>610</v>
      </c>
      <c r="K96" s="15" t="s">
        <v>611</v>
      </c>
    </row>
  </sheetData>
  <mergeCells count="20">
    <mergeCell ref="C3:D3"/>
    <mergeCell ref="C4:D4"/>
    <mergeCell ref="B6:K6"/>
    <mergeCell ref="B8:C9"/>
    <mergeCell ref="D8:E8"/>
    <mergeCell ref="F8:G8"/>
    <mergeCell ref="H8:I8"/>
    <mergeCell ref="J8:K8"/>
    <mergeCell ref="B68:B92"/>
    <mergeCell ref="B11:B14"/>
    <mergeCell ref="B16:B17"/>
    <mergeCell ref="B19:B23"/>
    <mergeCell ref="B24:B30"/>
    <mergeCell ref="B33:B36"/>
    <mergeCell ref="B38:B40"/>
    <mergeCell ref="B42:B44"/>
    <mergeCell ref="B46:B49"/>
    <mergeCell ref="B51:B54"/>
    <mergeCell ref="B56:B59"/>
    <mergeCell ref="B61:B67"/>
  </mergeCells>
  <printOptions horizontalCentered="1"/>
  <pageMargins left="0" right="0" top="0.55118110236220474" bottom="0.59055118110236227" header="0.59055118110236227" footer="0"/>
  <pageSetup paperSize="9" scale="99" orientation="portrait" horizontalDpi="4294967295" verticalDpi="300" r:id="rId1"/>
  <headerFooter alignWithMargins="0"/>
  <colBreaks count="1" manualBreakCount="1">
    <brk id="9" max="90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Morbilidad</vt:lpstr>
      <vt:lpstr>Sintaxis</vt:lpstr>
      <vt:lpstr>Morbilidad!Área_de_impresión</vt:lpstr>
      <vt:lpstr>Sintaxis!Área_de_impresión</vt:lpstr>
    </vt:vector>
  </TitlesOfParts>
  <Company>MINSA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ESTADISTICA</cp:lastModifiedBy>
  <cp:lastPrinted>2008-09-02T22:33:15Z</cp:lastPrinted>
  <dcterms:created xsi:type="dcterms:W3CDTF">2001-02-07T13:40:27Z</dcterms:created>
  <dcterms:modified xsi:type="dcterms:W3CDTF">2020-05-15T16:24:09Z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c69bb19f-a746-4f02-8920-ad41ad605103</vt:lpwstr>
  </property>
</Properties>
</file>